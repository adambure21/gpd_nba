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00" windowWidth="20775" windowHeight="11190" tabRatio="582"/>
  </bookViews>
  <sheets>
    <sheet name="Form Responses 1" sheetId="1" r:id="rId1"/>
    <sheet name="Sheet1" sheetId="2" r:id="rId2"/>
  </sheets>
  <definedNames>
    <definedName name="_xlnm.Print_Area" localSheetId="0">'Form Responses 1'!$B$1:$Z$77</definedName>
    <definedName name="_xlnm.Print_Titles" localSheetId="0">'Form Responses 1'!$1:$4</definedName>
  </definedNames>
  <calcPr calcId="145621"/>
</workbook>
</file>

<file path=xl/calcChain.xml><?xml version="1.0" encoding="utf-8"?>
<calcChain xmlns="http://schemas.openxmlformats.org/spreadsheetml/2006/main">
  <c r="X77" i="1" l="1"/>
  <c r="W77" i="1"/>
  <c r="Z77" i="1" s="1"/>
  <c r="X76" i="1"/>
  <c r="W76" i="1"/>
  <c r="Z76" i="1" s="1"/>
  <c r="X75" i="1"/>
  <c r="W75" i="1"/>
  <c r="Z75" i="1" s="1"/>
  <c r="X74" i="1"/>
  <c r="W74" i="1"/>
  <c r="Z74" i="1" s="1"/>
  <c r="X73" i="1"/>
  <c r="W73" i="1"/>
  <c r="Z73" i="1" s="1"/>
  <c r="Z72" i="1"/>
  <c r="X72" i="1"/>
  <c r="W72" i="1"/>
  <c r="X71" i="1"/>
  <c r="W71" i="1"/>
  <c r="Z71" i="1" s="1"/>
  <c r="Z70" i="1"/>
  <c r="X70" i="1"/>
  <c r="W70" i="1"/>
  <c r="X69" i="1"/>
  <c r="W69" i="1"/>
  <c r="Z69" i="1" s="1"/>
  <c r="X68" i="1"/>
  <c r="W68" i="1"/>
  <c r="Z68" i="1" s="1"/>
  <c r="X67" i="1"/>
  <c r="W67" i="1"/>
  <c r="Z67" i="1" s="1"/>
  <c r="X66" i="1"/>
  <c r="W66" i="1"/>
  <c r="Z66" i="1" s="1"/>
  <c r="X65" i="1"/>
  <c r="W65" i="1"/>
  <c r="Z65" i="1" s="1"/>
  <c r="X64" i="1"/>
  <c r="W64" i="1"/>
  <c r="Z64" i="1" s="1"/>
  <c r="X63" i="1"/>
  <c r="W63" i="1"/>
  <c r="Z63" i="1" s="1"/>
  <c r="X62" i="1"/>
  <c r="W62" i="1"/>
  <c r="Z62" i="1" s="1"/>
  <c r="X61" i="1"/>
  <c r="W61" i="1"/>
  <c r="Z61" i="1" s="1"/>
  <c r="Z60" i="1"/>
  <c r="X60" i="1"/>
  <c r="W60" i="1"/>
  <c r="X59" i="1"/>
  <c r="W59" i="1"/>
  <c r="Z59" i="1" s="1"/>
  <c r="Z58" i="1"/>
  <c r="X58" i="1"/>
  <c r="W58" i="1"/>
  <c r="X57" i="1"/>
  <c r="W57" i="1"/>
  <c r="Z57" i="1" s="1"/>
  <c r="X56" i="1"/>
  <c r="W56" i="1"/>
  <c r="Z56" i="1" s="1"/>
  <c r="X55" i="1"/>
  <c r="W55" i="1"/>
  <c r="Z55" i="1" s="1"/>
  <c r="X54" i="1"/>
  <c r="W54" i="1"/>
  <c r="Z54" i="1" s="1"/>
  <c r="X53" i="1"/>
  <c r="W53" i="1"/>
  <c r="Z53" i="1" s="1"/>
  <c r="X52" i="1"/>
  <c r="W52" i="1"/>
  <c r="Z52" i="1" s="1"/>
  <c r="X51" i="1"/>
  <c r="W51" i="1"/>
  <c r="Z51" i="1" s="1"/>
  <c r="X50" i="1"/>
  <c r="W50" i="1"/>
  <c r="Z50" i="1" s="1"/>
  <c r="X49" i="1"/>
  <c r="W49" i="1"/>
  <c r="Z49" i="1" s="1"/>
  <c r="Z48" i="1"/>
  <c r="X48" i="1"/>
  <c r="W48" i="1"/>
  <c r="X47" i="1"/>
  <c r="W47" i="1"/>
  <c r="Z47" i="1" s="1"/>
  <c r="Z46" i="1"/>
  <c r="X46" i="1"/>
  <c r="W46" i="1"/>
  <c r="X45" i="1"/>
  <c r="W45" i="1"/>
  <c r="Z45" i="1" s="1"/>
  <c r="X44" i="1"/>
  <c r="W44" i="1"/>
  <c r="Z44" i="1" s="1"/>
  <c r="X43" i="1"/>
  <c r="W43" i="1"/>
  <c r="Z43" i="1" s="1"/>
  <c r="X42" i="1"/>
  <c r="W42" i="1"/>
  <c r="Z42" i="1" s="1"/>
  <c r="X41" i="1"/>
  <c r="W41" i="1"/>
  <c r="Z41" i="1" s="1"/>
  <c r="X40" i="1"/>
  <c r="W40" i="1"/>
  <c r="Z40" i="1" s="1"/>
  <c r="X39" i="1"/>
  <c r="W39" i="1"/>
  <c r="Z39" i="1" s="1"/>
  <c r="X38" i="1"/>
  <c r="W38" i="1"/>
  <c r="Z38" i="1" s="1"/>
  <c r="X37" i="1"/>
  <c r="W37" i="1"/>
  <c r="Z37" i="1" s="1"/>
  <c r="Z36" i="1"/>
  <c r="X36" i="1"/>
  <c r="W36" i="1"/>
  <c r="X35" i="1"/>
  <c r="W35" i="1"/>
  <c r="Z35" i="1" s="1"/>
  <c r="Z34" i="1"/>
  <c r="X34" i="1"/>
  <c r="W34" i="1"/>
  <c r="X33" i="1"/>
  <c r="W33" i="1"/>
  <c r="Z33" i="1" s="1"/>
  <c r="X32" i="1"/>
  <c r="W32" i="1"/>
  <c r="Z32" i="1" s="1"/>
  <c r="X31" i="1"/>
  <c r="W31" i="1"/>
  <c r="Z31" i="1" s="1"/>
  <c r="X30" i="1"/>
  <c r="W30" i="1"/>
  <c r="Z30" i="1" s="1"/>
  <c r="X29" i="1"/>
  <c r="W29" i="1"/>
  <c r="Z29" i="1" s="1"/>
  <c r="X28" i="1"/>
  <c r="W28" i="1"/>
  <c r="Z28" i="1" s="1"/>
  <c r="X27" i="1"/>
  <c r="W27" i="1"/>
  <c r="Z27" i="1" s="1"/>
  <c r="X26" i="1"/>
  <c r="W26" i="1"/>
  <c r="Z26" i="1" s="1"/>
  <c r="X25" i="1"/>
  <c r="W25" i="1"/>
  <c r="Z25" i="1" s="1"/>
  <c r="Z24" i="1"/>
  <c r="X24" i="1"/>
  <c r="W24" i="1"/>
  <c r="X23" i="1"/>
  <c r="W23" i="1"/>
  <c r="Z23" i="1" s="1"/>
  <c r="Z22" i="1"/>
  <c r="X22" i="1"/>
  <c r="W22" i="1"/>
  <c r="X21" i="1"/>
  <c r="W21" i="1"/>
  <c r="Z21" i="1" s="1"/>
  <c r="X20" i="1"/>
  <c r="W20" i="1"/>
  <c r="Z20" i="1" s="1"/>
  <c r="X19" i="1"/>
  <c r="W19" i="1"/>
  <c r="Z19" i="1" s="1"/>
  <c r="X18" i="1"/>
  <c r="W18" i="1"/>
  <c r="Z18" i="1" s="1"/>
  <c r="X17" i="1"/>
  <c r="W17" i="1"/>
  <c r="Z17" i="1" s="1"/>
  <c r="X16" i="1"/>
  <c r="W16" i="1"/>
  <c r="Z16" i="1" s="1"/>
  <c r="X15" i="1"/>
  <c r="W15" i="1"/>
  <c r="Z15" i="1" s="1"/>
  <c r="X14" i="1"/>
  <c r="W14" i="1"/>
  <c r="Z14" i="1" s="1"/>
  <c r="X13" i="1"/>
  <c r="W13" i="1"/>
  <c r="Z13" i="1" s="1"/>
  <c r="Z12" i="1"/>
  <c r="X12" i="1"/>
  <c r="W12" i="1"/>
  <c r="X11" i="1"/>
  <c r="W11" i="1"/>
  <c r="Z11" i="1" s="1"/>
  <c r="Z10" i="1"/>
  <c r="X10" i="1"/>
  <c r="W10" i="1"/>
  <c r="X9" i="1"/>
  <c r="W9" i="1"/>
  <c r="Z9" i="1" s="1"/>
  <c r="X8" i="1"/>
  <c r="W8" i="1"/>
  <c r="Z8" i="1" s="1"/>
  <c r="X7" i="1"/>
  <c r="W7" i="1"/>
  <c r="Z7" i="1" s="1"/>
  <c r="X6" i="1"/>
  <c r="W6" i="1"/>
  <c r="Z6" i="1" s="1"/>
  <c r="X5" i="1"/>
  <c r="W5" i="1"/>
  <c r="Z5" i="1" s="1"/>
</calcChain>
</file>

<file path=xl/sharedStrings.xml><?xml version="1.0" encoding="utf-8"?>
<sst xmlns="http://schemas.openxmlformats.org/spreadsheetml/2006/main" count="404" uniqueCount="271">
  <si>
    <t>Timestamp</t>
  </si>
  <si>
    <t>Email Address</t>
  </si>
  <si>
    <t>Full Name of Student :</t>
  </si>
  <si>
    <t>Enrollment No. of Student :</t>
  </si>
  <si>
    <t>Roll No. of Student :</t>
  </si>
  <si>
    <t>Mobile Number ( Preferably WhatsApp)</t>
  </si>
  <si>
    <t>10/14</t>
  </si>
  <si>
    <t>20/28</t>
  </si>
  <si>
    <t>Total Marks Out of 30</t>
  </si>
  <si>
    <t>Total Marks Out of 42</t>
  </si>
  <si>
    <t>Marks obtained by student</t>
  </si>
  <si>
    <t>Column 1</t>
  </si>
  <si>
    <t>priyadhanshetti714@gmail.com</t>
  </si>
  <si>
    <t xml:space="preserve">Priya Sanjay Dhanshetti. </t>
  </si>
  <si>
    <t>shashwatiadsul22@gmail.com</t>
  </si>
  <si>
    <t xml:space="preserve">Adsul Shashwati Nitin </t>
  </si>
  <si>
    <t>avibhise2007@gmail.com</t>
  </si>
  <si>
    <t xml:space="preserve">Avishkar babruwan bhise </t>
  </si>
  <si>
    <t>maheshwariawad@gmail.com</t>
  </si>
  <si>
    <t>Maheshwari Bhau Awad</t>
  </si>
  <si>
    <t>ada.gposm@gmail.com</t>
  </si>
  <si>
    <t>BADVE SHARVANI DNYANESHWAR</t>
  </si>
  <si>
    <t>manasibagade80@gmail.com</t>
  </si>
  <si>
    <t>Bagade Manasi Mukund</t>
  </si>
  <si>
    <t>bardearchana11@gmail.com</t>
  </si>
  <si>
    <t xml:space="preserve">Barde Archana Hanumant </t>
  </si>
  <si>
    <t>baramadeshraddha@gmail.com</t>
  </si>
  <si>
    <t xml:space="preserve">Barmade shraddha sudhakar </t>
  </si>
  <si>
    <t>ankitabedke@gmail.com</t>
  </si>
  <si>
    <t xml:space="preserve">Bedke Ankita Shriram </t>
  </si>
  <si>
    <t>shravanibhad6@gmail.com</t>
  </si>
  <si>
    <t xml:space="preserve">Bhad Shravani Umakant </t>
  </si>
  <si>
    <t>nikitabhore1872005@gmail.com</t>
  </si>
  <si>
    <t>Bhore Nikita Shankar</t>
  </si>
  <si>
    <t>pradnyabhosale2007@gmail.com</t>
  </si>
  <si>
    <t xml:space="preserve">Pradnya Haridas Bhosale </t>
  </si>
  <si>
    <t>tgbhosale3211@gmail.com</t>
  </si>
  <si>
    <t>Tejas Gajanan Bhosale</t>
  </si>
  <si>
    <t>pbirajdar945@gmail.com</t>
  </si>
  <si>
    <t xml:space="preserve">Birajdar Prashant Padmakar </t>
  </si>
  <si>
    <t>shravanichandane28@gmail.com</t>
  </si>
  <si>
    <t xml:space="preserve">Shravani Prashant Chandane </t>
  </si>
  <si>
    <t>nc1600674@gmail.com</t>
  </si>
  <si>
    <t xml:space="preserve">Chavan Nikita Narayan </t>
  </si>
  <si>
    <t>sanskrutid2007@gmail.com</t>
  </si>
  <si>
    <t xml:space="preserve">Dalve Sanskruti Amol </t>
  </si>
  <si>
    <t>sushantdane192@gmail.com</t>
  </si>
  <si>
    <t xml:space="preserve">Sushant vitthal Dane </t>
  </si>
  <si>
    <t>ravikirandemgunde24@gmail.com</t>
  </si>
  <si>
    <t xml:space="preserve">Demgunde Ravikiran Dhondiram </t>
  </si>
  <si>
    <t>anupamadhage28@gmail.com</t>
  </si>
  <si>
    <t>Anupama Nagesh Dhage</t>
  </si>
  <si>
    <t>Sarthakmali1@gmail.com</t>
  </si>
  <si>
    <t xml:space="preserve">Sarthak santosh fulmali </t>
  </si>
  <si>
    <t>gadedhanraj1@gmail.com</t>
  </si>
  <si>
    <t xml:space="preserve">Gade payal Dhanraj </t>
  </si>
  <si>
    <t>monikagavali773@gmail.com</t>
  </si>
  <si>
    <t>Gavali Monika Dnyandeo</t>
  </si>
  <si>
    <t>krishnagurav104@gmail.com</t>
  </si>
  <si>
    <t>Krishna Pramod Gurav</t>
  </si>
  <si>
    <t>hajareamar72@gmail.com</t>
  </si>
  <si>
    <t>Amar Ajit hajare</t>
  </si>
  <si>
    <t>pratikshaisake917@gmail.com</t>
  </si>
  <si>
    <t xml:space="preserve">Isake Pratiksha Mahesh </t>
  </si>
  <si>
    <t>jagtapshreya311@gmail.com</t>
  </si>
  <si>
    <t>Jagtap Shreya Shrirang</t>
  </si>
  <si>
    <t>joshitanuja826@gmail.com</t>
  </si>
  <si>
    <t xml:space="preserve">Tanuja Gunderao Joshi. </t>
  </si>
  <si>
    <t>prachikale60@gmail.com</t>
  </si>
  <si>
    <t>Prachi Kishor Kale</t>
  </si>
  <si>
    <t>kalevaishnavi78@gmail.com</t>
  </si>
  <si>
    <t xml:space="preserve">Kale Vaishnavi Dhanraj </t>
  </si>
  <si>
    <t>divyakamble801@gmail.com</t>
  </si>
  <si>
    <t xml:space="preserve">Kamble Divya Vijay </t>
  </si>
  <si>
    <t>sonamkamble933@gmail.com</t>
  </si>
  <si>
    <t>Kamble sonam vilas</t>
  </si>
  <si>
    <t>mayurikendre177@gmail.com</t>
  </si>
  <si>
    <t xml:space="preserve">Kendre Mayuri Tukaram </t>
  </si>
  <si>
    <t>KHANDAGALE SUHANI VIKRAM</t>
  </si>
  <si>
    <t>khunepriyanka301@gmail.com</t>
  </si>
  <si>
    <t>Khune Priyanka Pramod</t>
  </si>
  <si>
    <t>ishwarikshirsagar1234@gmail.com</t>
  </si>
  <si>
    <t xml:space="preserve">Kshirsagar Ishwari Dattatraya </t>
  </si>
  <si>
    <t>londhepramila2005@gmail.com</t>
  </si>
  <si>
    <t xml:space="preserve">Londhe Pramila Chhatragun </t>
  </si>
  <si>
    <t>malikaran279@gmail.com</t>
  </si>
  <si>
    <t>Mali Karan Ashok</t>
  </si>
  <si>
    <t>mendhekarpriti96@gmail.com</t>
  </si>
  <si>
    <t xml:space="preserve">Mendhekar Priti Goroba </t>
  </si>
  <si>
    <t>sachinnavvale499@gmail.com</t>
  </si>
  <si>
    <t xml:space="preserve">Nawale Sachin Manesh </t>
  </si>
  <si>
    <t>krantinikam2006@gmail.com</t>
  </si>
  <si>
    <t>Nikam kranti santosh</t>
  </si>
  <si>
    <t>nimbalkarasmita107@gmail.com</t>
  </si>
  <si>
    <t xml:space="preserve">Nimbalkar Asmita Bhujang </t>
  </si>
  <si>
    <t>panchalgayatri322@gmail.com</t>
  </si>
  <si>
    <t xml:space="preserve">Panchal Gayatri Dnyaneshwar </t>
  </si>
  <si>
    <t>firdauspathan46@gmail.com</t>
  </si>
  <si>
    <t xml:space="preserve">Pathan adiba firdos amjadkhan </t>
  </si>
  <si>
    <t>patilamruta8669@gmail.com</t>
  </si>
  <si>
    <t xml:space="preserve">Amruta Suresh Patil </t>
  </si>
  <si>
    <t>dnyaneshwaripatil88@gmail.com</t>
  </si>
  <si>
    <t xml:space="preserve">Patil Dnyaneshwari subhash </t>
  </si>
  <si>
    <t>pawaraarya10@gmail.com</t>
  </si>
  <si>
    <t xml:space="preserve">Pawar Arya Rajendra </t>
  </si>
  <si>
    <t>sarika7748@gmail.com</t>
  </si>
  <si>
    <t xml:space="preserve">Pawar Sarika Pandurang </t>
  </si>
  <si>
    <t>vaibhavipawar260607@gmail.com</t>
  </si>
  <si>
    <t xml:space="preserve">Pawar Vaibhavi Laxman </t>
  </si>
  <si>
    <t>gayatripichrute063@gmail.com</t>
  </si>
  <si>
    <t xml:space="preserve">Pichrute Gayatri Ambadas </t>
  </si>
  <si>
    <t>afreenpirjade77@gmail.com</t>
  </si>
  <si>
    <t xml:space="preserve">Pirjade Afreen Ubedulla </t>
  </si>
  <si>
    <t>abhaypuri726@gmail.com</t>
  </si>
  <si>
    <t xml:space="preserve">Puri Abhay Laxman </t>
  </si>
  <si>
    <t>bhimsingrajputrajput96@gmail.com</t>
  </si>
  <si>
    <t xml:space="preserve">Bhimsing Umraosing Rajput </t>
  </si>
  <si>
    <t>SAGAR NAGESH RAJKUMAR</t>
  </si>
  <si>
    <t>shravanisakharkar2007@gmail.com</t>
  </si>
  <si>
    <t xml:space="preserve">Sakharkar Shravani Hari </t>
  </si>
  <si>
    <t>shindalkaraniket35@gmail.com</t>
  </si>
  <si>
    <t xml:space="preserve">Shindalkar Aniket Shesherao </t>
  </si>
  <si>
    <t>dipikashinde33801@gmail.com</t>
  </si>
  <si>
    <t xml:space="preserve">Dipika Dattatray Shinde </t>
  </si>
  <si>
    <t>rohanrshinde77@gmail.com</t>
  </si>
  <si>
    <t xml:space="preserve">Shinde Rohan Rajendra </t>
  </si>
  <si>
    <t>shindeshivampatil2008@gmail.com</t>
  </si>
  <si>
    <t xml:space="preserve">Shivam Sandeep Shinde </t>
  </si>
  <si>
    <t>ys1858489@gmail.com</t>
  </si>
  <si>
    <t xml:space="preserve">Shinde Yashraj Yuvraj </t>
  </si>
  <si>
    <t>sirsatabhishek2@gmail.com</t>
  </si>
  <si>
    <t>Abhishek Shahaji Sirsat</t>
  </si>
  <si>
    <t>umbardandshivlila@gmail.com</t>
  </si>
  <si>
    <t xml:space="preserve">Umbardand Shivlila Babasaheb </t>
  </si>
  <si>
    <t>anjaliware0505@gmail.com</t>
  </si>
  <si>
    <t xml:space="preserve">Anjali Ramdas Vare </t>
  </si>
  <si>
    <t>08080446594</t>
  </si>
  <si>
    <t>pallaviwaghamare627@gmail.com</t>
  </si>
  <si>
    <t xml:space="preserve">Waghmare pallavi Dnyaneshwar </t>
  </si>
  <si>
    <t>Gavasanevedant@gmail.com</t>
  </si>
  <si>
    <t xml:space="preserve">Vedant Amol Gavasane </t>
  </si>
  <si>
    <t>swapnalihajare03@gmail.com</t>
  </si>
  <si>
    <t>Swapnali sujit hajare</t>
  </si>
  <si>
    <t>JALKOTE OMKAR UDDHAVRAO</t>
  </si>
  <si>
    <t>ADMISSION CANCEL</t>
  </si>
  <si>
    <t>mugaleamar1@gmail.com</t>
  </si>
  <si>
    <t>Mugale Amar Ram</t>
  </si>
  <si>
    <t>ashwasandhyapawar@gmail.com</t>
  </si>
  <si>
    <t>Ashwasandhya Nandakumar Pawar</t>
  </si>
  <si>
    <t>ashwashradhapawar3133@gmail.com</t>
  </si>
  <si>
    <t>Ashwashradha Dhanaji Pawar</t>
  </si>
  <si>
    <t>priyasutar85934@gmail.com</t>
  </si>
  <si>
    <t xml:space="preserve">Sutar Priya Bhagvant </t>
  </si>
  <si>
    <t>yogeshsutar082004@gmail.com</t>
  </si>
  <si>
    <t xml:space="preserve">Yogesh Sutar </t>
  </si>
  <si>
    <t>anjaliwawalkar@gmail.com</t>
  </si>
  <si>
    <t xml:space="preserve">Anjali Anil wawalker </t>
  </si>
  <si>
    <t>Roll No</t>
  </si>
  <si>
    <t>Enrollment No</t>
  </si>
  <si>
    <t>Name</t>
  </si>
  <si>
    <t>Gender</t>
  </si>
  <si>
    <t>DOB</t>
  </si>
  <si>
    <t>Category</t>
  </si>
  <si>
    <t>Remark</t>
  </si>
  <si>
    <t>UT-1 MARKS</t>
  </si>
  <si>
    <t>UT-2 MARKS</t>
  </si>
  <si>
    <t>DHANSHETTI PRIYA SANJAY</t>
  </si>
  <si>
    <t>F</t>
  </si>
  <si>
    <t>SC</t>
  </si>
  <si>
    <t>ADSUL SHASHWATI NITIN</t>
  </si>
  <si>
    <t>OPEN</t>
  </si>
  <si>
    <t>AVISHKAR BABRUWAN BHISE</t>
  </si>
  <si>
    <t>M</t>
  </si>
  <si>
    <t>AWAD MAHESHWARI BHAU</t>
  </si>
  <si>
    <t>BAGADE MANASI MUKUND</t>
  </si>
  <si>
    <t>OBC</t>
  </si>
  <si>
    <t>BARDE ARCHANA HANUMANT</t>
  </si>
  <si>
    <t>NT 2 (NT-C)</t>
  </si>
  <si>
    <t>BARMADE SHRADDHA SUDHAKAR</t>
  </si>
  <si>
    <t>EWS</t>
  </si>
  <si>
    <t>BEDKE ANKITA SHRIRAM</t>
  </si>
  <si>
    <t>BHAD SHRAVANI UMAKANT</t>
  </si>
  <si>
    <t>BHORE NIKITA SHANKAR</t>
  </si>
  <si>
    <t>BHOSALE PRADNYA HARIDAS</t>
  </si>
  <si>
    <t>BHOSALE TEJAS GAJANAN</t>
  </si>
  <si>
    <t>BIRAJDAR PRASHANT PADMAKAR</t>
  </si>
  <si>
    <t>CHANDANE SHRAVANI PRASHANT</t>
  </si>
  <si>
    <t>CHAVAN NIKITA NARAYAN</t>
  </si>
  <si>
    <t>DT/VJ NT(A)</t>
  </si>
  <si>
    <t>DALVE SANSKRUTI AMOL</t>
  </si>
  <si>
    <t>TFWS</t>
  </si>
  <si>
    <t>DANE SUSHANT VITTHAL</t>
  </si>
  <si>
    <t>DEMGUNDE RAVIKIRAN DHONDIRAM</t>
  </si>
  <si>
    <t>DHAGE ANUPAMA NAGESH</t>
  </si>
  <si>
    <t>FULMALI SARTHAK SANTOSH</t>
  </si>
  <si>
    <t>GADE PAYAL DHANRAJ</t>
  </si>
  <si>
    <t>GAVALI MONIKA DNYANDEO</t>
  </si>
  <si>
    <t>DEF</t>
  </si>
  <si>
    <t>GURAV KRISHNA PRAMOD</t>
  </si>
  <si>
    <t>HAJARE AMAR AJIT</t>
  </si>
  <si>
    <t>ISAKE PRATIKSHA MAHESH</t>
  </si>
  <si>
    <t>JAGTAP SHREYA SHRIRANG</t>
  </si>
  <si>
    <t>JOSHI TANUJA GUNDERAO</t>
  </si>
  <si>
    <t>KALE PRACHI KISHOR</t>
  </si>
  <si>
    <t>KALE VAISHNAVI DHANRAJ</t>
  </si>
  <si>
    <t>KAMBLE DIVYA VIJAY</t>
  </si>
  <si>
    <t>KAMBLE SONAM VILAS</t>
  </si>
  <si>
    <t>KENDRE MAYURI TUKARAM</t>
  </si>
  <si>
    <t>NT 3 (NT-D)</t>
  </si>
  <si>
    <t>KHUNE PRIYANKA PRAMOD</t>
  </si>
  <si>
    <t>KSHIRSAGAR ISHWARI DATTATRAYA</t>
  </si>
  <si>
    <t>LONDHE PRAMILA CHHATRAGUN</t>
  </si>
  <si>
    <t>MALI KARAN ASHOK</t>
  </si>
  <si>
    <t>ACAP</t>
  </si>
  <si>
    <t>MENDHEKAR PRITI GOROBA</t>
  </si>
  <si>
    <t>NAWALE SACHIN MANESH</t>
  </si>
  <si>
    <t>ST</t>
  </si>
  <si>
    <t>NIKAM KRANTI SANTOSH</t>
  </si>
  <si>
    <t>NIMBALKAR ASMITA BHUJANG</t>
  </si>
  <si>
    <t>PANCHAL GAYATRI DNYANESHWAR</t>
  </si>
  <si>
    <t>PATHAN ADIBA FIRDOS AMJAD KHAN</t>
  </si>
  <si>
    <t>PATIL AMRUTA SURESH</t>
  </si>
  <si>
    <t>PATIL DNYANESHWARI SUBHASH</t>
  </si>
  <si>
    <t>PAWAR ARYA RAJENDRA</t>
  </si>
  <si>
    <t>PAWAR SARIKA PANDURANG</t>
  </si>
  <si>
    <t>PAWAR VAIBHAVI LAXMAN</t>
  </si>
  <si>
    <t>PICHRUTE GAYATRI AMBADAS</t>
  </si>
  <si>
    <t>SBC</t>
  </si>
  <si>
    <t>PIRJADE AFREEN UBEDULLA</t>
  </si>
  <si>
    <t>PURI ABHAY LAXMAN</t>
  </si>
  <si>
    <t>NT 1 (NT-B)</t>
  </si>
  <si>
    <t>RAJPUT BHIMSING UMRAOSING</t>
  </si>
  <si>
    <t>AB</t>
  </si>
  <si>
    <t>SAKHARKAR SHRAVANI HARI</t>
  </si>
  <si>
    <t>SHINDALKAR ANIKET SHESHERAO</t>
  </si>
  <si>
    <t>SHINDE DIPIKA DATTATRAY</t>
  </si>
  <si>
    <t>SHINDE ROHAN RAJENDRA</t>
  </si>
  <si>
    <t>SHINDE SHIVAM SANDEEP</t>
  </si>
  <si>
    <t>SHINDE YASHRAJ YUVRAJ</t>
  </si>
  <si>
    <t>SIRSAT ABHISHEK SHAHAJI</t>
  </si>
  <si>
    <t>UMBARDAND SHIVLILA BABASAHEB</t>
  </si>
  <si>
    <t>VARE ANJALI RAMDAS</t>
  </si>
  <si>
    <t>WAGHMARE PALLAVI DNYANESHWAR</t>
  </si>
  <si>
    <t>GAVASANE VEDANT AMOL</t>
  </si>
  <si>
    <t>EJ-&gt;CO</t>
  </si>
  <si>
    <t>HAJARE SWAPNALI SUJIT</t>
  </si>
  <si>
    <t>MUGALE AMAR RAM</t>
  </si>
  <si>
    <t>PAWAR ASHWASANDHYA NANDAKUMAR</t>
  </si>
  <si>
    <t>PAWAR ASHWASHRADHA DHANAJI</t>
  </si>
  <si>
    <t>SUTAR PRIYA BHAGVANT</t>
  </si>
  <si>
    <t>SUTAR YOGESH EKNATH</t>
  </si>
  <si>
    <t>WAWALKAR ANJALI ANIL</t>
  </si>
  <si>
    <t>Government Polytechnic, Dharashiv.</t>
  </si>
  <si>
    <t>Program Name:      Diploma In Computer Engineering (CO)</t>
  </si>
  <si>
    <t>CO3K</t>
  </si>
  <si>
    <t>Course  Title :       Data Structures using C  - 313301</t>
  </si>
  <si>
    <t xml:space="preserve">Q1-A  </t>
  </si>
  <si>
    <t xml:space="preserve">Q1-B  </t>
  </si>
  <si>
    <t xml:space="preserve">Q1-C  </t>
  </si>
  <si>
    <t xml:space="preserve">Q1-D  </t>
  </si>
  <si>
    <t xml:space="preserve">Q1-E  </t>
  </si>
  <si>
    <t xml:space="preserve">Q1-F  </t>
  </si>
  <si>
    <t xml:space="preserve">Q1-G  </t>
  </si>
  <si>
    <t xml:space="preserve">Q2-A  </t>
  </si>
  <si>
    <t xml:space="preserve">Q2-B  </t>
  </si>
  <si>
    <t xml:space="preserve">Q2-C  </t>
  </si>
  <si>
    <t xml:space="preserve">Q2-D  </t>
  </si>
  <si>
    <t xml:space="preserve">Q2-E  </t>
  </si>
  <si>
    <t xml:space="preserve">Q2-F  </t>
  </si>
  <si>
    <t xml:space="preserve">Q2-G  </t>
  </si>
  <si>
    <t>Second  Progressive Assessment of Theory (PA-TH) AY-2024-25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</si>
</sst>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24" x14ac:knownFonts="1">
    <font>
      <sz val="10"/>
      <color rgb="FF000000"/>
      <name val="Arial"/>
      <scheme val="minor"/>
    </font>
    <font>
      <sz val="13"/>
      <color theme="1"/>
      <name val="Verdana"/>
    </font>
    <font>
      <b/>
      <sz val="12"/>
      <color theme="1"/>
      <name val="Verdana"/>
    </font>
    <font>
      <sz val="10"/>
      <color theme="1"/>
      <name val="Arial"/>
      <scheme val="minor"/>
    </font>
    <font>
      <b/>
      <sz val="18"/>
      <color theme="1"/>
      <name val="Verdana"/>
    </font>
    <font>
      <b/>
      <sz val="14"/>
      <color theme="1"/>
      <name val="Arial"/>
      <scheme val="minor"/>
    </font>
    <font>
      <b/>
      <sz val="12"/>
      <color theme="1"/>
      <name val="Arial"/>
    </font>
    <font>
      <b/>
      <sz val="11"/>
      <color theme="1"/>
      <name val="Verdana"/>
    </font>
    <font>
      <b/>
      <sz val="10"/>
      <color theme="1"/>
      <name val="Verdana"/>
    </font>
    <font>
      <sz val="10"/>
      <color theme="1"/>
      <name val="Arial"/>
    </font>
    <font>
      <sz val="11"/>
      <color theme="1"/>
      <name val="Verdana"/>
    </font>
    <font>
      <sz val="9"/>
      <color theme="1"/>
      <name val="Verdana"/>
    </font>
    <font>
      <sz val="10"/>
      <color theme="1"/>
      <name val="Verdana"/>
    </font>
    <font>
      <b/>
      <sz val="11"/>
      <color theme="1"/>
      <name val="Arial"/>
    </font>
    <font>
      <sz val="14"/>
      <color theme="1"/>
      <name val="Verdana"/>
      <family val="2"/>
    </font>
    <font>
      <b/>
      <sz val="14"/>
      <color theme="1"/>
      <name val="Verdana"/>
      <family val="2"/>
    </font>
    <font>
      <b/>
      <sz val="12"/>
      <color theme="1"/>
      <name val="Verdana"/>
      <family val="2"/>
    </font>
    <font>
      <b/>
      <sz val="12"/>
      <color rgb="FF000000"/>
      <name val="Verdana"/>
      <family val="2"/>
    </font>
    <font>
      <b/>
      <sz val="20"/>
      <color rgb="FF000000"/>
      <name val="Arial"/>
      <family val="2"/>
      <scheme val="minor"/>
    </font>
    <font>
      <b/>
      <sz val="14"/>
      <color rgb="FF000000"/>
      <name val="Verdana"/>
      <family val="2"/>
    </font>
    <font>
      <b/>
      <sz val="20"/>
      <color theme="1"/>
      <name val="Verdana"/>
      <family val="2"/>
    </font>
    <font>
      <b/>
      <sz val="16"/>
      <color theme="1"/>
      <name val="Verdana"/>
      <family val="2"/>
    </font>
    <font>
      <b/>
      <sz val="22"/>
      <color rgb="FF000000"/>
      <name val="Verdana"/>
      <family val="2"/>
    </font>
    <font>
      <b/>
      <sz val="16"/>
      <color rgb="FF000000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A64D79"/>
        <bgColor rgb="FFA64D79"/>
      </patternFill>
    </fill>
    <fill>
      <patternFill patternType="solid">
        <fgColor rgb="FF93C47D"/>
        <bgColor rgb="FF93C47D"/>
      </patternFill>
    </fill>
    <fill>
      <patternFill patternType="solid">
        <fgColor rgb="FF626E7A"/>
        <bgColor rgb="FF626E7A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E0666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DD7E6B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E06666"/>
      </left>
      <right style="thin">
        <color rgb="FFE06666"/>
      </right>
      <top style="thin">
        <color rgb="FFE06666"/>
      </top>
      <bottom style="thin">
        <color rgb="FFE06666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2F65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 style="thin">
        <color rgb="FFE06666"/>
      </left>
      <right/>
      <top style="thin">
        <color rgb="FFE06666"/>
      </top>
      <bottom style="thin">
        <color rgb="FFE06666"/>
      </bottom>
      <diagonal/>
    </border>
    <border>
      <left style="thin">
        <color rgb="FFFFFFFF"/>
      </left>
      <right/>
      <top style="thin">
        <color rgb="FFFFFFFF"/>
      </top>
      <bottom style="thin">
        <color rgb="FF442F65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442F65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 applyFont="1" applyAlignment="1"/>
    <xf numFmtId="164" fontId="3" fillId="0" borderId="4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10" borderId="1" xfId="0" applyFont="1" applyFill="1" applyBorder="1" applyAlignment="1">
      <alignment horizontal="center" wrapText="1"/>
    </xf>
    <xf numFmtId="0" fontId="8" fillId="10" borderId="1" xfId="0" applyFont="1" applyFill="1" applyBorder="1" applyAlignment="1">
      <alignment horizontal="center" wrapText="1"/>
    </xf>
    <xf numFmtId="0" fontId="9" fillId="0" borderId="0" xfId="0" applyFont="1" applyAlignment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/>
    <xf numFmtId="0" fontId="9" fillId="0" borderId="1" xfId="0" applyFont="1" applyBorder="1" applyAlignment="1"/>
    <xf numFmtId="0" fontId="1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12" fillId="0" borderId="1" xfId="0" applyNumberFormat="1" applyFont="1" applyBorder="1" applyAlignment="1"/>
    <xf numFmtId="0" fontId="1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14" fontId="12" fillId="9" borderId="1" xfId="0" applyNumberFormat="1" applyFont="1" applyFill="1" applyBorder="1" applyAlignment="1"/>
    <xf numFmtId="0" fontId="12" fillId="9" borderId="1" xfId="0" applyFont="1" applyFill="1" applyBorder="1" applyAlignment="1"/>
    <xf numFmtId="0" fontId="9" fillId="9" borderId="1" xfId="0" applyFont="1" applyFill="1" applyBorder="1" applyAlignment="1"/>
    <xf numFmtId="0" fontId="13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9" fillId="9" borderId="0" xfId="0" applyFont="1" applyFill="1" applyAlignment="1"/>
    <xf numFmtId="164" fontId="3" fillId="0" borderId="10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9" borderId="15" xfId="0" applyFont="1" applyFill="1" applyBorder="1" applyAlignment="1">
      <alignment vertical="center"/>
    </xf>
    <xf numFmtId="0" fontId="3" fillId="0" borderId="13" xfId="0" quotePrefix="1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20" fillId="5" borderId="17" xfId="0" applyFont="1" applyFill="1" applyBorder="1" applyAlignment="1">
      <alignment horizontal="center" vertical="center"/>
    </xf>
    <xf numFmtId="1" fontId="20" fillId="11" borderId="9" xfId="0" applyNumberFormat="1" applyFont="1" applyFill="1" applyBorder="1" applyAlignment="1">
      <alignment horizontal="center" vertical="center"/>
    </xf>
    <xf numFmtId="1" fontId="20" fillId="13" borderId="9" xfId="0" applyNumberFormat="1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1" fontId="20" fillId="12" borderId="9" xfId="0" applyNumberFormat="1" applyFont="1" applyFill="1" applyBorder="1" applyAlignment="1">
      <alignment horizontal="center" vertical="center"/>
    </xf>
    <xf numFmtId="0" fontId="20" fillId="9" borderId="9" xfId="0" applyFont="1" applyFill="1" applyBorder="1" applyAlignment="1">
      <alignment horizontal="center" vertical="center"/>
    </xf>
    <xf numFmtId="1" fontId="20" fillId="12" borderId="9" xfId="0" applyNumberFormat="1" applyFont="1" applyFill="1" applyBorder="1" applyAlignment="1">
      <alignment horizontal="center" vertical="center" wrapText="1"/>
    </xf>
    <xf numFmtId="1" fontId="20" fillId="13" borderId="9" xfId="0" applyNumberFormat="1" applyFont="1" applyFill="1" applyBorder="1" applyAlignment="1">
      <alignment horizontal="center" vertical="center" wrapText="1"/>
    </xf>
    <xf numFmtId="1" fontId="20" fillId="11" borderId="19" xfId="0" applyNumberFormat="1" applyFont="1" applyFill="1" applyBorder="1" applyAlignment="1">
      <alignment horizontal="center" vertical="center"/>
    </xf>
    <xf numFmtId="1" fontId="20" fillId="11" borderId="20" xfId="0" applyNumberFormat="1" applyFont="1" applyFill="1" applyBorder="1" applyAlignment="1">
      <alignment horizontal="center" vertical="center"/>
    </xf>
    <xf numFmtId="1" fontId="20" fillId="12" borderId="19" xfId="0" applyNumberFormat="1" applyFont="1" applyFill="1" applyBorder="1" applyAlignment="1">
      <alignment horizontal="center" vertical="center"/>
    </xf>
    <xf numFmtId="1" fontId="20" fillId="12" borderId="20" xfId="0" applyNumberFormat="1" applyFont="1" applyFill="1" applyBorder="1" applyAlignment="1">
      <alignment horizontal="center" vertical="center"/>
    </xf>
    <xf numFmtId="1" fontId="20" fillId="12" borderId="19" xfId="0" applyNumberFormat="1" applyFont="1" applyFill="1" applyBorder="1" applyAlignment="1">
      <alignment horizontal="center" vertical="center" wrapText="1"/>
    </xf>
    <xf numFmtId="1" fontId="20" fillId="12" borderId="20" xfId="0" applyNumberFormat="1" applyFont="1" applyFill="1" applyBorder="1" applyAlignment="1">
      <alignment horizontal="center" vertical="center" wrapText="1"/>
    </xf>
    <xf numFmtId="1" fontId="20" fillId="11" borderId="21" xfId="0" applyNumberFormat="1" applyFont="1" applyFill="1" applyBorder="1" applyAlignment="1">
      <alignment horizontal="center" vertical="center"/>
    </xf>
    <xf numFmtId="1" fontId="20" fillId="11" borderId="22" xfId="0" applyNumberFormat="1" applyFont="1" applyFill="1" applyBorder="1" applyAlignment="1">
      <alignment horizontal="center" vertical="center"/>
    </xf>
    <xf numFmtId="1" fontId="20" fillId="11" borderId="23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9" borderId="18" xfId="0" applyFont="1" applyFill="1" applyBorder="1" applyAlignment="1">
      <alignment horizontal="center" vertical="center"/>
    </xf>
    <xf numFmtId="1" fontId="20" fillId="13" borderId="19" xfId="0" applyNumberFormat="1" applyFont="1" applyFill="1" applyBorder="1" applyAlignment="1">
      <alignment horizontal="center" vertical="center"/>
    </xf>
    <xf numFmtId="1" fontId="20" fillId="13" borderId="20" xfId="0" applyNumberFormat="1" applyFont="1" applyFill="1" applyBorder="1" applyAlignment="1">
      <alignment horizontal="center" vertical="center"/>
    </xf>
    <xf numFmtId="1" fontId="20" fillId="13" borderId="19" xfId="0" applyNumberFormat="1" applyFont="1" applyFill="1" applyBorder="1" applyAlignment="1">
      <alignment horizontal="center" vertical="center" wrapText="1"/>
    </xf>
    <xf numFmtId="1" fontId="20" fillId="13" borderId="20" xfId="0" applyNumberFormat="1" applyFont="1" applyFill="1" applyBorder="1" applyAlignment="1">
      <alignment horizontal="center" vertical="center" wrapText="1"/>
    </xf>
    <xf numFmtId="1" fontId="20" fillId="13" borderId="21" xfId="0" applyNumberFormat="1" applyFont="1" applyFill="1" applyBorder="1" applyAlignment="1">
      <alignment horizontal="center" vertical="center"/>
    </xf>
    <xf numFmtId="1" fontId="20" fillId="13" borderId="22" xfId="0" applyNumberFormat="1" applyFont="1" applyFill="1" applyBorder="1" applyAlignment="1">
      <alignment horizontal="center" vertical="center"/>
    </xf>
    <xf numFmtId="1" fontId="20" fillId="13" borderId="23" xfId="0" applyNumberFormat="1" applyFont="1" applyFill="1" applyBorder="1" applyAlignment="1">
      <alignment horizontal="center" vertical="center"/>
    </xf>
    <xf numFmtId="0" fontId="23" fillId="14" borderId="27" xfId="0" applyFont="1" applyFill="1" applyBorder="1" applyAlignment="1">
      <alignment horizontal="center" vertical="center" wrapText="1"/>
    </xf>
    <xf numFmtId="0" fontId="23" fillId="7" borderId="27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center" vertical="center" wrapText="1"/>
    </xf>
    <xf numFmtId="0" fontId="18" fillId="4" borderId="36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vertical="center"/>
    </xf>
    <xf numFmtId="0" fontId="17" fillId="0" borderId="38" xfId="0" applyFont="1" applyBorder="1" applyAlignment="1">
      <alignment vertical="center"/>
    </xf>
    <xf numFmtId="0" fontId="17" fillId="6" borderId="12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6"/>
        <color theme="1"/>
        <name val="Verdana"/>
        <scheme val="none"/>
      </font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16"/>
        <color theme="1"/>
        <name val="Verdana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6"/>
        <color theme="1"/>
        <name val="Verdana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fill>
        <patternFill patternType="none">
          <fgColor indexed="64"/>
          <bgColor theme="0"/>
        </patternFill>
      </fill>
      <border diagonalUp="0" diagonalDown="0">
        <left style="thin">
          <color auto="1"/>
        </left>
        <right style="medium">
          <color indexed="64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fill>
        <patternFill patternType="none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fill>
        <patternFill patternType="none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fill>
        <patternFill patternType="none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fill>
        <patternFill patternType="none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fill>
        <patternFill patternType="none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fill>
        <patternFill patternType="none">
          <fgColor indexed="64"/>
          <bgColor theme="0"/>
        </patternFill>
      </fill>
      <border diagonalUp="0" diagonalDown="0">
        <left style="medium">
          <color indexed="64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fill>
        <patternFill>
          <bgColor theme="0" tint="-0.14999847407452621"/>
        </patternFill>
      </fill>
      <border diagonalUp="0" diagonalDown="0">
        <left style="thin">
          <color auto="1"/>
        </left>
        <right style="medium">
          <color indexed="64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fill>
        <patternFill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fill>
        <patternFill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fill>
        <patternFill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fill>
        <patternFill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fill>
        <patternFill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20"/>
        <color theme="1"/>
        <name val="Verdana"/>
        <scheme val="none"/>
      </font>
      <fill>
        <patternFill>
          <bgColor theme="0" tint="-0.14999847407452621"/>
        </patternFill>
      </fill>
      <border diagonalUp="0" diagonalDown="0">
        <left style="medium">
          <color indexed="64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outline="0">
        <right style="thin">
          <color rgb="FF000000"/>
        </right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orm_Responses1" displayName="Form_Responses1" ref="A4:Z77">
  <tableColumns count="26">
    <tableColumn id="1" name="Timestamp"/>
    <tableColumn id="2" name="Email Address"/>
    <tableColumn id="3" name="Full Name of Student :"/>
    <tableColumn id="4" name="Enrollment No. of Student :"/>
    <tableColumn id="5" name="Roll No. of Student :"/>
    <tableColumn id="6" name="Mobile Number ( Preferably WhatsApp)" dataDxfId="20"/>
    <tableColumn id="7" name="Q1-A  " dataDxfId="19"/>
    <tableColumn id="8" name="Q1-B  " dataDxfId="18"/>
    <tableColumn id="9" name="Q1-C  " dataDxfId="17"/>
    <tableColumn id="10" name="Q1-D  " dataDxfId="16"/>
    <tableColumn id="11" name="Q1-E  " dataDxfId="15"/>
    <tableColumn id="12" name="Q1-F  " dataDxfId="14"/>
    <tableColumn id="13" name="Q1-G  " dataDxfId="13"/>
    <tableColumn id="14" name="Q2-A  " dataDxfId="12"/>
    <tableColumn id="15" name="Q2-B  " dataDxfId="11"/>
    <tableColumn id="16" name="Q2-C  " dataDxfId="10"/>
    <tableColumn id="17" name="Q2-D  " dataDxfId="9"/>
    <tableColumn id="18" name="Q2-E  " dataDxfId="8"/>
    <tableColumn id="19" name="Q2-F  " dataDxfId="7"/>
    <tableColumn id="20" name="Q2-G  " dataDxfId="6"/>
    <tableColumn id="21" name="10/14" dataDxfId="5"/>
    <tableColumn id="22" name="20/28" dataDxfId="4"/>
    <tableColumn id="23" name="Total Marks Out of 30" dataDxfId="3"/>
    <tableColumn id="24" name="Total Marks Out of 42" dataDxfId="2"/>
    <tableColumn id="25" name="Marks obtained by student" dataDxfId="1"/>
    <tableColumn id="26" name="Column 1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77"/>
  <sheetViews>
    <sheetView tabSelected="1" view="pageBreakPreview" zoomScale="60" zoomScaleNormal="70" workbookViewId="0">
      <pane ySplit="4" topLeftCell="A56" activePane="bottomLeft" state="frozen"/>
      <selection pane="bottomLeft" activeCell="C60" sqref="C60"/>
    </sheetView>
  </sheetViews>
  <sheetFormatPr defaultColWidth="12.5703125" defaultRowHeight="15.75" customHeight="1" x14ac:dyDescent="0.2"/>
  <cols>
    <col min="1" max="2" width="18.85546875" hidden="1" customWidth="1"/>
    <col min="3" max="3" width="43.28515625" customWidth="1"/>
    <col min="4" max="4" width="3.5703125" hidden="1" customWidth="1"/>
    <col min="5" max="5" width="14" customWidth="1"/>
    <col min="6" max="6" width="19.5703125" hidden="1" customWidth="1"/>
    <col min="7" max="26" width="12.28515625" customWidth="1"/>
  </cols>
  <sheetData>
    <row r="1" spans="1:26" ht="38.25" customHeight="1" thickBot="1" x14ac:dyDescent="0.25">
      <c r="C1" s="89" t="s">
        <v>252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1"/>
    </row>
    <row r="2" spans="1:26" ht="38.25" customHeight="1" thickBot="1" x14ac:dyDescent="0.25">
      <c r="C2" s="92" t="s">
        <v>270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4"/>
    </row>
    <row r="3" spans="1:26" ht="38.25" customHeight="1" thickBot="1" x14ac:dyDescent="0.25">
      <c r="C3" s="95" t="s">
        <v>253</v>
      </c>
      <c r="D3" s="96"/>
      <c r="E3" s="96"/>
      <c r="F3" s="96"/>
      <c r="G3" s="96"/>
      <c r="H3" s="96"/>
      <c r="I3" s="96"/>
      <c r="J3" s="96"/>
      <c r="K3" s="85"/>
      <c r="L3" s="97" t="s">
        <v>254</v>
      </c>
      <c r="M3" s="98"/>
      <c r="N3" s="99"/>
      <c r="O3" s="86"/>
      <c r="P3" s="86"/>
      <c r="Q3" s="96" t="s">
        <v>255</v>
      </c>
      <c r="R3" s="96"/>
      <c r="S3" s="96"/>
      <c r="T3" s="96"/>
      <c r="U3" s="96"/>
      <c r="V3" s="96"/>
      <c r="W3" s="96"/>
      <c r="X3" s="96"/>
      <c r="Y3" s="96"/>
      <c r="Z3" s="100"/>
    </row>
    <row r="4" spans="1:26" ht="64.5" customHeight="1" x14ac:dyDescent="0.2">
      <c r="A4" s="41" t="s">
        <v>0</v>
      </c>
      <c r="B4" s="41" t="s">
        <v>1</v>
      </c>
      <c r="C4" s="79" t="s">
        <v>2</v>
      </c>
      <c r="D4" s="79" t="s">
        <v>3</v>
      </c>
      <c r="E4" s="79" t="s">
        <v>4</v>
      </c>
      <c r="F4" s="80" t="s">
        <v>5</v>
      </c>
      <c r="G4" s="77" t="s">
        <v>256</v>
      </c>
      <c r="H4" s="77" t="s">
        <v>257</v>
      </c>
      <c r="I4" s="77" t="s">
        <v>258</v>
      </c>
      <c r="J4" s="77" t="s">
        <v>259</v>
      </c>
      <c r="K4" s="77" t="s">
        <v>260</v>
      </c>
      <c r="L4" s="77" t="s">
        <v>261</v>
      </c>
      <c r="M4" s="77" t="s">
        <v>262</v>
      </c>
      <c r="N4" s="78" t="s">
        <v>263</v>
      </c>
      <c r="O4" s="78" t="s">
        <v>264</v>
      </c>
      <c r="P4" s="78" t="s">
        <v>265</v>
      </c>
      <c r="Q4" s="78" t="s">
        <v>266</v>
      </c>
      <c r="R4" s="78" t="s">
        <v>267</v>
      </c>
      <c r="S4" s="78" t="s">
        <v>268</v>
      </c>
      <c r="T4" s="78" t="s">
        <v>269</v>
      </c>
      <c r="U4" s="81" t="s">
        <v>6</v>
      </c>
      <c r="V4" s="82" t="s">
        <v>7</v>
      </c>
      <c r="W4" s="83" t="s">
        <v>8</v>
      </c>
      <c r="X4" s="87" t="s">
        <v>9</v>
      </c>
      <c r="Y4" s="88" t="s">
        <v>10</v>
      </c>
      <c r="Z4" s="84" t="s">
        <v>11</v>
      </c>
    </row>
    <row r="5" spans="1:26" ht="24.75" x14ac:dyDescent="0.25">
      <c r="A5" s="37">
        <v>45617.462753530097</v>
      </c>
      <c r="B5" s="38" t="s">
        <v>12</v>
      </c>
      <c r="C5" s="39" t="s">
        <v>13</v>
      </c>
      <c r="D5" s="38">
        <v>2201180008</v>
      </c>
      <c r="E5" s="40">
        <v>1</v>
      </c>
      <c r="F5" s="46">
        <v>7498646495</v>
      </c>
      <c r="G5" s="59">
        <v>0</v>
      </c>
      <c r="H5" s="52">
        <v>2</v>
      </c>
      <c r="I5" s="52">
        <v>0</v>
      </c>
      <c r="J5" s="52">
        <v>1</v>
      </c>
      <c r="K5" s="52">
        <v>1</v>
      </c>
      <c r="L5" s="52">
        <v>0</v>
      </c>
      <c r="M5" s="60">
        <v>0</v>
      </c>
      <c r="N5" s="70">
        <v>0</v>
      </c>
      <c r="O5" s="53">
        <v>2</v>
      </c>
      <c r="P5" s="53">
        <v>0</v>
      </c>
      <c r="Q5" s="53">
        <v>1</v>
      </c>
      <c r="R5" s="53">
        <v>1</v>
      </c>
      <c r="S5" s="53">
        <v>0</v>
      </c>
      <c r="T5" s="71">
        <v>-1</v>
      </c>
      <c r="U5" s="68">
        <v>4</v>
      </c>
      <c r="V5" s="54">
        <v>4</v>
      </c>
      <c r="W5" s="51">
        <f t="shared" ref="W5:W77" si="0">SUM(U5:V5)</f>
        <v>8</v>
      </c>
      <c r="X5" s="42">
        <f t="shared" ref="X5:X77" si="1">SUMIF($G5:$T5,"&gt;0")</f>
        <v>8</v>
      </c>
      <c r="Y5" s="43">
        <v>8</v>
      </c>
      <c r="Z5" s="42">
        <f t="shared" ref="Z5:Z77" si="2">W5-Y5</f>
        <v>0</v>
      </c>
    </row>
    <row r="6" spans="1:26" ht="24.75" x14ac:dyDescent="0.25">
      <c r="A6" s="1">
        <v>45618.439462557872</v>
      </c>
      <c r="B6" s="2" t="s">
        <v>14</v>
      </c>
      <c r="C6" s="3" t="s">
        <v>15</v>
      </c>
      <c r="D6" s="2">
        <v>23510250191</v>
      </c>
      <c r="E6" s="4">
        <v>2</v>
      </c>
      <c r="F6" s="47">
        <v>8468985022</v>
      </c>
      <c r="G6" s="59">
        <v>2</v>
      </c>
      <c r="H6" s="52">
        <v>2</v>
      </c>
      <c r="I6" s="52">
        <v>2</v>
      </c>
      <c r="J6" s="52">
        <v>-1</v>
      </c>
      <c r="K6" s="52">
        <v>-1</v>
      </c>
      <c r="L6" s="52">
        <v>2</v>
      </c>
      <c r="M6" s="60">
        <v>2</v>
      </c>
      <c r="N6" s="70">
        <v>4</v>
      </c>
      <c r="O6" s="53">
        <v>4</v>
      </c>
      <c r="P6" s="53">
        <v>3</v>
      </c>
      <c r="Q6" s="53">
        <v>4</v>
      </c>
      <c r="R6" s="53">
        <v>3</v>
      </c>
      <c r="S6" s="53">
        <v>4</v>
      </c>
      <c r="T6" s="71">
        <v>-1</v>
      </c>
      <c r="U6" s="68">
        <v>10</v>
      </c>
      <c r="V6" s="54">
        <v>19</v>
      </c>
      <c r="W6" s="51">
        <f t="shared" si="0"/>
        <v>29</v>
      </c>
      <c r="X6" s="42">
        <f t="shared" si="1"/>
        <v>32</v>
      </c>
      <c r="Y6" s="43">
        <v>29</v>
      </c>
      <c r="Z6" s="42">
        <f t="shared" si="2"/>
        <v>0</v>
      </c>
    </row>
    <row r="7" spans="1:26" ht="24.75" x14ac:dyDescent="0.25">
      <c r="A7" s="5">
        <v>45617.503368692131</v>
      </c>
      <c r="B7" s="6" t="s">
        <v>16</v>
      </c>
      <c r="C7" s="3" t="s">
        <v>17</v>
      </c>
      <c r="D7" s="6">
        <v>23510250192</v>
      </c>
      <c r="E7" s="4">
        <v>3</v>
      </c>
      <c r="F7" s="46">
        <v>9637998066</v>
      </c>
      <c r="G7" s="59">
        <v>1</v>
      </c>
      <c r="H7" s="52">
        <v>1</v>
      </c>
      <c r="I7" s="52">
        <v>1</v>
      </c>
      <c r="J7" s="52">
        <v>0</v>
      </c>
      <c r="K7" s="52">
        <v>1</v>
      </c>
      <c r="L7" s="52">
        <v>2</v>
      </c>
      <c r="M7" s="60">
        <v>2</v>
      </c>
      <c r="N7" s="70">
        <v>2</v>
      </c>
      <c r="O7" s="53">
        <v>4</v>
      </c>
      <c r="P7" s="53">
        <v>4</v>
      </c>
      <c r="Q7" s="53">
        <v>2</v>
      </c>
      <c r="R7" s="53">
        <v>2</v>
      </c>
      <c r="S7" s="53">
        <v>0</v>
      </c>
      <c r="T7" s="71">
        <v>0</v>
      </c>
      <c r="U7" s="68">
        <v>7</v>
      </c>
      <c r="V7" s="54">
        <v>14</v>
      </c>
      <c r="W7" s="51">
        <f t="shared" si="0"/>
        <v>21</v>
      </c>
      <c r="X7" s="42">
        <f t="shared" si="1"/>
        <v>22</v>
      </c>
      <c r="Y7" s="43">
        <v>21</v>
      </c>
      <c r="Z7" s="42">
        <f t="shared" si="2"/>
        <v>0</v>
      </c>
    </row>
    <row r="8" spans="1:26" ht="24.75" x14ac:dyDescent="0.25">
      <c r="A8" s="1">
        <v>45618.451335578706</v>
      </c>
      <c r="B8" s="2" t="s">
        <v>18</v>
      </c>
      <c r="C8" s="3" t="s">
        <v>19</v>
      </c>
      <c r="D8" s="2">
        <v>23510250193</v>
      </c>
      <c r="E8" s="4">
        <v>4</v>
      </c>
      <c r="F8" s="47">
        <v>9209526986</v>
      </c>
      <c r="G8" s="59">
        <v>2</v>
      </c>
      <c r="H8" s="52">
        <v>2</v>
      </c>
      <c r="I8" s="52">
        <v>2</v>
      </c>
      <c r="J8" s="52">
        <v>1</v>
      </c>
      <c r="K8" s="52">
        <v>1</v>
      </c>
      <c r="L8" s="52">
        <v>2</v>
      </c>
      <c r="M8" s="60">
        <v>0</v>
      </c>
      <c r="N8" s="70">
        <v>0</v>
      </c>
      <c r="O8" s="53">
        <v>4</v>
      </c>
      <c r="P8" s="53">
        <v>4</v>
      </c>
      <c r="Q8" s="53">
        <v>4</v>
      </c>
      <c r="R8" s="53">
        <v>0</v>
      </c>
      <c r="S8" s="53">
        <v>0</v>
      </c>
      <c r="T8" s="71">
        <v>0</v>
      </c>
      <c r="U8" s="68">
        <v>9</v>
      </c>
      <c r="V8" s="54">
        <v>12</v>
      </c>
      <c r="W8" s="51">
        <f t="shared" si="0"/>
        <v>21</v>
      </c>
      <c r="X8" s="42">
        <f t="shared" si="1"/>
        <v>22</v>
      </c>
      <c r="Y8" s="43">
        <v>21</v>
      </c>
      <c r="Z8" s="42">
        <f t="shared" si="2"/>
        <v>0</v>
      </c>
    </row>
    <row r="9" spans="1:26" ht="24.75" x14ac:dyDescent="0.25">
      <c r="A9" s="5">
        <v>45618.564352673609</v>
      </c>
      <c r="B9" s="6" t="s">
        <v>20</v>
      </c>
      <c r="C9" s="3" t="s">
        <v>21</v>
      </c>
      <c r="D9" s="6">
        <v>23510250194</v>
      </c>
      <c r="E9" s="4">
        <v>5</v>
      </c>
      <c r="F9" s="46">
        <v>9999999</v>
      </c>
      <c r="G9" s="59">
        <v>2</v>
      </c>
      <c r="H9" s="52">
        <v>2</v>
      </c>
      <c r="I9" s="52">
        <v>2</v>
      </c>
      <c r="J9" s="52">
        <v>-1</v>
      </c>
      <c r="K9" s="52">
        <v>2</v>
      </c>
      <c r="L9" s="52">
        <v>2</v>
      </c>
      <c r="M9" s="60">
        <v>1</v>
      </c>
      <c r="N9" s="70">
        <v>0</v>
      </c>
      <c r="O9" s="53">
        <v>4</v>
      </c>
      <c r="P9" s="53">
        <v>-1</v>
      </c>
      <c r="Q9" s="53">
        <v>1</v>
      </c>
      <c r="R9" s="53">
        <v>3</v>
      </c>
      <c r="S9" s="53">
        <v>4</v>
      </c>
      <c r="T9" s="71">
        <v>1</v>
      </c>
      <c r="U9" s="68">
        <v>10</v>
      </c>
      <c r="V9" s="54">
        <v>13</v>
      </c>
      <c r="W9" s="51">
        <f t="shared" si="0"/>
        <v>23</v>
      </c>
      <c r="X9" s="42">
        <f t="shared" si="1"/>
        <v>24</v>
      </c>
      <c r="Y9" s="43">
        <v>23</v>
      </c>
      <c r="Z9" s="42">
        <f t="shared" si="2"/>
        <v>0</v>
      </c>
    </row>
    <row r="10" spans="1:26" ht="24.75" x14ac:dyDescent="0.25">
      <c r="A10" s="1">
        <v>45617.505947118058</v>
      </c>
      <c r="B10" s="2" t="s">
        <v>22</v>
      </c>
      <c r="C10" s="3" t="s">
        <v>23</v>
      </c>
      <c r="D10" s="2">
        <v>23510250195</v>
      </c>
      <c r="E10" s="4">
        <v>6</v>
      </c>
      <c r="F10" s="47">
        <v>9284904157</v>
      </c>
      <c r="G10" s="59">
        <v>2</v>
      </c>
      <c r="H10" s="52">
        <v>2</v>
      </c>
      <c r="I10" s="52">
        <v>2</v>
      </c>
      <c r="J10" s="52">
        <v>2</v>
      </c>
      <c r="K10" s="52">
        <v>-1</v>
      </c>
      <c r="L10" s="52">
        <v>2</v>
      </c>
      <c r="M10" s="60">
        <v>2</v>
      </c>
      <c r="N10" s="70">
        <v>4</v>
      </c>
      <c r="O10" s="53">
        <v>4</v>
      </c>
      <c r="P10" s="53">
        <v>4</v>
      </c>
      <c r="Q10" s="53">
        <v>4</v>
      </c>
      <c r="R10" s="53">
        <v>4</v>
      </c>
      <c r="S10" s="53">
        <v>4</v>
      </c>
      <c r="T10" s="71">
        <v>-1</v>
      </c>
      <c r="U10" s="68">
        <v>10</v>
      </c>
      <c r="V10" s="54">
        <v>20</v>
      </c>
      <c r="W10" s="51">
        <f t="shared" si="0"/>
        <v>30</v>
      </c>
      <c r="X10" s="42">
        <f t="shared" si="1"/>
        <v>36</v>
      </c>
      <c r="Y10" s="43">
        <v>30</v>
      </c>
      <c r="Z10" s="42">
        <f t="shared" si="2"/>
        <v>0</v>
      </c>
    </row>
    <row r="11" spans="1:26" ht="24.75" x14ac:dyDescent="0.25">
      <c r="A11" s="5">
        <v>45617.515016631944</v>
      </c>
      <c r="B11" s="6" t="s">
        <v>24</v>
      </c>
      <c r="C11" s="3" t="s">
        <v>25</v>
      </c>
      <c r="D11" s="6">
        <v>23510250196</v>
      </c>
      <c r="E11" s="4">
        <v>7</v>
      </c>
      <c r="F11" s="46">
        <v>9325260614</v>
      </c>
      <c r="G11" s="59">
        <v>1</v>
      </c>
      <c r="H11" s="52">
        <v>2</v>
      </c>
      <c r="I11" s="52">
        <v>1</v>
      </c>
      <c r="J11" s="52">
        <v>-1</v>
      </c>
      <c r="K11" s="52">
        <v>2</v>
      </c>
      <c r="L11" s="52">
        <v>1</v>
      </c>
      <c r="M11" s="60">
        <v>-1</v>
      </c>
      <c r="N11" s="70">
        <v>0</v>
      </c>
      <c r="O11" s="53">
        <v>4</v>
      </c>
      <c r="P11" s="53">
        <v>0</v>
      </c>
      <c r="Q11" s="53">
        <v>4</v>
      </c>
      <c r="R11" s="53">
        <v>-1</v>
      </c>
      <c r="S11" s="53">
        <v>3</v>
      </c>
      <c r="T11" s="71">
        <v>2</v>
      </c>
      <c r="U11" s="68">
        <v>7</v>
      </c>
      <c r="V11" s="54">
        <v>13</v>
      </c>
      <c r="W11" s="51">
        <f t="shared" si="0"/>
        <v>20</v>
      </c>
      <c r="X11" s="42">
        <f t="shared" si="1"/>
        <v>20</v>
      </c>
      <c r="Y11" s="43">
        <v>20</v>
      </c>
      <c r="Z11" s="42">
        <f t="shared" si="2"/>
        <v>0</v>
      </c>
    </row>
    <row r="12" spans="1:26" ht="24.75" x14ac:dyDescent="0.25">
      <c r="A12" s="1">
        <v>45617.485377326389</v>
      </c>
      <c r="B12" s="2" t="s">
        <v>26</v>
      </c>
      <c r="C12" s="3" t="s">
        <v>27</v>
      </c>
      <c r="D12" s="2">
        <v>23510250197</v>
      </c>
      <c r="E12" s="4">
        <v>8</v>
      </c>
      <c r="F12" s="47">
        <v>9022989193</v>
      </c>
      <c r="G12" s="59">
        <v>2</v>
      </c>
      <c r="H12" s="52">
        <v>2</v>
      </c>
      <c r="I12" s="52">
        <v>2</v>
      </c>
      <c r="J12" s="52">
        <v>-1</v>
      </c>
      <c r="K12" s="52">
        <v>0</v>
      </c>
      <c r="L12" s="52">
        <v>0</v>
      </c>
      <c r="M12" s="60">
        <v>2</v>
      </c>
      <c r="N12" s="70">
        <v>2</v>
      </c>
      <c r="O12" s="53">
        <v>2</v>
      </c>
      <c r="P12" s="53">
        <v>2</v>
      </c>
      <c r="Q12" s="53">
        <v>2</v>
      </c>
      <c r="R12" s="53">
        <v>0</v>
      </c>
      <c r="S12" s="53">
        <v>0</v>
      </c>
      <c r="T12" s="71">
        <v>0</v>
      </c>
      <c r="U12" s="68">
        <v>8</v>
      </c>
      <c r="V12" s="54">
        <v>8</v>
      </c>
      <c r="W12" s="51">
        <f t="shared" si="0"/>
        <v>16</v>
      </c>
      <c r="X12" s="42">
        <f t="shared" si="1"/>
        <v>16</v>
      </c>
      <c r="Y12" s="43">
        <v>16</v>
      </c>
      <c r="Z12" s="42">
        <f t="shared" si="2"/>
        <v>0</v>
      </c>
    </row>
    <row r="13" spans="1:26" ht="24.75" x14ac:dyDescent="0.25">
      <c r="A13" s="5">
        <v>45617.508676944446</v>
      </c>
      <c r="B13" s="6" t="s">
        <v>28</v>
      </c>
      <c r="C13" s="3" t="s">
        <v>29</v>
      </c>
      <c r="D13" s="6">
        <v>23510250198</v>
      </c>
      <c r="E13" s="4">
        <v>9</v>
      </c>
      <c r="F13" s="46">
        <v>9022672472</v>
      </c>
      <c r="G13" s="59">
        <v>2</v>
      </c>
      <c r="H13" s="52">
        <v>2</v>
      </c>
      <c r="I13" s="52">
        <v>2</v>
      </c>
      <c r="J13" s="52">
        <v>2</v>
      </c>
      <c r="K13" s="52">
        <v>2</v>
      </c>
      <c r="L13" s="52">
        <v>2</v>
      </c>
      <c r="M13" s="60">
        <v>-1</v>
      </c>
      <c r="N13" s="70">
        <v>2</v>
      </c>
      <c r="O13" s="53">
        <v>4</v>
      </c>
      <c r="P13" s="53">
        <v>-1</v>
      </c>
      <c r="Q13" s="53">
        <v>2</v>
      </c>
      <c r="R13" s="53">
        <v>3</v>
      </c>
      <c r="S13" s="53">
        <v>4</v>
      </c>
      <c r="T13" s="71">
        <v>3</v>
      </c>
      <c r="U13" s="68">
        <v>10</v>
      </c>
      <c r="V13" s="54">
        <v>16</v>
      </c>
      <c r="W13" s="51">
        <f t="shared" si="0"/>
        <v>26</v>
      </c>
      <c r="X13" s="42">
        <f t="shared" si="1"/>
        <v>30</v>
      </c>
      <c r="Y13" s="43">
        <v>26</v>
      </c>
      <c r="Z13" s="42">
        <f t="shared" si="2"/>
        <v>0</v>
      </c>
    </row>
    <row r="14" spans="1:26" ht="24.75" x14ac:dyDescent="0.25">
      <c r="A14" s="1">
        <v>45618.450757500003</v>
      </c>
      <c r="B14" s="2" t="s">
        <v>30</v>
      </c>
      <c r="C14" s="3" t="s">
        <v>31</v>
      </c>
      <c r="D14" s="2">
        <v>23510250199</v>
      </c>
      <c r="E14" s="4">
        <v>10</v>
      </c>
      <c r="F14" s="47">
        <v>7775900436</v>
      </c>
      <c r="G14" s="59">
        <v>2</v>
      </c>
      <c r="H14" s="52">
        <v>2</v>
      </c>
      <c r="I14" s="52">
        <v>2</v>
      </c>
      <c r="J14" s="52">
        <v>-1</v>
      </c>
      <c r="K14" s="52">
        <v>1</v>
      </c>
      <c r="L14" s="52">
        <v>2</v>
      </c>
      <c r="M14" s="60">
        <v>2</v>
      </c>
      <c r="N14" s="70">
        <v>0</v>
      </c>
      <c r="O14" s="53">
        <v>4</v>
      </c>
      <c r="P14" s="53">
        <v>-1</v>
      </c>
      <c r="Q14" s="53">
        <v>2</v>
      </c>
      <c r="R14" s="53">
        <v>3</v>
      </c>
      <c r="S14" s="53">
        <v>3</v>
      </c>
      <c r="T14" s="71">
        <v>1</v>
      </c>
      <c r="U14" s="68">
        <v>10</v>
      </c>
      <c r="V14" s="54">
        <v>13</v>
      </c>
      <c r="W14" s="51">
        <f t="shared" si="0"/>
        <v>23</v>
      </c>
      <c r="X14" s="42">
        <f t="shared" si="1"/>
        <v>24</v>
      </c>
      <c r="Y14" s="43">
        <v>23</v>
      </c>
      <c r="Z14" s="42">
        <f t="shared" si="2"/>
        <v>0</v>
      </c>
    </row>
    <row r="15" spans="1:26" ht="24.75" x14ac:dyDescent="0.25">
      <c r="A15" s="5">
        <v>45618.451784131947</v>
      </c>
      <c r="B15" s="6" t="s">
        <v>32</v>
      </c>
      <c r="C15" s="3" t="s">
        <v>33</v>
      </c>
      <c r="D15" s="6">
        <v>23510250200</v>
      </c>
      <c r="E15" s="4">
        <v>11</v>
      </c>
      <c r="F15" s="46">
        <v>8208065798</v>
      </c>
      <c r="G15" s="59">
        <v>1</v>
      </c>
      <c r="H15" s="52">
        <v>2</v>
      </c>
      <c r="I15" s="52">
        <v>-1</v>
      </c>
      <c r="J15" s="52">
        <v>2</v>
      </c>
      <c r="K15" s="52">
        <v>2</v>
      </c>
      <c r="L15" s="52">
        <v>2</v>
      </c>
      <c r="M15" s="60">
        <v>-1</v>
      </c>
      <c r="N15" s="70">
        <v>2</v>
      </c>
      <c r="O15" s="53">
        <v>4</v>
      </c>
      <c r="P15" s="53">
        <v>2</v>
      </c>
      <c r="Q15" s="53">
        <v>0</v>
      </c>
      <c r="R15" s="53">
        <v>2</v>
      </c>
      <c r="S15" s="53">
        <v>0</v>
      </c>
      <c r="T15" s="71">
        <v>-1</v>
      </c>
      <c r="U15" s="68">
        <v>9</v>
      </c>
      <c r="V15" s="54">
        <v>10</v>
      </c>
      <c r="W15" s="51">
        <f t="shared" si="0"/>
        <v>19</v>
      </c>
      <c r="X15" s="42">
        <f t="shared" si="1"/>
        <v>19</v>
      </c>
      <c r="Y15" s="43">
        <v>19</v>
      </c>
      <c r="Z15" s="42">
        <f t="shared" si="2"/>
        <v>0</v>
      </c>
    </row>
    <row r="16" spans="1:26" ht="24.75" x14ac:dyDescent="0.25">
      <c r="A16" s="1">
        <v>45617.49292326389</v>
      </c>
      <c r="B16" s="2" t="s">
        <v>34</v>
      </c>
      <c r="C16" s="3" t="s">
        <v>35</v>
      </c>
      <c r="D16" s="2">
        <v>23510250201</v>
      </c>
      <c r="E16" s="4">
        <v>12</v>
      </c>
      <c r="F16" s="47">
        <v>9503988621</v>
      </c>
      <c r="G16" s="59">
        <v>-1</v>
      </c>
      <c r="H16" s="52">
        <v>2</v>
      </c>
      <c r="I16" s="52">
        <v>2</v>
      </c>
      <c r="J16" s="52">
        <v>2</v>
      </c>
      <c r="K16" s="52">
        <v>2</v>
      </c>
      <c r="L16" s="52">
        <v>-1</v>
      </c>
      <c r="M16" s="60">
        <v>2</v>
      </c>
      <c r="N16" s="70">
        <v>4</v>
      </c>
      <c r="O16" s="53">
        <v>4</v>
      </c>
      <c r="P16" s="53">
        <v>4</v>
      </c>
      <c r="Q16" s="53">
        <v>2</v>
      </c>
      <c r="R16" s="53">
        <v>4</v>
      </c>
      <c r="S16" s="53">
        <v>4</v>
      </c>
      <c r="T16" s="71">
        <v>-1</v>
      </c>
      <c r="U16" s="68">
        <v>10</v>
      </c>
      <c r="V16" s="54">
        <v>20</v>
      </c>
      <c r="W16" s="51">
        <f t="shared" si="0"/>
        <v>30</v>
      </c>
      <c r="X16" s="42">
        <f t="shared" si="1"/>
        <v>32</v>
      </c>
      <c r="Y16" s="43">
        <v>30</v>
      </c>
      <c r="Z16" s="42">
        <f t="shared" si="2"/>
        <v>0</v>
      </c>
    </row>
    <row r="17" spans="1:26" ht="24.75" x14ac:dyDescent="0.25">
      <c r="A17" s="5">
        <v>45618.451945706023</v>
      </c>
      <c r="B17" s="6" t="s">
        <v>36</v>
      </c>
      <c r="C17" s="3" t="s">
        <v>37</v>
      </c>
      <c r="D17" s="6">
        <v>23510250202</v>
      </c>
      <c r="E17" s="4">
        <v>13</v>
      </c>
      <c r="F17" s="46">
        <v>7798844407</v>
      </c>
      <c r="G17" s="59">
        <v>2</v>
      </c>
      <c r="H17" s="52">
        <v>1</v>
      </c>
      <c r="I17" s="52">
        <v>0</v>
      </c>
      <c r="J17" s="52">
        <v>1</v>
      </c>
      <c r="K17" s="52">
        <v>-1</v>
      </c>
      <c r="L17" s="52">
        <v>2</v>
      </c>
      <c r="M17" s="60">
        <v>-1</v>
      </c>
      <c r="N17" s="70">
        <v>0</v>
      </c>
      <c r="O17" s="53">
        <v>4</v>
      </c>
      <c r="P17" s="53">
        <v>-1</v>
      </c>
      <c r="Q17" s="53">
        <v>0</v>
      </c>
      <c r="R17" s="53">
        <v>1</v>
      </c>
      <c r="S17" s="53">
        <v>2</v>
      </c>
      <c r="T17" s="71">
        <v>2</v>
      </c>
      <c r="U17" s="68">
        <v>6</v>
      </c>
      <c r="V17" s="54">
        <v>9</v>
      </c>
      <c r="W17" s="51">
        <f t="shared" si="0"/>
        <v>15</v>
      </c>
      <c r="X17" s="42">
        <f t="shared" si="1"/>
        <v>15</v>
      </c>
      <c r="Y17" s="43">
        <v>15</v>
      </c>
      <c r="Z17" s="42">
        <f t="shared" si="2"/>
        <v>0</v>
      </c>
    </row>
    <row r="18" spans="1:26" ht="24.75" x14ac:dyDescent="0.25">
      <c r="A18" s="1">
        <v>45617.486023391204</v>
      </c>
      <c r="B18" s="2" t="s">
        <v>38</v>
      </c>
      <c r="C18" s="3" t="s">
        <v>39</v>
      </c>
      <c r="D18" s="2">
        <v>23510250203</v>
      </c>
      <c r="E18" s="4">
        <v>14</v>
      </c>
      <c r="F18" s="47">
        <v>8459607758</v>
      </c>
      <c r="G18" s="59">
        <v>1</v>
      </c>
      <c r="H18" s="52">
        <v>2</v>
      </c>
      <c r="I18" s="52">
        <v>2</v>
      </c>
      <c r="J18" s="52">
        <v>-1</v>
      </c>
      <c r="K18" s="52">
        <v>2</v>
      </c>
      <c r="L18" s="52">
        <v>0</v>
      </c>
      <c r="M18" s="60">
        <v>-1</v>
      </c>
      <c r="N18" s="70">
        <v>-1</v>
      </c>
      <c r="O18" s="53">
        <v>4</v>
      </c>
      <c r="P18" s="53">
        <v>-1</v>
      </c>
      <c r="Q18" s="53">
        <v>1</v>
      </c>
      <c r="R18" s="53">
        <v>3</v>
      </c>
      <c r="S18" s="53">
        <v>4</v>
      </c>
      <c r="T18" s="71">
        <v>4</v>
      </c>
      <c r="U18" s="68">
        <v>7</v>
      </c>
      <c r="V18" s="54">
        <v>16</v>
      </c>
      <c r="W18" s="51">
        <f t="shared" si="0"/>
        <v>23</v>
      </c>
      <c r="X18" s="42">
        <f t="shared" si="1"/>
        <v>23</v>
      </c>
      <c r="Y18" s="43">
        <v>23</v>
      </c>
      <c r="Z18" s="42">
        <f t="shared" si="2"/>
        <v>0</v>
      </c>
    </row>
    <row r="19" spans="1:26" ht="24.75" x14ac:dyDescent="0.25">
      <c r="A19" s="5">
        <v>45617.499927685189</v>
      </c>
      <c r="B19" s="6" t="s">
        <v>40</v>
      </c>
      <c r="C19" s="3" t="s">
        <v>41</v>
      </c>
      <c r="D19" s="6">
        <v>23510250204</v>
      </c>
      <c r="E19" s="4">
        <v>15</v>
      </c>
      <c r="F19" s="46">
        <v>9529368030</v>
      </c>
      <c r="G19" s="59">
        <v>2</v>
      </c>
      <c r="H19" s="52">
        <v>2</v>
      </c>
      <c r="I19" s="52">
        <v>2</v>
      </c>
      <c r="J19" s="52">
        <v>2</v>
      </c>
      <c r="K19" s="52">
        <v>1</v>
      </c>
      <c r="L19" s="52">
        <v>2</v>
      </c>
      <c r="M19" s="60">
        <v>2</v>
      </c>
      <c r="N19" s="70">
        <v>4</v>
      </c>
      <c r="O19" s="53">
        <v>4</v>
      </c>
      <c r="P19" s="53">
        <v>4</v>
      </c>
      <c r="Q19" s="53">
        <v>4</v>
      </c>
      <c r="R19" s="53">
        <v>3</v>
      </c>
      <c r="S19" s="53">
        <v>4</v>
      </c>
      <c r="T19" s="71">
        <v>3</v>
      </c>
      <c r="U19" s="68">
        <v>10</v>
      </c>
      <c r="V19" s="54">
        <v>20</v>
      </c>
      <c r="W19" s="51">
        <f t="shared" si="0"/>
        <v>30</v>
      </c>
      <c r="X19" s="42">
        <f t="shared" si="1"/>
        <v>39</v>
      </c>
      <c r="Y19" s="43">
        <v>30</v>
      </c>
      <c r="Z19" s="42">
        <f t="shared" si="2"/>
        <v>0</v>
      </c>
    </row>
    <row r="20" spans="1:26" ht="24.75" x14ac:dyDescent="0.25">
      <c r="A20" s="1">
        <v>45617.558687928242</v>
      </c>
      <c r="B20" s="2" t="s">
        <v>42</v>
      </c>
      <c r="C20" s="3" t="s">
        <v>43</v>
      </c>
      <c r="D20" s="2">
        <v>23510250205</v>
      </c>
      <c r="E20" s="4">
        <v>16</v>
      </c>
      <c r="F20" s="47">
        <v>8208523557</v>
      </c>
      <c r="G20" s="59">
        <v>2</v>
      </c>
      <c r="H20" s="52">
        <v>2</v>
      </c>
      <c r="I20" s="52">
        <v>2</v>
      </c>
      <c r="J20" s="52">
        <v>-1</v>
      </c>
      <c r="K20" s="52">
        <v>2</v>
      </c>
      <c r="L20" s="52">
        <v>-1</v>
      </c>
      <c r="M20" s="60">
        <v>2</v>
      </c>
      <c r="N20" s="70">
        <v>4</v>
      </c>
      <c r="O20" s="53">
        <v>4</v>
      </c>
      <c r="P20" s="53">
        <v>4</v>
      </c>
      <c r="Q20" s="53">
        <v>2</v>
      </c>
      <c r="R20" s="53">
        <v>3</v>
      </c>
      <c r="S20" s="53">
        <v>3</v>
      </c>
      <c r="T20" s="71">
        <v>-1</v>
      </c>
      <c r="U20" s="68">
        <v>10</v>
      </c>
      <c r="V20" s="54">
        <v>18</v>
      </c>
      <c r="W20" s="51">
        <f t="shared" si="0"/>
        <v>28</v>
      </c>
      <c r="X20" s="42">
        <f t="shared" si="1"/>
        <v>30</v>
      </c>
      <c r="Y20" s="43">
        <v>28</v>
      </c>
      <c r="Z20" s="42">
        <f t="shared" si="2"/>
        <v>0</v>
      </c>
    </row>
    <row r="21" spans="1:26" ht="24.75" x14ac:dyDescent="0.25">
      <c r="A21" s="5">
        <v>45618.444094861115</v>
      </c>
      <c r="B21" s="6" t="s">
        <v>44</v>
      </c>
      <c r="C21" s="3" t="s">
        <v>45</v>
      </c>
      <c r="D21" s="6">
        <v>23510250206</v>
      </c>
      <c r="E21" s="4">
        <v>17</v>
      </c>
      <c r="F21" s="46">
        <v>8788861068</v>
      </c>
      <c r="G21" s="59">
        <v>2</v>
      </c>
      <c r="H21" s="52">
        <v>2</v>
      </c>
      <c r="I21" s="52">
        <v>-1</v>
      </c>
      <c r="J21" s="52">
        <v>-1</v>
      </c>
      <c r="K21" s="52">
        <v>2</v>
      </c>
      <c r="L21" s="52">
        <v>0</v>
      </c>
      <c r="M21" s="60">
        <v>2</v>
      </c>
      <c r="N21" s="70">
        <v>-1</v>
      </c>
      <c r="O21" s="53">
        <v>4</v>
      </c>
      <c r="P21" s="53">
        <v>-1</v>
      </c>
      <c r="Q21" s="53">
        <v>0</v>
      </c>
      <c r="R21" s="53">
        <v>-1</v>
      </c>
      <c r="S21" s="53">
        <v>-1</v>
      </c>
      <c r="T21" s="71">
        <v>-1</v>
      </c>
      <c r="U21" s="68">
        <v>8</v>
      </c>
      <c r="V21" s="54">
        <v>4</v>
      </c>
      <c r="W21" s="51">
        <f t="shared" si="0"/>
        <v>12</v>
      </c>
      <c r="X21" s="42">
        <f t="shared" si="1"/>
        <v>12</v>
      </c>
      <c r="Y21" s="43">
        <v>12</v>
      </c>
      <c r="Z21" s="42">
        <f t="shared" si="2"/>
        <v>0</v>
      </c>
    </row>
    <row r="22" spans="1:26" ht="24.75" x14ac:dyDescent="0.25">
      <c r="A22" s="1">
        <v>45617.488289791669</v>
      </c>
      <c r="B22" s="2" t="s">
        <v>46</v>
      </c>
      <c r="C22" s="3" t="s">
        <v>47</v>
      </c>
      <c r="D22" s="2">
        <v>23510250207</v>
      </c>
      <c r="E22" s="4">
        <v>18</v>
      </c>
      <c r="F22" s="47">
        <v>9226780819</v>
      </c>
      <c r="G22" s="59">
        <v>2</v>
      </c>
      <c r="H22" s="52">
        <v>2</v>
      </c>
      <c r="I22" s="52">
        <v>2</v>
      </c>
      <c r="J22" s="52">
        <v>-1</v>
      </c>
      <c r="K22" s="52">
        <v>2</v>
      </c>
      <c r="L22" s="52">
        <v>2</v>
      </c>
      <c r="M22" s="60">
        <v>-1</v>
      </c>
      <c r="N22" s="70">
        <v>4</v>
      </c>
      <c r="O22" s="53">
        <v>2</v>
      </c>
      <c r="P22" s="53">
        <v>-1</v>
      </c>
      <c r="Q22" s="53">
        <v>1</v>
      </c>
      <c r="R22" s="53">
        <v>2</v>
      </c>
      <c r="S22" s="53">
        <v>2</v>
      </c>
      <c r="T22" s="71">
        <v>-1</v>
      </c>
      <c r="U22" s="68">
        <v>10</v>
      </c>
      <c r="V22" s="54">
        <v>11</v>
      </c>
      <c r="W22" s="51">
        <f t="shared" si="0"/>
        <v>21</v>
      </c>
      <c r="X22" s="42">
        <f t="shared" si="1"/>
        <v>21</v>
      </c>
      <c r="Y22" s="43">
        <v>21</v>
      </c>
      <c r="Z22" s="42">
        <f t="shared" si="2"/>
        <v>0</v>
      </c>
    </row>
    <row r="23" spans="1:26" ht="24.75" x14ac:dyDescent="0.25">
      <c r="A23" s="5">
        <v>45617.516196655095</v>
      </c>
      <c r="B23" s="6" t="s">
        <v>48</v>
      </c>
      <c r="C23" s="3" t="s">
        <v>49</v>
      </c>
      <c r="D23" s="6">
        <v>23510250208</v>
      </c>
      <c r="E23" s="4">
        <v>19</v>
      </c>
      <c r="F23" s="46">
        <v>8459743131</v>
      </c>
      <c r="G23" s="59">
        <v>2</v>
      </c>
      <c r="H23" s="52">
        <v>2</v>
      </c>
      <c r="I23" s="52">
        <v>2</v>
      </c>
      <c r="J23" s="52">
        <v>2</v>
      </c>
      <c r="K23" s="52">
        <v>2</v>
      </c>
      <c r="L23" s="52">
        <v>-1</v>
      </c>
      <c r="M23" s="60">
        <v>-1</v>
      </c>
      <c r="N23" s="70">
        <v>0</v>
      </c>
      <c r="O23" s="53">
        <v>2</v>
      </c>
      <c r="P23" s="53">
        <v>3</v>
      </c>
      <c r="Q23" s="53">
        <v>2</v>
      </c>
      <c r="R23" s="53">
        <v>3</v>
      </c>
      <c r="S23" s="53">
        <v>3</v>
      </c>
      <c r="T23" s="71">
        <v>-1</v>
      </c>
      <c r="U23" s="68">
        <v>10</v>
      </c>
      <c r="V23" s="54">
        <v>13</v>
      </c>
      <c r="W23" s="51">
        <f t="shared" si="0"/>
        <v>23</v>
      </c>
      <c r="X23" s="42">
        <f t="shared" si="1"/>
        <v>23</v>
      </c>
      <c r="Y23" s="43">
        <v>23</v>
      </c>
      <c r="Z23" s="42">
        <f t="shared" si="2"/>
        <v>0</v>
      </c>
    </row>
    <row r="24" spans="1:26" ht="24.75" x14ac:dyDescent="0.25">
      <c r="A24" s="1">
        <v>45617.507788333329</v>
      </c>
      <c r="B24" s="2" t="s">
        <v>50</v>
      </c>
      <c r="C24" s="3" t="s">
        <v>51</v>
      </c>
      <c r="D24" s="2">
        <v>23510250209</v>
      </c>
      <c r="E24" s="4">
        <v>20</v>
      </c>
      <c r="F24" s="47">
        <v>9579022694</v>
      </c>
      <c r="G24" s="59">
        <v>2</v>
      </c>
      <c r="H24" s="52">
        <v>2</v>
      </c>
      <c r="I24" s="52">
        <v>2</v>
      </c>
      <c r="J24" s="52">
        <v>2</v>
      </c>
      <c r="K24" s="52">
        <v>2</v>
      </c>
      <c r="L24" s="52">
        <v>2</v>
      </c>
      <c r="M24" s="60">
        <v>2</v>
      </c>
      <c r="N24" s="70">
        <v>2</v>
      </c>
      <c r="O24" s="53">
        <v>4</v>
      </c>
      <c r="P24" s="53">
        <v>4</v>
      </c>
      <c r="Q24" s="53">
        <v>2</v>
      </c>
      <c r="R24" s="53">
        <v>4</v>
      </c>
      <c r="S24" s="53">
        <v>4</v>
      </c>
      <c r="T24" s="71">
        <v>-1</v>
      </c>
      <c r="U24" s="68">
        <v>10</v>
      </c>
      <c r="V24" s="54">
        <v>18</v>
      </c>
      <c r="W24" s="51">
        <f t="shared" si="0"/>
        <v>28</v>
      </c>
      <c r="X24" s="42">
        <f t="shared" si="1"/>
        <v>34</v>
      </c>
      <c r="Y24" s="43">
        <v>28</v>
      </c>
      <c r="Z24" s="42">
        <f t="shared" si="2"/>
        <v>0</v>
      </c>
    </row>
    <row r="25" spans="1:26" ht="24.75" x14ac:dyDescent="0.25">
      <c r="A25" s="5">
        <v>45617.521616875005</v>
      </c>
      <c r="B25" s="6" t="s">
        <v>52</v>
      </c>
      <c r="C25" s="3" t="s">
        <v>53</v>
      </c>
      <c r="D25" s="6">
        <v>23510250210</v>
      </c>
      <c r="E25" s="4">
        <v>21</v>
      </c>
      <c r="F25" s="46">
        <v>9665352298</v>
      </c>
      <c r="G25" s="59">
        <v>2</v>
      </c>
      <c r="H25" s="52">
        <v>1</v>
      </c>
      <c r="I25" s="52">
        <v>-1</v>
      </c>
      <c r="J25" s="52">
        <v>2</v>
      </c>
      <c r="K25" s="52">
        <v>-1</v>
      </c>
      <c r="L25" s="52">
        <v>0</v>
      </c>
      <c r="M25" s="60">
        <v>0</v>
      </c>
      <c r="N25" s="70">
        <v>1</v>
      </c>
      <c r="O25" s="53">
        <v>0</v>
      </c>
      <c r="P25" s="53">
        <v>-1</v>
      </c>
      <c r="Q25" s="53">
        <v>2</v>
      </c>
      <c r="R25" s="53">
        <v>0</v>
      </c>
      <c r="S25" s="53">
        <v>2</v>
      </c>
      <c r="T25" s="71">
        <v>1</v>
      </c>
      <c r="U25" s="68">
        <v>5</v>
      </c>
      <c r="V25" s="54">
        <v>6</v>
      </c>
      <c r="W25" s="51">
        <f t="shared" si="0"/>
        <v>11</v>
      </c>
      <c r="X25" s="42">
        <f t="shared" si="1"/>
        <v>11</v>
      </c>
      <c r="Y25" s="43">
        <v>11</v>
      </c>
      <c r="Z25" s="42">
        <f t="shared" si="2"/>
        <v>0</v>
      </c>
    </row>
    <row r="26" spans="1:26" ht="24.75" x14ac:dyDescent="0.25">
      <c r="A26" s="1">
        <v>45618.453008715282</v>
      </c>
      <c r="B26" s="2" t="s">
        <v>54</v>
      </c>
      <c r="C26" s="3" t="s">
        <v>55</v>
      </c>
      <c r="D26" s="2">
        <v>23510250211</v>
      </c>
      <c r="E26" s="4">
        <v>22</v>
      </c>
      <c r="F26" s="47">
        <v>7499011021</v>
      </c>
      <c r="G26" s="59">
        <v>2</v>
      </c>
      <c r="H26" s="52">
        <v>2</v>
      </c>
      <c r="I26" s="52">
        <v>2</v>
      </c>
      <c r="J26" s="52">
        <v>-1</v>
      </c>
      <c r="K26" s="52">
        <v>-1</v>
      </c>
      <c r="L26" s="52">
        <v>-1</v>
      </c>
      <c r="M26" s="60">
        <v>-1</v>
      </c>
      <c r="N26" s="70">
        <v>-1</v>
      </c>
      <c r="O26" s="53">
        <v>4</v>
      </c>
      <c r="P26" s="53">
        <v>-1</v>
      </c>
      <c r="Q26" s="53">
        <v>0</v>
      </c>
      <c r="R26" s="53">
        <v>-1</v>
      </c>
      <c r="S26" s="53">
        <v>2</v>
      </c>
      <c r="T26" s="71">
        <v>-1</v>
      </c>
      <c r="U26" s="68">
        <v>6</v>
      </c>
      <c r="V26" s="54">
        <v>6</v>
      </c>
      <c r="W26" s="51">
        <f t="shared" si="0"/>
        <v>12</v>
      </c>
      <c r="X26" s="42">
        <f t="shared" si="1"/>
        <v>12</v>
      </c>
      <c r="Y26" s="43">
        <v>12</v>
      </c>
      <c r="Z26" s="42">
        <f t="shared" si="2"/>
        <v>0</v>
      </c>
    </row>
    <row r="27" spans="1:26" ht="24.75" x14ac:dyDescent="0.25">
      <c r="A27" s="5">
        <v>45618.449297326384</v>
      </c>
      <c r="B27" s="6" t="s">
        <v>56</v>
      </c>
      <c r="C27" s="3" t="s">
        <v>57</v>
      </c>
      <c r="D27" s="6">
        <v>2351050212</v>
      </c>
      <c r="E27" s="4">
        <v>23</v>
      </c>
      <c r="F27" s="46">
        <v>9309712354</v>
      </c>
      <c r="G27" s="59">
        <v>2</v>
      </c>
      <c r="H27" s="52">
        <v>2</v>
      </c>
      <c r="I27" s="52">
        <v>2</v>
      </c>
      <c r="J27" s="52">
        <v>2</v>
      </c>
      <c r="K27" s="52">
        <v>2</v>
      </c>
      <c r="L27" s="52">
        <v>-1</v>
      </c>
      <c r="M27" s="60">
        <v>-1</v>
      </c>
      <c r="N27" s="70">
        <v>1</v>
      </c>
      <c r="O27" s="53">
        <v>1</v>
      </c>
      <c r="P27" s="53">
        <v>-1</v>
      </c>
      <c r="Q27" s="53">
        <v>-1</v>
      </c>
      <c r="R27" s="53">
        <v>3</v>
      </c>
      <c r="S27" s="53">
        <v>3</v>
      </c>
      <c r="T27" s="71">
        <v>1</v>
      </c>
      <c r="U27" s="68">
        <v>10</v>
      </c>
      <c r="V27" s="54">
        <v>9</v>
      </c>
      <c r="W27" s="51">
        <f t="shared" si="0"/>
        <v>19</v>
      </c>
      <c r="X27" s="42">
        <f t="shared" si="1"/>
        <v>19</v>
      </c>
      <c r="Y27" s="43">
        <v>19</v>
      </c>
      <c r="Z27" s="42">
        <f t="shared" si="2"/>
        <v>0</v>
      </c>
    </row>
    <row r="28" spans="1:26" ht="24.75" x14ac:dyDescent="0.25">
      <c r="A28" s="1">
        <v>45618.445287164352</v>
      </c>
      <c r="B28" s="2" t="s">
        <v>58</v>
      </c>
      <c r="C28" s="3" t="s">
        <v>59</v>
      </c>
      <c r="D28" s="2">
        <v>23510250213</v>
      </c>
      <c r="E28" s="4">
        <v>24</v>
      </c>
      <c r="F28" s="47">
        <v>8262935973</v>
      </c>
      <c r="G28" s="59">
        <v>1</v>
      </c>
      <c r="H28" s="52">
        <v>2</v>
      </c>
      <c r="I28" s="52">
        <v>-1</v>
      </c>
      <c r="J28" s="52">
        <v>2</v>
      </c>
      <c r="K28" s="52">
        <v>2</v>
      </c>
      <c r="L28" s="52">
        <v>-1</v>
      </c>
      <c r="M28" s="60">
        <v>-1</v>
      </c>
      <c r="N28" s="70">
        <v>0</v>
      </c>
      <c r="O28" s="53">
        <v>4</v>
      </c>
      <c r="P28" s="53">
        <v>-1</v>
      </c>
      <c r="Q28" s="53">
        <v>1</v>
      </c>
      <c r="R28" s="53">
        <v>0</v>
      </c>
      <c r="S28" s="53">
        <v>0</v>
      </c>
      <c r="T28" s="71">
        <v>1</v>
      </c>
      <c r="U28" s="68">
        <v>7</v>
      </c>
      <c r="V28" s="54">
        <v>6</v>
      </c>
      <c r="W28" s="51">
        <f t="shared" si="0"/>
        <v>13</v>
      </c>
      <c r="X28" s="42">
        <f t="shared" si="1"/>
        <v>13</v>
      </c>
      <c r="Y28" s="43">
        <v>13</v>
      </c>
      <c r="Z28" s="42">
        <f t="shared" si="2"/>
        <v>0</v>
      </c>
    </row>
    <row r="29" spans="1:26" ht="24.75" x14ac:dyDescent="0.25">
      <c r="A29" s="5">
        <v>45618.444758182872</v>
      </c>
      <c r="B29" s="6" t="s">
        <v>60</v>
      </c>
      <c r="C29" s="3" t="s">
        <v>61</v>
      </c>
      <c r="D29" s="6">
        <v>23510250214</v>
      </c>
      <c r="E29" s="4">
        <v>25</v>
      </c>
      <c r="F29" s="46">
        <v>9284536775</v>
      </c>
      <c r="G29" s="59">
        <v>1</v>
      </c>
      <c r="H29" s="52">
        <v>0</v>
      </c>
      <c r="I29" s="52">
        <v>1</v>
      </c>
      <c r="J29" s="52">
        <v>0</v>
      </c>
      <c r="K29" s="52">
        <v>-1</v>
      </c>
      <c r="L29" s="52">
        <v>1</v>
      </c>
      <c r="M29" s="60">
        <v>-1</v>
      </c>
      <c r="N29" s="70">
        <v>0</v>
      </c>
      <c r="O29" s="53">
        <v>0</v>
      </c>
      <c r="P29" s="53">
        <v>-1</v>
      </c>
      <c r="Q29" s="53">
        <v>1</v>
      </c>
      <c r="R29" s="53">
        <v>2</v>
      </c>
      <c r="S29" s="53">
        <v>2</v>
      </c>
      <c r="T29" s="71">
        <v>1</v>
      </c>
      <c r="U29" s="68">
        <v>3</v>
      </c>
      <c r="V29" s="54">
        <v>6</v>
      </c>
      <c r="W29" s="51">
        <f t="shared" si="0"/>
        <v>9</v>
      </c>
      <c r="X29" s="42">
        <f t="shared" si="1"/>
        <v>9</v>
      </c>
      <c r="Y29" s="43">
        <v>9</v>
      </c>
      <c r="Z29" s="42">
        <f t="shared" si="2"/>
        <v>0</v>
      </c>
    </row>
    <row r="30" spans="1:26" ht="24.75" x14ac:dyDescent="0.25">
      <c r="A30" s="1">
        <v>45617.505400613431</v>
      </c>
      <c r="B30" s="2" t="s">
        <v>62</v>
      </c>
      <c r="C30" s="3" t="s">
        <v>63</v>
      </c>
      <c r="D30" s="2">
        <v>23510250215</v>
      </c>
      <c r="E30" s="4">
        <v>26</v>
      </c>
      <c r="F30" s="47">
        <v>9834105241</v>
      </c>
      <c r="G30" s="59">
        <v>2</v>
      </c>
      <c r="H30" s="52">
        <v>2</v>
      </c>
      <c r="I30" s="52">
        <v>2</v>
      </c>
      <c r="J30" s="52">
        <v>-1</v>
      </c>
      <c r="K30" s="52">
        <v>2</v>
      </c>
      <c r="L30" s="52">
        <v>2</v>
      </c>
      <c r="M30" s="60">
        <v>2</v>
      </c>
      <c r="N30" s="70">
        <v>4</v>
      </c>
      <c r="O30" s="53">
        <v>4</v>
      </c>
      <c r="P30" s="53">
        <v>2</v>
      </c>
      <c r="Q30" s="53">
        <v>2</v>
      </c>
      <c r="R30" s="53">
        <v>3</v>
      </c>
      <c r="S30" s="53">
        <v>4</v>
      </c>
      <c r="T30" s="71">
        <v>-1</v>
      </c>
      <c r="U30" s="68">
        <v>10</v>
      </c>
      <c r="V30" s="54">
        <v>17</v>
      </c>
      <c r="W30" s="51">
        <f t="shared" si="0"/>
        <v>27</v>
      </c>
      <c r="X30" s="42">
        <f t="shared" si="1"/>
        <v>31</v>
      </c>
      <c r="Y30" s="43">
        <v>27</v>
      </c>
      <c r="Z30" s="42">
        <f t="shared" si="2"/>
        <v>0</v>
      </c>
    </row>
    <row r="31" spans="1:26" ht="24.75" x14ac:dyDescent="0.25">
      <c r="A31" s="5">
        <v>45618.450256944445</v>
      </c>
      <c r="B31" s="6" t="s">
        <v>64</v>
      </c>
      <c r="C31" s="3" t="s">
        <v>65</v>
      </c>
      <c r="D31" s="6">
        <v>23510250216</v>
      </c>
      <c r="E31" s="4">
        <v>27</v>
      </c>
      <c r="F31" s="46">
        <v>8830916989</v>
      </c>
      <c r="G31" s="59">
        <v>2</v>
      </c>
      <c r="H31" s="52">
        <v>-1</v>
      </c>
      <c r="I31" s="52">
        <v>2</v>
      </c>
      <c r="J31" s="52">
        <v>2</v>
      </c>
      <c r="K31" s="52">
        <v>-1</v>
      </c>
      <c r="L31" s="52">
        <v>2</v>
      </c>
      <c r="M31" s="60">
        <v>-1</v>
      </c>
      <c r="N31" s="70">
        <v>2</v>
      </c>
      <c r="O31" s="53">
        <v>0</v>
      </c>
      <c r="P31" s="53">
        <v>4</v>
      </c>
      <c r="Q31" s="53">
        <v>2</v>
      </c>
      <c r="R31" s="53">
        <v>3</v>
      </c>
      <c r="S31" s="53">
        <v>3</v>
      </c>
      <c r="T31" s="71">
        <v>-1</v>
      </c>
      <c r="U31" s="68">
        <v>8</v>
      </c>
      <c r="V31" s="54">
        <v>14</v>
      </c>
      <c r="W31" s="51">
        <f t="shared" si="0"/>
        <v>22</v>
      </c>
      <c r="X31" s="42">
        <f t="shared" si="1"/>
        <v>22</v>
      </c>
      <c r="Y31" s="43">
        <v>22</v>
      </c>
      <c r="Z31" s="42">
        <f t="shared" si="2"/>
        <v>0</v>
      </c>
    </row>
    <row r="32" spans="1:26" ht="24.75" x14ac:dyDescent="0.25">
      <c r="A32" s="1">
        <v>45618.458185821757</v>
      </c>
      <c r="B32" s="2" t="s">
        <v>66</v>
      </c>
      <c r="C32" s="3" t="s">
        <v>67</v>
      </c>
      <c r="D32" s="2">
        <v>23510250217</v>
      </c>
      <c r="E32" s="4">
        <v>28</v>
      </c>
      <c r="F32" s="47">
        <v>9422591511</v>
      </c>
      <c r="G32" s="59">
        <v>2</v>
      </c>
      <c r="H32" s="52">
        <v>2</v>
      </c>
      <c r="I32" s="52">
        <v>2</v>
      </c>
      <c r="J32" s="52">
        <v>2</v>
      </c>
      <c r="K32" s="52">
        <v>2</v>
      </c>
      <c r="L32" s="52">
        <v>2</v>
      </c>
      <c r="M32" s="60">
        <v>-1</v>
      </c>
      <c r="N32" s="70">
        <v>4</v>
      </c>
      <c r="O32" s="53">
        <v>4</v>
      </c>
      <c r="P32" s="53">
        <v>4</v>
      </c>
      <c r="Q32" s="53">
        <v>2</v>
      </c>
      <c r="R32" s="53">
        <v>4</v>
      </c>
      <c r="S32" s="53">
        <v>4</v>
      </c>
      <c r="T32" s="71">
        <v>4</v>
      </c>
      <c r="U32" s="68">
        <v>10</v>
      </c>
      <c r="V32" s="54">
        <v>20</v>
      </c>
      <c r="W32" s="51">
        <f t="shared" si="0"/>
        <v>30</v>
      </c>
      <c r="X32" s="42">
        <f t="shared" si="1"/>
        <v>38</v>
      </c>
      <c r="Y32" s="43">
        <v>30</v>
      </c>
      <c r="Z32" s="42">
        <f t="shared" si="2"/>
        <v>0</v>
      </c>
    </row>
    <row r="33" spans="1:26" ht="24.75" x14ac:dyDescent="0.25">
      <c r="A33" s="5">
        <v>45617.514987256945</v>
      </c>
      <c r="B33" s="6" t="s">
        <v>68</v>
      </c>
      <c r="C33" s="3" t="s">
        <v>69</v>
      </c>
      <c r="D33" s="6">
        <v>23510250218</v>
      </c>
      <c r="E33" s="4">
        <v>29</v>
      </c>
      <c r="F33" s="46">
        <v>9307938007</v>
      </c>
      <c r="G33" s="59">
        <v>2</v>
      </c>
      <c r="H33" s="52">
        <v>2</v>
      </c>
      <c r="I33" s="52">
        <v>2</v>
      </c>
      <c r="J33" s="52">
        <v>-1</v>
      </c>
      <c r="K33" s="52">
        <v>1</v>
      </c>
      <c r="L33" s="52">
        <v>2</v>
      </c>
      <c r="M33" s="60">
        <v>2</v>
      </c>
      <c r="N33" s="70">
        <v>4</v>
      </c>
      <c r="O33" s="53">
        <v>4</v>
      </c>
      <c r="P33" s="53">
        <v>3</v>
      </c>
      <c r="Q33" s="53">
        <v>2</v>
      </c>
      <c r="R33" s="53">
        <v>4</v>
      </c>
      <c r="S33" s="53">
        <v>4</v>
      </c>
      <c r="T33" s="71">
        <v>-1</v>
      </c>
      <c r="U33" s="68">
        <v>10</v>
      </c>
      <c r="V33" s="54">
        <v>19</v>
      </c>
      <c r="W33" s="51">
        <f t="shared" si="0"/>
        <v>29</v>
      </c>
      <c r="X33" s="42">
        <f t="shared" si="1"/>
        <v>32</v>
      </c>
      <c r="Y33" s="43">
        <v>29</v>
      </c>
      <c r="Z33" s="42">
        <f t="shared" si="2"/>
        <v>0</v>
      </c>
    </row>
    <row r="34" spans="1:26" ht="24.75" x14ac:dyDescent="0.25">
      <c r="A34" s="1">
        <v>45617.497269224536</v>
      </c>
      <c r="B34" s="2" t="s">
        <v>70</v>
      </c>
      <c r="C34" s="3" t="s">
        <v>71</v>
      </c>
      <c r="D34" s="2">
        <v>23510250219</v>
      </c>
      <c r="E34" s="4">
        <v>30</v>
      </c>
      <c r="F34" s="47">
        <v>7875100878</v>
      </c>
      <c r="G34" s="59">
        <v>2</v>
      </c>
      <c r="H34" s="52">
        <v>2</v>
      </c>
      <c r="I34" s="52">
        <v>2</v>
      </c>
      <c r="J34" s="52">
        <v>-1</v>
      </c>
      <c r="K34" s="52">
        <v>2</v>
      </c>
      <c r="L34" s="52">
        <v>2</v>
      </c>
      <c r="M34" s="60">
        <v>2</v>
      </c>
      <c r="N34" s="70">
        <v>4</v>
      </c>
      <c r="O34" s="53">
        <v>4</v>
      </c>
      <c r="P34" s="53">
        <v>3</v>
      </c>
      <c r="Q34" s="53">
        <v>2</v>
      </c>
      <c r="R34" s="53">
        <v>2</v>
      </c>
      <c r="S34" s="53">
        <v>4</v>
      </c>
      <c r="T34" s="71">
        <v>-1</v>
      </c>
      <c r="U34" s="68">
        <v>10</v>
      </c>
      <c r="V34" s="54">
        <v>17</v>
      </c>
      <c r="W34" s="51">
        <f t="shared" si="0"/>
        <v>27</v>
      </c>
      <c r="X34" s="42">
        <f t="shared" si="1"/>
        <v>31</v>
      </c>
      <c r="Y34" s="43">
        <v>27</v>
      </c>
      <c r="Z34" s="42">
        <f t="shared" si="2"/>
        <v>0</v>
      </c>
    </row>
    <row r="35" spans="1:26" ht="24.75" x14ac:dyDescent="0.25">
      <c r="A35" s="5">
        <v>45618.453411168986</v>
      </c>
      <c r="B35" s="6" t="s">
        <v>72</v>
      </c>
      <c r="C35" s="3" t="s">
        <v>73</v>
      </c>
      <c r="D35" s="6">
        <v>23510250220</v>
      </c>
      <c r="E35" s="4">
        <v>31</v>
      </c>
      <c r="F35" s="46">
        <v>8010655836</v>
      </c>
      <c r="G35" s="59">
        <v>2</v>
      </c>
      <c r="H35" s="52">
        <v>2</v>
      </c>
      <c r="I35" s="52">
        <v>2</v>
      </c>
      <c r="J35" s="52">
        <v>-1</v>
      </c>
      <c r="K35" s="52">
        <v>1</v>
      </c>
      <c r="L35" s="52">
        <v>2</v>
      </c>
      <c r="M35" s="60">
        <v>-1</v>
      </c>
      <c r="N35" s="70">
        <v>-1</v>
      </c>
      <c r="O35" s="53">
        <v>2</v>
      </c>
      <c r="P35" s="53">
        <v>-1</v>
      </c>
      <c r="Q35" s="53">
        <v>2</v>
      </c>
      <c r="R35" s="53">
        <v>-1</v>
      </c>
      <c r="S35" s="53">
        <v>-1</v>
      </c>
      <c r="T35" s="71">
        <v>-1</v>
      </c>
      <c r="U35" s="68">
        <v>9</v>
      </c>
      <c r="V35" s="54">
        <v>4</v>
      </c>
      <c r="W35" s="51">
        <f t="shared" si="0"/>
        <v>13</v>
      </c>
      <c r="X35" s="42">
        <f t="shared" si="1"/>
        <v>13</v>
      </c>
      <c r="Y35" s="43">
        <v>13</v>
      </c>
      <c r="Z35" s="42">
        <f t="shared" si="2"/>
        <v>0</v>
      </c>
    </row>
    <row r="36" spans="1:26" ht="24.75" x14ac:dyDescent="0.25">
      <c r="A36" s="1">
        <v>45617.498732870372</v>
      </c>
      <c r="B36" s="2" t="s">
        <v>74</v>
      </c>
      <c r="C36" s="3" t="s">
        <v>75</v>
      </c>
      <c r="D36" s="2">
        <v>23510250221</v>
      </c>
      <c r="E36" s="4">
        <v>32</v>
      </c>
      <c r="F36" s="47">
        <v>7887335880</v>
      </c>
      <c r="G36" s="59">
        <v>2</v>
      </c>
      <c r="H36" s="52">
        <v>2</v>
      </c>
      <c r="I36" s="52">
        <v>2</v>
      </c>
      <c r="J36" s="52">
        <v>2</v>
      </c>
      <c r="K36" s="52">
        <v>-1</v>
      </c>
      <c r="L36" s="52">
        <v>2</v>
      </c>
      <c r="M36" s="60">
        <v>2</v>
      </c>
      <c r="N36" s="70">
        <v>2</v>
      </c>
      <c r="O36" s="53">
        <v>2</v>
      </c>
      <c r="P36" s="53">
        <v>3</v>
      </c>
      <c r="Q36" s="53">
        <v>1</v>
      </c>
      <c r="R36" s="53">
        <v>2</v>
      </c>
      <c r="S36" s="53">
        <v>1</v>
      </c>
      <c r="T36" s="71">
        <v>1</v>
      </c>
      <c r="U36" s="68">
        <v>10</v>
      </c>
      <c r="V36" s="54">
        <v>10</v>
      </c>
      <c r="W36" s="51">
        <f t="shared" si="0"/>
        <v>20</v>
      </c>
      <c r="X36" s="42">
        <f t="shared" si="1"/>
        <v>24</v>
      </c>
      <c r="Y36" s="43">
        <v>20</v>
      </c>
      <c r="Z36" s="42">
        <f t="shared" si="2"/>
        <v>0</v>
      </c>
    </row>
    <row r="37" spans="1:26" ht="24.75" x14ac:dyDescent="0.25">
      <c r="A37" s="5">
        <v>45617.491663009263</v>
      </c>
      <c r="B37" s="6" t="s">
        <v>76</v>
      </c>
      <c r="C37" s="3" t="s">
        <v>77</v>
      </c>
      <c r="D37" s="6">
        <v>23510250222</v>
      </c>
      <c r="E37" s="4">
        <v>33</v>
      </c>
      <c r="F37" s="46">
        <v>8767023429</v>
      </c>
      <c r="G37" s="59">
        <v>2</v>
      </c>
      <c r="H37" s="52">
        <v>2</v>
      </c>
      <c r="I37" s="52">
        <v>2</v>
      </c>
      <c r="J37" s="52">
        <v>2</v>
      </c>
      <c r="K37" s="52">
        <v>2</v>
      </c>
      <c r="L37" s="52">
        <v>2</v>
      </c>
      <c r="M37" s="60">
        <v>2</v>
      </c>
      <c r="N37" s="70">
        <v>4</v>
      </c>
      <c r="O37" s="53">
        <v>4</v>
      </c>
      <c r="P37" s="53">
        <v>2</v>
      </c>
      <c r="Q37" s="53">
        <v>3</v>
      </c>
      <c r="R37" s="53">
        <v>3</v>
      </c>
      <c r="S37" s="53">
        <v>4</v>
      </c>
      <c r="T37" s="71">
        <v>4</v>
      </c>
      <c r="U37" s="68">
        <v>10</v>
      </c>
      <c r="V37" s="54">
        <v>19</v>
      </c>
      <c r="W37" s="51">
        <f t="shared" si="0"/>
        <v>29</v>
      </c>
      <c r="X37" s="42">
        <f t="shared" si="1"/>
        <v>38</v>
      </c>
      <c r="Y37" s="43">
        <v>29</v>
      </c>
      <c r="Z37" s="42">
        <f t="shared" si="2"/>
        <v>0</v>
      </c>
    </row>
    <row r="38" spans="1:26" ht="24.75" x14ac:dyDescent="0.25">
      <c r="A38" s="1">
        <v>45618.566058379627</v>
      </c>
      <c r="B38" s="2" t="s">
        <v>20</v>
      </c>
      <c r="C38" s="3" t="s">
        <v>78</v>
      </c>
      <c r="D38" s="2">
        <v>23510250223</v>
      </c>
      <c r="E38" s="4">
        <v>34</v>
      </c>
      <c r="F38" s="47">
        <v>999</v>
      </c>
      <c r="G38" s="59">
        <v>2</v>
      </c>
      <c r="H38" s="52">
        <v>-1</v>
      </c>
      <c r="I38" s="52">
        <v>0</v>
      </c>
      <c r="J38" s="52">
        <v>-1</v>
      </c>
      <c r="K38" s="52">
        <v>1</v>
      </c>
      <c r="L38" s="52">
        <v>2</v>
      </c>
      <c r="M38" s="60">
        <v>2</v>
      </c>
      <c r="N38" s="70">
        <v>1</v>
      </c>
      <c r="O38" s="53">
        <v>4</v>
      </c>
      <c r="P38" s="53">
        <v>-1</v>
      </c>
      <c r="Q38" s="53">
        <v>-1</v>
      </c>
      <c r="R38" s="53">
        <v>2</v>
      </c>
      <c r="S38" s="53">
        <v>2</v>
      </c>
      <c r="T38" s="71">
        <v>-1</v>
      </c>
      <c r="U38" s="68">
        <v>7</v>
      </c>
      <c r="V38" s="54">
        <v>9</v>
      </c>
      <c r="W38" s="51">
        <f t="shared" si="0"/>
        <v>16</v>
      </c>
      <c r="X38" s="42">
        <f t="shared" si="1"/>
        <v>16</v>
      </c>
      <c r="Y38" s="43">
        <v>16</v>
      </c>
      <c r="Z38" s="42">
        <f t="shared" si="2"/>
        <v>0</v>
      </c>
    </row>
    <row r="39" spans="1:26" ht="24.75" x14ac:dyDescent="0.25">
      <c r="A39" s="5">
        <v>45618.445235486113</v>
      </c>
      <c r="B39" s="6" t="s">
        <v>79</v>
      </c>
      <c r="C39" s="3" t="s">
        <v>80</v>
      </c>
      <c r="D39" s="6">
        <v>23510250224</v>
      </c>
      <c r="E39" s="4">
        <v>35</v>
      </c>
      <c r="F39" s="46">
        <v>9822143788</v>
      </c>
      <c r="G39" s="59">
        <v>0</v>
      </c>
      <c r="H39" s="52">
        <v>2</v>
      </c>
      <c r="I39" s="52">
        <v>2</v>
      </c>
      <c r="J39" s="52">
        <v>1</v>
      </c>
      <c r="K39" s="52">
        <v>1</v>
      </c>
      <c r="L39" s="52">
        <v>-1</v>
      </c>
      <c r="M39" s="60">
        <v>-1</v>
      </c>
      <c r="N39" s="70">
        <v>4</v>
      </c>
      <c r="O39" s="53">
        <v>4</v>
      </c>
      <c r="P39" s="53">
        <v>2</v>
      </c>
      <c r="Q39" s="53">
        <v>-1</v>
      </c>
      <c r="R39" s="53">
        <v>3</v>
      </c>
      <c r="S39" s="53">
        <v>-1</v>
      </c>
      <c r="T39" s="71">
        <v>1</v>
      </c>
      <c r="U39" s="68">
        <v>6</v>
      </c>
      <c r="V39" s="54">
        <v>14</v>
      </c>
      <c r="W39" s="51">
        <f t="shared" si="0"/>
        <v>20</v>
      </c>
      <c r="X39" s="42">
        <f t="shared" si="1"/>
        <v>20</v>
      </c>
      <c r="Y39" s="43">
        <v>20</v>
      </c>
      <c r="Z39" s="42">
        <f t="shared" si="2"/>
        <v>0</v>
      </c>
    </row>
    <row r="40" spans="1:26" ht="24.75" x14ac:dyDescent="0.25">
      <c r="A40" s="1">
        <v>45617.493094930556</v>
      </c>
      <c r="B40" s="2" t="s">
        <v>81</v>
      </c>
      <c r="C40" s="3" t="s">
        <v>82</v>
      </c>
      <c r="D40" s="2">
        <v>23510250225</v>
      </c>
      <c r="E40" s="4">
        <v>36</v>
      </c>
      <c r="F40" s="47">
        <v>9209547440</v>
      </c>
      <c r="G40" s="59">
        <v>2</v>
      </c>
      <c r="H40" s="52">
        <v>2</v>
      </c>
      <c r="I40" s="52">
        <v>2</v>
      </c>
      <c r="J40" s="52">
        <v>2</v>
      </c>
      <c r="K40" s="52">
        <v>2</v>
      </c>
      <c r="L40" s="52">
        <v>2</v>
      </c>
      <c r="M40" s="60">
        <v>2</v>
      </c>
      <c r="N40" s="70">
        <v>2</v>
      </c>
      <c r="O40" s="53">
        <v>4</v>
      </c>
      <c r="P40" s="53">
        <v>4</v>
      </c>
      <c r="Q40" s="53">
        <v>3</v>
      </c>
      <c r="R40" s="53">
        <v>3</v>
      </c>
      <c r="S40" s="53">
        <v>2</v>
      </c>
      <c r="T40" s="71">
        <v>1</v>
      </c>
      <c r="U40" s="68">
        <v>10</v>
      </c>
      <c r="V40" s="54">
        <v>16</v>
      </c>
      <c r="W40" s="51">
        <f t="shared" si="0"/>
        <v>26</v>
      </c>
      <c r="X40" s="42">
        <f t="shared" si="1"/>
        <v>33</v>
      </c>
      <c r="Y40" s="43">
        <v>26</v>
      </c>
      <c r="Z40" s="42">
        <f t="shared" si="2"/>
        <v>0</v>
      </c>
    </row>
    <row r="41" spans="1:26" ht="24.75" x14ac:dyDescent="0.25">
      <c r="A41" s="5">
        <v>45617.492617916665</v>
      </c>
      <c r="B41" s="6" t="s">
        <v>83</v>
      </c>
      <c r="C41" s="3" t="s">
        <v>84</v>
      </c>
      <c r="D41" s="6">
        <v>23510250226</v>
      </c>
      <c r="E41" s="4">
        <v>37</v>
      </c>
      <c r="F41" s="46">
        <v>8080307158</v>
      </c>
      <c r="G41" s="59">
        <v>2</v>
      </c>
      <c r="H41" s="52">
        <v>2</v>
      </c>
      <c r="I41" s="52">
        <v>2</v>
      </c>
      <c r="J41" s="52">
        <v>2</v>
      </c>
      <c r="K41" s="52">
        <v>2</v>
      </c>
      <c r="L41" s="52">
        <v>2</v>
      </c>
      <c r="M41" s="60">
        <v>2</v>
      </c>
      <c r="N41" s="70">
        <v>4</v>
      </c>
      <c r="O41" s="53">
        <v>4</v>
      </c>
      <c r="P41" s="53">
        <v>3</v>
      </c>
      <c r="Q41" s="53">
        <v>4</v>
      </c>
      <c r="R41" s="53">
        <v>4</v>
      </c>
      <c r="S41" s="53">
        <v>4</v>
      </c>
      <c r="T41" s="71">
        <v>-1</v>
      </c>
      <c r="U41" s="68">
        <v>10</v>
      </c>
      <c r="V41" s="54">
        <v>20</v>
      </c>
      <c r="W41" s="51">
        <f t="shared" si="0"/>
        <v>30</v>
      </c>
      <c r="X41" s="42">
        <f t="shared" si="1"/>
        <v>37</v>
      </c>
      <c r="Y41" s="43">
        <v>30</v>
      </c>
      <c r="Z41" s="42">
        <f t="shared" si="2"/>
        <v>0</v>
      </c>
    </row>
    <row r="42" spans="1:26" ht="24.75" x14ac:dyDescent="0.25">
      <c r="A42" s="1">
        <v>45617.474055706014</v>
      </c>
      <c r="B42" s="2" t="s">
        <v>85</v>
      </c>
      <c r="C42" s="3" t="s">
        <v>86</v>
      </c>
      <c r="D42" s="2">
        <v>23510250227</v>
      </c>
      <c r="E42" s="4">
        <v>38</v>
      </c>
      <c r="F42" s="47">
        <v>9359262384</v>
      </c>
      <c r="G42" s="59">
        <v>2</v>
      </c>
      <c r="H42" s="52">
        <v>2</v>
      </c>
      <c r="I42" s="52">
        <v>2</v>
      </c>
      <c r="J42" s="52">
        <v>2</v>
      </c>
      <c r="K42" s="52">
        <v>2</v>
      </c>
      <c r="L42" s="52">
        <v>2</v>
      </c>
      <c r="M42" s="60">
        <v>2</v>
      </c>
      <c r="N42" s="70">
        <v>3</v>
      </c>
      <c r="O42" s="53">
        <v>4</v>
      </c>
      <c r="P42" s="53">
        <v>4</v>
      </c>
      <c r="Q42" s="53">
        <v>3</v>
      </c>
      <c r="R42" s="53">
        <v>4</v>
      </c>
      <c r="S42" s="53">
        <v>4</v>
      </c>
      <c r="T42" s="71">
        <v>4</v>
      </c>
      <c r="U42" s="68">
        <v>10</v>
      </c>
      <c r="V42" s="54">
        <v>20</v>
      </c>
      <c r="W42" s="51">
        <f t="shared" si="0"/>
        <v>30</v>
      </c>
      <c r="X42" s="42">
        <f t="shared" si="1"/>
        <v>40</v>
      </c>
      <c r="Y42" s="43">
        <v>30</v>
      </c>
      <c r="Z42" s="42">
        <f t="shared" si="2"/>
        <v>0</v>
      </c>
    </row>
    <row r="43" spans="1:26" ht="24.75" x14ac:dyDescent="0.25">
      <c r="A43" s="5">
        <v>45618.477988090279</v>
      </c>
      <c r="B43" s="6" t="s">
        <v>87</v>
      </c>
      <c r="C43" s="3" t="s">
        <v>88</v>
      </c>
      <c r="D43" s="6">
        <v>23510250228</v>
      </c>
      <c r="E43" s="4">
        <v>39</v>
      </c>
      <c r="F43" s="46">
        <v>9022490291</v>
      </c>
      <c r="G43" s="59">
        <v>2</v>
      </c>
      <c r="H43" s="52">
        <v>2</v>
      </c>
      <c r="I43" s="52">
        <v>2</v>
      </c>
      <c r="J43" s="52">
        <v>2</v>
      </c>
      <c r="K43" s="52">
        <v>-1</v>
      </c>
      <c r="L43" s="52">
        <v>2</v>
      </c>
      <c r="M43" s="60">
        <v>2</v>
      </c>
      <c r="N43" s="70">
        <v>4</v>
      </c>
      <c r="O43" s="53">
        <v>4</v>
      </c>
      <c r="P43" s="53">
        <v>4</v>
      </c>
      <c r="Q43" s="53">
        <v>2</v>
      </c>
      <c r="R43" s="53">
        <v>-1</v>
      </c>
      <c r="S43" s="53">
        <v>3</v>
      </c>
      <c r="T43" s="71">
        <v>-1</v>
      </c>
      <c r="U43" s="68">
        <v>10</v>
      </c>
      <c r="V43" s="54">
        <v>17</v>
      </c>
      <c r="W43" s="51">
        <f t="shared" si="0"/>
        <v>27</v>
      </c>
      <c r="X43" s="42">
        <f t="shared" si="1"/>
        <v>29</v>
      </c>
      <c r="Y43" s="43">
        <v>27</v>
      </c>
      <c r="Z43" s="42">
        <f t="shared" si="2"/>
        <v>0</v>
      </c>
    </row>
    <row r="44" spans="1:26" ht="24.75" x14ac:dyDescent="0.25">
      <c r="A44" s="1">
        <v>45618.443541712964</v>
      </c>
      <c r="B44" s="2" t="s">
        <v>89</v>
      </c>
      <c r="C44" s="3" t="s">
        <v>90</v>
      </c>
      <c r="D44" s="2">
        <v>23510250231</v>
      </c>
      <c r="E44" s="4">
        <v>40</v>
      </c>
      <c r="F44" s="47">
        <v>7385336830</v>
      </c>
      <c r="G44" s="59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60">
        <v>0</v>
      </c>
      <c r="N44" s="70">
        <v>-1</v>
      </c>
      <c r="O44" s="53">
        <v>0</v>
      </c>
      <c r="P44" s="53">
        <v>0</v>
      </c>
      <c r="Q44" s="53">
        <v>-1</v>
      </c>
      <c r="R44" s="53">
        <v>0</v>
      </c>
      <c r="S44" s="53">
        <v>-1</v>
      </c>
      <c r="T44" s="71">
        <v>1</v>
      </c>
      <c r="U44" s="68">
        <v>0</v>
      </c>
      <c r="V44" s="54">
        <v>1</v>
      </c>
      <c r="W44" s="51">
        <f t="shared" si="0"/>
        <v>1</v>
      </c>
      <c r="X44" s="42">
        <f t="shared" si="1"/>
        <v>1</v>
      </c>
      <c r="Y44" s="43">
        <v>1</v>
      </c>
      <c r="Z44" s="42">
        <f t="shared" si="2"/>
        <v>0</v>
      </c>
    </row>
    <row r="45" spans="1:26" ht="24.75" x14ac:dyDescent="0.25">
      <c r="A45" s="5">
        <v>45618.480219016201</v>
      </c>
      <c r="B45" s="6" t="s">
        <v>91</v>
      </c>
      <c r="C45" s="3" t="s">
        <v>92</v>
      </c>
      <c r="D45" s="6">
        <v>23510250232</v>
      </c>
      <c r="E45" s="4">
        <v>41</v>
      </c>
      <c r="F45" s="46">
        <v>9356088762</v>
      </c>
      <c r="G45" s="59">
        <v>0</v>
      </c>
      <c r="H45" s="52">
        <v>2</v>
      </c>
      <c r="I45" s="52">
        <v>0</v>
      </c>
      <c r="J45" s="52">
        <v>0</v>
      </c>
      <c r="K45" s="52">
        <v>2</v>
      </c>
      <c r="L45" s="52">
        <v>0</v>
      </c>
      <c r="M45" s="60">
        <v>-1</v>
      </c>
      <c r="N45" s="70">
        <v>0</v>
      </c>
      <c r="O45" s="53">
        <v>0</v>
      </c>
      <c r="P45" s="53">
        <v>0</v>
      </c>
      <c r="Q45" s="53">
        <v>0</v>
      </c>
      <c r="R45" s="53">
        <v>0</v>
      </c>
      <c r="S45" s="53">
        <v>2</v>
      </c>
      <c r="T45" s="71">
        <v>-1</v>
      </c>
      <c r="U45" s="68">
        <v>4</v>
      </c>
      <c r="V45" s="54">
        <v>2</v>
      </c>
      <c r="W45" s="51">
        <f t="shared" si="0"/>
        <v>6</v>
      </c>
      <c r="X45" s="42">
        <f t="shared" si="1"/>
        <v>6</v>
      </c>
      <c r="Y45" s="43">
        <v>6</v>
      </c>
      <c r="Z45" s="42">
        <f t="shared" si="2"/>
        <v>0</v>
      </c>
    </row>
    <row r="46" spans="1:26" ht="24.75" x14ac:dyDescent="0.25">
      <c r="A46" s="1">
        <v>45618.446531979163</v>
      </c>
      <c r="B46" s="2" t="s">
        <v>93</v>
      </c>
      <c r="C46" s="3" t="s">
        <v>94</v>
      </c>
      <c r="D46" s="2">
        <v>23510250233</v>
      </c>
      <c r="E46" s="4">
        <v>42</v>
      </c>
      <c r="F46" s="47">
        <v>9922817800</v>
      </c>
      <c r="G46" s="59">
        <v>2</v>
      </c>
      <c r="H46" s="52">
        <v>2</v>
      </c>
      <c r="I46" s="52">
        <v>2</v>
      </c>
      <c r="J46" s="52">
        <v>2</v>
      </c>
      <c r="K46" s="52">
        <v>2</v>
      </c>
      <c r="L46" s="52">
        <v>2</v>
      </c>
      <c r="M46" s="60">
        <v>2</v>
      </c>
      <c r="N46" s="70">
        <v>4</v>
      </c>
      <c r="O46" s="53">
        <v>4</v>
      </c>
      <c r="P46" s="53">
        <v>3</v>
      </c>
      <c r="Q46" s="53">
        <v>2</v>
      </c>
      <c r="R46" s="53">
        <v>4</v>
      </c>
      <c r="S46" s="53">
        <v>4</v>
      </c>
      <c r="T46" s="71">
        <v>4</v>
      </c>
      <c r="U46" s="68">
        <v>10</v>
      </c>
      <c r="V46" s="54">
        <v>20</v>
      </c>
      <c r="W46" s="51">
        <f t="shared" si="0"/>
        <v>30</v>
      </c>
      <c r="X46" s="42">
        <f t="shared" si="1"/>
        <v>39</v>
      </c>
      <c r="Y46" s="43">
        <v>30</v>
      </c>
      <c r="Z46" s="42">
        <f t="shared" si="2"/>
        <v>0</v>
      </c>
    </row>
    <row r="47" spans="1:26" ht="24.75" x14ac:dyDescent="0.25">
      <c r="A47" s="5">
        <v>45617.503940891205</v>
      </c>
      <c r="B47" s="6" t="s">
        <v>95</v>
      </c>
      <c r="C47" s="3" t="s">
        <v>96</v>
      </c>
      <c r="D47" s="6">
        <v>23510250234</v>
      </c>
      <c r="E47" s="4">
        <v>43</v>
      </c>
      <c r="F47" s="46">
        <v>9325236826</v>
      </c>
      <c r="G47" s="59">
        <v>2</v>
      </c>
      <c r="H47" s="52">
        <v>2</v>
      </c>
      <c r="I47" s="52">
        <v>2</v>
      </c>
      <c r="J47" s="52">
        <v>1</v>
      </c>
      <c r="K47" s="52">
        <v>2</v>
      </c>
      <c r="L47" s="52">
        <v>-1</v>
      </c>
      <c r="M47" s="60">
        <v>2</v>
      </c>
      <c r="N47" s="70">
        <v>4</v>
      </c>
      <c r="O47" s="53">
        <v>4</v>
      </c>
      <c r="P47" s="53">
        <v>3</v>
      </c>
      <c r="Q47" s="53">
        <v>4</v>
      </c>
      <c r="R47" s="53">
        <v>3</v>
      </c>
      <c r="S47" s="53">
        <v>4</v>
      </c>
      <c r="T47" s="71">
        <v>-1</v>
      </c>
      <c r="U47" s="68">
        <v>10</v>
      </c>
      <c r="V47" s="54">
        <v>19</v>
      </c>
      <c r="W47" s="51">
        <f t="shared" si="0"/>
        <v>29</v>
      </c>
      <c r="X47" s="42">
        <f t="shared" si="1"/>
        <v>33</v>
      </c>
      <c r="Y47" s="43">
        <v>29</v>
      </c>
      <c r="Z47" s="42">
        <f t="shared" si="2"/>
        <v>0</v>
      </c>
    </row>
    <row r="48" spans="1:26" ht="24.75" x14ac:dyDescent="0.25">
      <c r="A48" s="1">
        <v>45617.513998750001</v>
      </c>
      <c r="B48" s="2" t="s">
        <v>97</v>
      </c>
      <c r="C48" s="3" t="s">
        <v>98</v>
      </c>
      <c r="D48" s="2">
        <v>23510250235</v>
      </c>
      <c r="E48" s="4">
        <v>44</v>
      </c>
      <c r="F48" s="47">
        <v>7249274145</v>
      </c>
      <c r="G48" s="59">
        <v>2</v>
      </c>
      <c r="H48" s="52">
        <v>2</v>
      </c>
      <c r="I48" s="52">
        <v>2</v>
      </c>
      <c r="J48" s="52">
        <v>2</v>
      </c>
      <c r="K48" s="52">
        <v>2</v>
      </c>
      <c r="L48" s="52">
        <v>2</v>
      </c>
      <c r="M48" s="60">
        <v>2</v>
      </c>
      <c r="N48" s="70">
        <v>4</v>
      </c>
      <c r="O48" s="53">
        <v>4</v>
      </c>
      <c r="P48" s="53">
        <v>3</v>
      </c>
      <c r="Q48" s="53">
        <v>4</v>
      </c>
      <c r="R48" s="53">
        <v>2</v>
      </c>
      <c r="S48" s="53">
        <v>4</v>
      </c>
      <c r="T48" s="71">
        <v>2</v>
      </c>
      <c r="U48" s="68">
        <v>10</v>
      </c>
      <c r="V48" s="54">
        <v>19</v>
      </c>
      <c r="W48" s="51">
        <f t="shared" si="0"/>
        <v>29</v>
      </c>
      <c r="X48" s="42">
        <f t="shared" si="1"/>
        <v>37</v>
      </c>
      <c r="Y48" s="43">
        <v>29</v>
      </c>
      <c r="Z48" s="42">
        <f t="shared" si="2"/>
        <v>0</v>
      </c>
    </row>
    <row r="49" spans="1:26" ht="24.75" x14ac:dyDescent="0.25">
      <c r="A49" s="5">
        <v>45618.442357037042</v>
      </c>
      <c r="B49" s="6" t="s">
        <v>99</v>
      </c>
      <c r="C49" s="3" t="s">
        <v>100</v>
      </c>
      <c r="D49" s="6">
        <v>23510250236</v>
      </c>
      <c r="E49" s="4">
        <v>45</v>
      </c>
      <c r="F49" s="46">
        <v>8669164306</v>
      </c>
      <c r="G49" s="59">
        <v>2</v>
      </c>
      <c r="H49" s="52">
        <v>2</v>
      </c>
      <c r="I49" s="52">
        <v>2</v>
      </c>
      <c r="J49" s="52">
        <v>2</v>
      </c>
      <c r="K49" s="52">
        <v>2</v>
      </c>
      <c r="L49" s="52">
        <v>2</v>
      </c>
      <c r="M49" s="60">
        <v>2</v>
      </c>
      <c r="N49" s="70">
        <v>2</v>
      </c>
      <c r="O49" s="53">
        <v>4</v>
      </c>
      <c r="P49" s="53">
        <v>3</v>
      </c>
      <c r="Q49" s="53">
        <v>4</v>
      </c>
      <c r="R49" s="53">
        <v>4</v>
      </c>
      <c r="S49" s="53">
        <v>-1</v>
      </c>
      <c r="T49" s="71">
        <v>3</v>
      </c>
      <c r="U49" s="68">
        <v>10</v>
      </c>
      <c r="V49" s="54">
        <v>18</v>
      </c>
      <c r="W49" s="51">
        <f t="shared" si="0"/>
        <v>28</v>
      </c>
      <c r="X49" s="42">
        <f t="shared" si="1"/>
        <v>34</v>
      </c>
      <c r="Y49" s="43">
        <v>28</v>
      </c>
      <c r="Z49" s="42">
        <f t="shared" si="2"/>
        <v>0</v>
      </c>
    </row>
    <row r="50" spans="1:26" ht="24.75" x14ac:dyDescent="0.25">
      <c r="A50" s="1">
        <v>45617.486111099541</v>
      </c>
      <c r="B50" s="2" t="s">
        <v>101</v>
      </c>
      <c r="C50" s="3" t="s">
        <v>102</v>
      </c>
      <c r="D50" s="2">
        <v>23510250237</v>
      </c>
      <c r="E50" s="4">
        <v>46</v>
      </c>
      <c r="F50" s="47">
        <v>7499731975</v>
      </c>
      <c r="G50" s="59">
        <v>2</v>
      </c>
      <c r="H50" s="52">
        <v>2</v>
      </c>
      <c r="I50" s="52">
        <v>2</v>
      </c>
      <c r="J50" s="52">
        <v>1</v>
      </c>
      <c r="K50" s="52">
        <v>2</v>
      </c>
      <c r="L50" s="52">
        <v>2</v>
      </c>
      <c r="M50" s="60">
        <v>2</v>
      </c>
      <c r="N50" s="70">
        <v>4</v>
      </c>
      <c r="O50" s="53">
        <v>4</v>
      </c>
      <c r="P50" s="53">
        <v>3</v>
      </c>
      <c r="Q50" s="53">
        <v>4</v>
      </c>
      <c r="R50" s="53">
        <v>3</v>
      </c>
      <c r="S50" s="53">
        <v>4</v>
      </c>
      <c r="T50" s="71">
        <v>2</v>
      </c>
      <c r="U50" s="68">
        <v>10</v>
      </c>
      <c r="V50" s="54">
        <v>19</v>
      </c>
      <c r="W50" s="51">
        <f t="shared" si="0"/>
        <v>29</v>
      </c>
      <c r="X50" s="42">
        <f t="shared" si="1"/>
        <v>37</v>
      </c>
      <c r="Y50" s="43">
        <v>29</v>
      </c>
      <c r="Z50" s="42">
        <f t="shared" si="2"/>
        <v>0</v>
      </c>
    </row>
    <row r="51" spans="1:26" ht="24.75" x14ac:dyDescent="0.25">
      <c r="A51" s="5">
        <v>45618.439718310183</v>
      </c>
      <c r="B51" s="6" t="s">
        <v>103</v>
      </c>
      <c r="C51" s="3" t="s">
        <v>104</v>
      </c>
      <c r="D51" s="6">
        <v>23510250238</v>
      </c>
      <c r="E51" s="4">
        <v>47</v>
      </c>
      <c r="F51" s="46">
        <v>9421353713</v>
      </c>
      <c r="G51" s="59">
        <v>2</v>
      </c>
      <c r="H51" s="52">
        <v>2</v>
      </c>
      <c r="I51" s="52">
        <v>2</v>
      </c>
      <c r="J51" s="52">
        <v>2</v>
      </c>
      <c r="K51" s="52">
        <v>2</v>
      </c>
      <c r="L51" s="52">
        <v>2</v>
      </c>
      <c r="M51" s="60">
        <v>2</v>
      </c>
      <c r="N51" s="70">
        <v>4</v>
      </c>
      <c r="O51" s="53">
        <v>4</v>
      </c>
      <c r="P51" s="53">
        <v>4</v>
      </c>
      <c r="Q51" s="53">
        <v>4</v>
      </c>
      <c r="R51" s="53">
        <v>4</v>
      </c>
      <c r="S51" s="53">
        <v>4</v>
      </c>
      <c r="T51" s="71">
        <v>3</v>
      </c>
      <c r="U51" s="68">
        <v>10</v>
      </c>
      <c r="V51" s="54">
        <v>20</v>
      </c>
      <c r="W51" s="51">
        <f t="shared" si="0"/>
        <v>30</v>
      </c>
      <c r="X51" s="42">
        <f t="shared" si="1"/>
        <v>41</v>
      </c>
      <c r="Y51" s="43">
        <v>30</v>
      </c>
      <c r="Z51" s="42">
        <f t="shared" si="2"/>
        <v>0</v>
      </c>
    </row>
    <row r="52" spans="1:26" ht="24.75" x14ac:dyDescent="0.25">
      <c r="A52" s="1">
        <v>45618.44562875</v>
      </c>
      <c r="B52" s="2" t="s">
        <v>105</v>
      </c>
      <c r="C52" s="3" t="s">
        <v>106</v>
      </c>
      <c r="D52" s="2">
        <v>23510250239</v>
      </c>
      <c r="E52" s="4">
        <v>48</v>
      </c>
      <c r="F52" s="47">
        <v>8605110798</v>
      </c>
      <c r="G52" s="59">
        <v>2</v>
      </c>
      <c r="H52" s="52">
        <v>2</v>
      </c>
      <c r="I52" s="52">
        <v>2</v>
      </c>
      <c r="J52" s="52">
        <v>-1</v>
      </c>
      <c r="K52" s="52">
        <v>-1</v>
      </c>
      <c r="L52" s="52">
        <v>2</v>
      </c>
      <c r="M52" s="60">
        <v>2</v>
      </c>
      <c r="N52" s="70">
        <v>2</v>
      </c>
      <c r="O52" s="53">
        <v>4</v>
      </c>
      <c r="P52" s="53">
        <v>4</v>
      </c>
      <c r="Q52" s="53">
        <v>2</v>
      </c>
      <c r="R52" s="53">
        <v>4</v>
      </c>
      <c r="S52" s="53">
        <v>2</v>
      </c>
      <c r="T52" s="71">
        <v>1</v>
      </c>
      <c r="U52" s="68">
        <v>10</v>
      </c>
      <c r="V52" s="54">
        <v>16</v>
      </c>
      <c r="W52" s="51">
        <f t="shared" si="0"/>
        <v>26</v>
      </c>
      <c r="X52" s="42">
        <f t="shared" si="1"/>
        <v>29</v>
      </c>
      <c r="Y52" s="43">
        <v>26</v>
      </c>
      <c r="Z52" s="42">
        <f t="shared" si="2"/>
        <v>0</v>
      </c>
    </row>
    <row r="53" spans="1:26" ht="24.75" x14ac:dyDescent="0.25">
      <c r="A53" s="5">
        <v>45618.460659918986</v>
      </c>
      <c r="B53" s="6" t="s">
        <v>107</v>
      </c>
      <c r="C53" s="3" t="s">
        <v>108</v>
      </c>
      <c r="D53" s="6">
        <v>23510250240</v>
      </c>
      <c r="E53" s="4">
        <v>49</v>
      </c>
      <c r="F53" s="46">
        <v>8830451252</v>
      </c>
      <c r="G53" s="59">
        <v>2</v>
      </c>
      <c r="H53" s="52">
        <v>2</v>
      </c>
      <c r="I53" s="52">
        <v>2</v>
      </c>
      <c r="J53" s="52">
        <v>2</v>
      </c>
      <c r="K53" s="52">
        <v>2</v>
      </c>
      <c r="L53" s="52">
        <v>2</v>
      </c>
      <c r="M53" s="60">
        <v>2</v>
      </c>
      <c r="N53" s="70">
        <v>4</v>
      </c>
      <c r="O53" s="53">
        <v>4</v>
      </c>
      <c r="P53" s="53">
        <v>-1</v>
      </c>
      <c r="Q53" s="53">
        <v>2</v>
      </c>
      <c r="R53" s="53">
        <v>4</v>
      </c>
      <c r="S53" s="53">
        <v>3</v>
      </c>
      <c r="T53" s="71">
        <v>3</v>
      </c>
      <c r="U53" s="68">
        <v>10</v>
      </c>
      <c r="V53" s="54">
        <v>18</v>
      </c>
      <c r="W53" s="51">
        <f t="shared" si="0"/>
        <v>28</v>
      </c>
      <c r="X53" s="42">
        <f t="shared" si="1"/>
        <v>34</v>
      </c>
      <c r="Y53" s="43">
        <v>28</v>
      </c>
      <c r="Z53" s="42">
        <f t="shared" si="2"/>
        <v>0</v>
      </c>
    </row>
    <row r="54" spans="1:26" ht="24.75" x14ac:dyDescent="0.25">
      <c r="A54" s="1">
        <v>45617.514754548611</v>
      </c>
      <c r="B54" s="2" t="s">
        <v>109</v>
      </c>
      <c r="C54" s="3" t="s">
        <v>110</v>
      </c>
      <c r="D54" s="2">
        <v>23510250241</v>
      </c>
      <c r="E54" s="4">
        <v>50</v>
      </c>
      <c r="F54" s="47">
        <v>9359642250</v>
      </c>
      <c r="G54" s="59">
        <v>-1</v>
      </c>
      <c r="H54" s="52">
        <v>2</v>
      </c>
      <c r="I54" s="52">
        <v>2</v>
      </c>
      <c r="J54" s="52">
        <v>-1</v>
      </c>
      <c r="K54" s="52">
        <v>2</v>
      </c>
      <c r="L54" s="52">
        <v>2</v>
      </c>
      <c r="M54" s="60">
        <v>2</v>
      </c>
      <c r="N54" s="70">
        <v>4</v>
      </c>
      <c r="O54" s="53">
        <v>4</v>
      </c>
      <c r="P54" s="53">
        <v>2</v>
      </c>
      <c r="Q54" s="53">
        <v>2</v>
      </c>
      <c r="R54" s="53">
        <v>3</v>
      </c>
      <c r="S54" s="53">
        <v>4</v>
      </c>
      <c r="T54" s="71">
        <v>2</v>
      </c>
      <c r="U54" s="68">
        <v>10</v>
      </c>
      <c r="V54" s="54">
        <v>17</v>
      </c>
      <c r="W54" s="51">
        <f t="shared" si="0"/>
        <v>27</v>
      </c>
      <c r="X54" s="42">
        <f t="shared" si="1"/>
        <v>31</v>
      </c>
      <c r="Y54" s="43">
        <v>27</v>
      </c>
      <c r="Z54" s="42">
        <f t="shared" si="2"/>
        <v>0</v>
      </c>
    </row>
    <row r="55" spans="1:26" ht="24.75" x14ac:dyDescent="0.25">
      <c r="A55" s="5">
        <v>45618.440373379628</v>
      </c>
      <c r="B55" s="6" t="s">
        <v>111</v>
      </c>
      <c r="C55" s="3" t="s">
        <v>112</v>
      </c>
      <c r="D55" s="6">
        <v>23510250242</v>
      </c>
      <c r="E55" s="4">
        <v>51</v>
      </c>
      <c r="F55" s="46">
        <v>9767339080</v>
      </c>
      <c r="G55" s="59">
        <v>2</v>
      </c>
      <c r="H55" s="52">
        <v>2</v>
      </c>
      <c r="I55" s="52">
        <v>2</v>
      </c>
      <c r="J55" s="52">
        <v>2</v>
      </c>
      <c r="K55" s="52">
        <v>2</v>
      </c>
      <c r="L55" s="52">
        <v>1</v>
      </c>
      <c r="M55" s="60">
        <v>2</v>
      </c>
      <c r="N55" s="70">
        <v>4</v>
      </c>
      <c r="O55" s="53">
        <v>4</v>
      </c>
      <c r="P55" s="53">
        <v>-1</v>
      </c>
      <c r="Q55" s="53">
        <v>4</v>
      </c>
      <c r="R55" s="53">
        <v>4</v>
      </c>
      <c r="S55" s="53">
        <v>4</v>
      </c>
      <c r="T55" s="71">
        <v>-1</v>
      </c>
      <c r="U55" s="68">
        <v>10</v>
      </c>
      <c r="V55" s="54">
        <v>20</v>
      </c>
      <c r="W55" s="51">
        <f t="shared" si="0"/>
        <v>30</v>
      </c>
      <c r="X55" s="42">
        <f t="shared" si="1"/>
        <v>33</v>
      </c>
      <c r="Y55" s="43">
        <v>30</v>
      </c>
      <c r="Z55" s="42">
        <f t="shared" si="2"/>
        <v>0</v>
      </c>
    </row>
    <row r="56" spans="1:26" ht="24.75" x14ac:dyDescent="0.25">
      <c r="A56" s="1">
        <v>45618.52667295139</v>
      </c>
      <c r="B56" s="2" t="s">
        <v>113</v>
      </c>
      <c r="C56" s="3" t="s">
        <v>114</v>
      </c>
      <c r="D56" s="2">
        <v>23510250243</v>
      </c>
      <c r="E56" s="4">
        <v>52</v>
      </c>
      <c r="F56" s="47">
        <v>9699787099</v>
      </c>
      <c r="G56" s="59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60">
        <v>0</v>
      </c>
      <c r="N56" s="70">
        <v>0</v>
      </c>
      <c r="O56" s="53">
        <v>0</v>
      </c>
      <c r="P56" s="53">
        <v>2</v>
      </c>
      <c r="Q56" s="53">
        <v>0</v>
      </c>
      <c r="R56" s="53">
        <v>0</v>
      </c>
      <c r="S56" s="53">
        <v>0</v>
      </c>
      <c r="T56" s="71">
        <v>0</v>
      </c>
      <c r="U56" s="68">
        <v>0</v>
      </c>
      <c r="V56" s="54">
        <v>2</v>
      </c>
      <c r="W56" s="51">
        <f t="shared" si="0"/>
        <v>2</v>
      </c>
      <c r="X56" s="42">
        <f t="shared" si="1"/>
        <v>2</v>
      </c>
      <c r="Y56" s="43">
        <v>2</v>
      </c>
      <c r="Z56" s="42">
        <f t="shared" si="2"/>
        <v>0</v>
      </c>
    </row>
    <row r="57" spans="1:26" ht="24.75" x14ac:dyDescent="0.25">
      <c r="A57" s="5">
        <v>45618.446052361112</v>
      </c>
      <c r="B57" s="6" t="s">
        <v>115</v>
      </c>
      <c r="C57" s="3" t="s">
        <v>116</v>
      </c>
      <c r="D57" s="6">
        <v>23510250244</v>
      </c>
      <c r="E57" s="4">
        <v>53</v>
      </c>
      <c r="F57" s="46">
        <v>9421087582</v>
      </c>
      <c r="G57" s="59">
        <v>2</v>
      </c>
      <c r="H57" s="52">
        <v>2</v>
      </c>
      <c r="I57" s="52">
        <v>2</v>
      </c>
      <c r="J57" s="52">
        <v>2</v>
      </c>
      <c r="K57" s="52">
        <v>2</v>
      </c>
      <c r="L57" s="52">
        <v>-1</v>
      </c>
      <c r="M57" s="60">
        <v>2</v>
      </c>
      <c r="N57" s="70">
        <v>4</v>
      </c>
      <c r="O57" s="53">
        <v>4</v>
      </c>
      <c r="P57" s="53">
        <v>1</v>
      </c>
      <c r="Q57" s="53">
        <v>4</v>
      </c>
      <c r="R57" s="53">
        <v>4</v>
      </c>
      <c r="S57" s="53">
        <v>4</v>
      </c>
      <c r="T57" s="71">
        <v>4</v>
      </c>
      <c r="U57" s="68">
        <v>10</v>
      </c>
      <c r="V57" s="54">
        <v>20</v>
      </c>
      <c r="W57" s="51">
        <f t="shared" si="0"/>
        <v>30</v>
      </c>
      <c r="X57" s="42">
        <f t="shared" si="1"/>
        <v>37</v>
      </c>
      <c r="Y57" s="43">
        <v>30</v>
      </c>
      <c r="Z57" s="42">
        <f t="shared" si="2"/>
        <v>0</v>
      </c>
    </row>
    <row r="58" spans="1:26" ht="24.75" x14ac:dyDescent="0.25">
      <c r="A58" s="1"/>
      <c r="C58" s="7" t="s">
        <v>117</v>
      </c>
      <c r="D58" s="8">
        <v>23510250245</v>
      </c>
      <c r="E58" s="9">
        <v>54</v>
      </c>
      <c r="F58" s="48">
        <v>99</v>
      </c>
      <c r="G58" s="61"/>
      <c r="H58" s="55"/>
      <c r="I58" s="55"/>
      <c r="J58" s="55"/>
      <c r="K58" s="55"/>
      <c r="L58" s="55"/>
      <c r="M58" s="62"/>
      <c r="N58" s="70"/>
      <c r="O58" s="53"/>
      <c r="P58" s="53"/>
      <c r="Q58" s="53"/>
      <c r="R58" s="53"/>
      <c r="S58" s="53"/>
      <c r="T58" s="71"/>
      <c r="U58" s="69">
        <v>0</v>
      </c>
      <c r="V58" s="56">
        <v>0</v>
      </c>
      <c r="W58" s="51">
        <f t="shared" si="0"/>
        <v>0</v>
      </c>
      <c r="X58" s="44">
        <f t="shared" si="1"/>
        <v>0</v>
      </c>
      <c r="Y58" s="45">
        <v>0</v>
      </c>
      <c r="Z58" s="44">
        <f t="shared" si="2"/>
        <v>0</v>
      </c>
    </row>
    <row r="59" spans="1:26" ht="24.75" x14ac:dyDescent="0.25">
      <c r="A59" s="5">
        <v>45617.493474108793</v>
      </c>
      <c r="B59" s="6" t="s">
        <v>118</v>
      </c>
      <c r="C59" s="3" t="s">
        <v>119</v>
      </c>
      <c r="D59" s="6">
        <v>23510250246</v>
      </c>
      <c r="E59" s="4">
        <v>55</v>
      </c>
      <c r="F59" s="46">
        <v>8262089018</v>
      </c>
      <c r="G59" s="59">
        <v>2</v>
      </c>
      <c r="H59" s="52">
        <v>2</v>
      </c>
      <c r="I59" s="52">
        <v>2</v>
      </c>
      <c r="J59" s="52">
        <v>1</v>
      </c>
      <c r="K59" s="52">
        <v>2</v>
      </c>
      <c r="L59" s="52">
        <v>2</v>
      </c>
      <c r="M59" s="60">
        <v>2</v>
      </c>
      <c r="N59" s="70">
        <v>3</v>
      </c>
      <c r="O59" s="53">
        <v>4</v>
      </c>
      <c r="P59" s="53">
        <v>3</v>
      </c>
      <c r="Q59" s="53">
        <v>4</v>
      </c>
      <c r="R59" s="53">
        <v>4</v>
      </c>
      <c r="S59" s="53">
        <v>4</v>
      </c>
      <c r="T59" s="71">
        <v>4</v>
      </c>
      <c r="U59" s="68">
        <v>10</v>
      </c>
      <c r="V59" s="54">
        <v>20</v>
      </c>
      <c r="W59" s="51">
        <f t="shared" si="0"/>
        <v>30</v>
      </c>
      <c r="X59" s="42">
        <f t="shared" si="1"/>
        <v>39</v>
      </c>
      <c r="Y59" s="43">
        <v>30</v>
      </c>
      <c r="Z59" s="42">
        <f t="shared" si="2"/>
        <v>0</v>
      </c>
    </row>
    <row r="60" spans="1:26" ht="24.75" x14ac:dyDescent="0.25">
      <c r="A60" s="1">
        <v>45617.494449016202</v>
      </c>
      <c r="B60" s="2" t="s">
        <v>120</v>
      </c>
      <c r="C60" s="101" t="s">
        <v>121</v>
      </c>
      <c r="D60" s="2">
        <v>23510250247</v>
      </c>
      <c r="E60" s="4">
        <v>56</v>
      </c>
      <c r="F60" s="47">
        <v>9588662815</v>
      </c>
      <c r="G60" s="59">
        <v>2</v>
      </c>
      <c r="H60" s="52">
        <v>2</v>
      </c>
      <c r="I60" s="52">
        <v>2</v>
      </c>
      <c r="J60" s="52">
        <v>2</v>
      </c>
      <c r="K60" s="52">
        <v>2</v>
      </c>
      <c r="L60" s="52">
        <v>2</v>
      </c>
      <c r="M60" s="60">
        <v>2</v>
      </c>
      <c r="N60" s="70">
        <v>4</v>
      </c>
      <c r="O60" s="53">
        <v>4</v>
      </c>
      <c r="P60" s="53">
        <v>4</v>
      </c>
      <c r="Q60" s="53">
        <v>4</v>
      </c>
      <c r="R60" s="53">
        <v>4</v>
      </c>
      <c r="S60" s="53">
        <v>4</v>
      </c>
      <c r="T60" s="71">
        <v>4</v>
      </c>
      <c r="U60" s="68">
        <v>10</v>
      </c>
      <c r="V60" s="54">
        <v>20</v>
      </c>
      <c r="W60" s="51">
        <f t="shared" si="0"/>
        <v>30</v>
      </c>
      <c r="X60" s="42">
        <f t="shared" si="1"/>
        <v>42</v>
      </c>
      <c r="Y60" s="43">
        <v>30</v>
      </c>
      <c r="Z60" s="42">
        <f t="shared" si="2"/>
        <v>0</v>
      </c>
    </row>
    <row r="61" spans="1:26" ht="24.75" x14ac:dyDescent="0.25">
      <c r="A61" s="5">
        <v>45617.498960937504</v>
      </c>
      <c r="B61" s="6" t="s">
        <v>122</v>
      </c>
      <c r="C61" s="3" t="s">
        <v>123</v>
      </c>
      <c r="D61" s="6">
        <v>23510250248</v>
      </c>
      <c r="E61" s="4">
        <v>57</v>
      </c>
      <c r="F61" s="46">
        <v>9922391446</v>
      </c>
      <c r="G61" s="59">
        <v>2</v>
      </c>
      <c r="H61" s="52">
        <v>2</v>
      </c>
      <c r="I61" s="52">
        <v>2</v>
      </c>
      <c r="J61" s="52">
        <v>-1</v>
      </c>
      <c r="K61" s="52">
        <v>2</v>
      </c>
      <c r="L61" s="52">
        <v>2</v>
      </c>
      <c r="M61" s="60">
        <v>-1</v>
      </c>
      <c r="N61" s="70">
        <v>1</v>
      </c>
      <c r="O61" s="53">
        <v>4</v>
      </c>
      <c r="P61" s="53">
        <v>3</v>
      </c>
      <c r="Q61" s="53">
        <v>2</v>
      </c>
      <c r="R61" s="53">
        <v>4</v>
      </c>
      <c r="S61" s="53">
        <v>4</v>
      </c>
      <c r="T61" s="71">
        <v>-1</v>
      </c>
      <c r="U61" s="68">
        <v>10</v>
      </c>
      <c r="V61" s="54">
        <v>17</v>
      </c>
      <c r="W61" s="51">
        <f t="shared" si="0"/>
        <v>27</v>
      </c>
      <c r="X61" s="42">
        <f t="shared" si="1"/>
        <v>28</v>
      </c>
      <c r="Y61" s="43">
        <v>27</v>
      </c>
      <c r="Z61" s="42">
        <f t="shared" si="2"/>
        <v>0</v>
      </c>
    </row>
    <row r="62" spans="1:26" ht="24.75" x14ac:dyDescent="0.25">
      <c r="A62" s="1">
        <v>45617.501510497685</v>
      </c>
      <c r="B62" s="2" t="s">
        <v>124</v>
      </c>
      <c r="C62" s="3" t="s">
        <v>125</v>
      </c>
      <c r="D62" s="2">
        <v>23510250249</v>
      </c>
      <c r="E62" s="4">
        <v>58</v>
      </c>
      <c r="F62" s="47">
        <v>9518544072</v>
      </c>
      <c r="G62" s="59">
        <v>-1</v>
      </c>
      <c r="H62" s="52">
        <v>2</v>
      </c>
      <c r="I62" s="52">
        <v>-1</v>
      </c>
      <c r="J62" s="52">
        <v>2</v>
      </c>
      <c r="K62" s="52">
        <v>2</v>
      </c>
      <c r="L62" s="52">
        <v>0</v>
      </c>
      <c r="M62" s="60">
        <v>-1</v>
      </c>
      <c r="N62" s="70">
        <v>2</v>
      </c>
      <c r="O62" s="53">
        <v>4</v>
      </c>
      <c r="P62" s="53">
        <v>3</v>
      </c>
      <c r="Q62" s="53">
        <v>2</v>
      </c>
      <c r="R62" s="53">
        <v>2</v>
      </c>
      <c r="S62" s="53">
        <v>3</v>
      </c>
      <c r="T62" s="71">
        <v>-1</v>
      </c>
      <c r="U62" s="68">
        <v>6</v>
      </c>
      <c r="V62" s="54">
        <v>14</v>
      </c>
      <c r="W62" s="51">
        <f t="shared" si="0"/>
        <v>20</v>
      </c>
      <c r="X62" s="42">
        <f t="shared" si="1"/>
        <v>22</v>
      </c>
      <c r="Y62" s="43">
        <v>20</v>
      </c>
      <c r="Z62" s="42">
        <f t="shared" si="2"/>
        <v>0</v>
      </c>
    </row>
    <row r="63" spans="1:26" ht="24.75" x14ac:dyDescent="0.25">
      <c r="A63" s="5">
        <v>45618.442288368053</v>
      </c>
      <c r="B63" s="6" t="s">
        <v>126</v>
      </c>
      <c r="C63" s="3" t="s">
        <v>127</v>
      </c>
      <c r="D63" s="6">
        <v>23510250250</v>
      </c>
      <c r="E63" s="4">
        <v>59</v>
      </c>
      <c r="F63" s="46">
        <v>9309314034</v>
      </c>
      <c r="G63" s="59">
        <v>2</v>
      </c>
      <c r="H63" s="52">
        <v>2</v>
      </c>
      <c r="I63" s="52">
        <v>-1</v>
      </c>
      <c r="J63" s="52">
        <v>2</v>
      </c>
      <c r="K63" s="52">
        <v>2</v>
      </c>
      <c r="L63" s="52">
        <v>2</v>
      </c>
      <c r="M63" s="60">
        <v>-1</v>
      </c>
      <c r="N63" s="70">
        <v>4</v>
      </c>
      <c r="O63" s="53">
        <v>4</v>
      </c>
      <c r="P63" s="53">
        <v>4</v>
      </c>
      <c r="Q63" s="53">
        <v>4</v>
      </c>
      <c r="R63" s="53">
        <v>3</v>
      </c>
      <c r="S63" s="53">
        <v>4</v>
      </c>
      <c r="T63" s="71">
        <v>-1</v>
      </c>
      <c r="U63" s="68">
        <v>10</v>
      </c>
      <c r="V63" s="54">
        <v>20</v>
      </c>
      <c r="W63" s="51">
        <f t="shared" si="0"/>
        <v>30</v>
      </c>
      <c r="X63" s="42">
        <f t="shared" si="1"/>
        <v>33</v>
      </c>
      <c r="Y63" s="43">
        <v>30</v>
      </c>
      <c r="Z63" s="42">
        <f t="shared" si="2"/>
        <v>0</v>
      </c>
    </row>
    <row r="64" spans="1:26" ht="24.75" x14ac:dyDescent="0.25">
      <c r="A64" s="1">
        <v>45617.536514884254</v>
      </c>
      <c r="B64" s="2" t="s">
        <v>128</v>
      </c>
      <c r="C64" s="3" t="s">
        <v>129</v>
      </c>
      <c r="D64" s="2">
        <v>23510250251</v>
      </c>
      <c r="E64" s="4">
        <v>60</v>
      </c>
      <c r="F64" s="47">
        <v>9561453906</v>
      </c>
      <c r="G64" s="59">
        <v>2</v>
      </c>
      <c r="H64" s="52">
        <v>2</v>
      </c>
      <c r="I64" s="52">
        <v>2</v>
      </c>
      <c r="J64" s="52">
        <v>-1</v>
      </c>
      <c r="K64" s="52">
        <v>-1</v>
      </c>
      <c r="L64" s="52">
        <v>2</v>
      </c>
      <c r="M64" s="60">
        <v>2</v>
      </c>
      <c r="N64" s="70">
        <v>4</v>
      </c>
      <c r="O64" s="53">
        <v>4</v>
      </c>
      <c r="P64" s="53">
        <v>4</v>
      </c>
      <c r="Q64" s="53">
        <v>4</v>
      </c>
      <c r="R64" s="53">
        <v>-1</v>
      </c>
      <c r="S64" s="53">
        <v>4</v>
      </c>
      <c r="T64" s="71">
        <v>4</v>
      </c>
      <c r="U64" s="68">
        <v>10</v>
      </c>
      <c r="V64" s="54">
        <v>20</v>
      </c>
      <c r="W64" s="51">
        <f t="shared" si="0"/>
        <v>30</v>
      </c>
      <c r="X64" s="42">
        <f t="shared" si="1"/>
        <v>34</v>
      </c>
      <c r="Y64" s="43">
        <v>30</v>
      </c>
      <c r="Z64" s="42">
        <f t="shared" si="2"/>
        <v>0</v>
      </c>
    </row>
    <row r="65" spans="1:26" ht="24.75" x14ac:dyDescent="0.25">
      <c r="A65" s="5">
        <v>45618.444220555553</v>
      </c>
      <c r="B65" s="6" t="s">
        <v>130</v>
      </c>
      <c r="C65" s="3" t="s">
        <v>131</v>
      </c>
      <c r="D65" s="6">
        <v>23510250252</v>
      </c>
      <c r="E65" s="4">
        <v>61</v>
      </c>
      <c r="F65" s="46">
        <v>7820892736</v>
      </c>
      <c r="G65" s="59">
        <v>2</v>
      </c>
      <c r="H65" s="52">
        <v>-1</v>
      </c>
      <c r="I65" s="52">
        <v>2</v>
      </c>
      <c r="J65" s="52">
        <v>1</v>
      </c>
      <c r="K65" s="52">
        <v>2</v>
      </c>
      <c r="L65" s="52">
        <v>2</v>
      </c>
      <c r="M65" s="60">
        <v>-1</v>
      </c>
      <c r="N65" s="70">
        <v>2</v>
      </c>
      <c r="O65" s="53">
        <v>4</v>
      </c>
      <c r="P65" s="53">
        <v>4</v>
      </c>
      <c r="Q65" s="53">
        <v>2</v>
      </c>
      <c r="R65" s="53">
        <v>4</v>
      </c>
      <c r="S65" s="53">
        <v>-1</v>
      </c>
      <c r="T65" s="71">
        <v>-1</v>
      </c>
      <c r="U65" s="68">
        <v>9</v>
      </c>
      <c r="V65" s="54">
        <v>16</v>
      </c>
      <c r="W65" s="51">
        <f t="shared" si="0"/>
        <v>25</v>
      </c>
      <c r="X65" s="42">
        <f t="shared" si="1"/>
        <v>25</v>
      </c>
      <c r="Y65" s="43">
        <v>25</v>
      </c>
      <c r="Z65" s="42">
        <f t="shared" si="2"/>
        <v>0</v>
      </c>
    </row>
    <row r="66" spans="1:26" ht="24.75" x14ac:dyDescent="0.25">
      <c r="A66" s="1">
        <v>45617.541403877316</v>
      </c>
      <c r="B66" s="2" t="s">
        <v>132</v>
      </c>
      <c r="C66" s="3" t="s">
        <v>133</v>
      </c>
      <c r="D66" s="2">
        <v>23510250254</v>
      </c>
      <c r="E66" s="4">
        <v>62</v>
      </c>
      <c r="F66" s="47">
        <v>9518369835</v>
      </c>
      <c r="G66" s="59">
        <v>2</v>
      </c>
      <c r="H66" s="52">
        <v>2</v>
      </c>
      <c r="I66" s="52">
        <v>2</v>
      </c>
      <c r="J66" s="52">
        <v>2</v>
      </c>
      <c r="K66" s="52">
        <v>2</v>
      </c>
      <c r="L66" s="52">
        <v>-1</v>
      </c>
      <c r="M66" s="60">
        <v>-1</v>
      </c>
      <c r="N66" s="70">
        <v>2</v>
      </c>
      <c r="O66" s="53">
        <v>4</v>
      </c>
      <c r="P66" s="53">
        <v>4</v>
      </c>
      <c r="Q66" s="53">
        <v>2</v>
      </c>
      <c r="R66" s="53">
        <v>2</v>
      </c>
      <c r="S66" s="53">
        <v>3</v>
      </c>
      <c r="T66" s="71">
        <v>-1</v>
      </c>
      <c r="U66" s="68">
        <v>10</v>
      </c>
      <c r="V66" s="54">
        <v>15</v>
      </c>
      <c r="W66" s="51">
        <f t="shared" si="0"/>
        <v>25</v>
      </c>
      <c r="X66" s="42">
        <f t="shared" si="1"/>
        <v>27</v>
      </c>
      <c r="Y66" s="43">
        <v>25</v>
      </c>
      <c r="Z66" s="42">
        <f t="shared" si="2"/>
        <v>0</v>
      </c>
    </row>
    <row r="67" spans="1:26" ht="24.75" x14ac:dyDescent="0.25">
      <c r="A67" s="5">
        <v>45618.539658217589</v>
      </c>
      <c r="B67" s="6" t="s">
        <v>134</v>
      </c>
      <c r="C67" s="3" t="s">
        <v>135</v>
      </c>
      <c r="D67" s="6">
        <v>23510250255</v>
      </c>
      <c r="E67" s="4">
        <v>63</v>
      </c>
      <c r="F67" s="49" t="s">
        <v>136</v>
      </c>
      <c r="G67" s="59">
        <v>2</v>
      </c>
      <c r="H67" s="52">
        <v>2</v>
      </c>
      <c r="I67" s="52">
        <v>2</v>
      </c>
      <c r="J67" s="52">
        <v>-1</v>
      </c>
      <c r="K67" s="52">
        <v>-1</v>
      </c>
      <c r="L67" s="52">
        <v>2</v>
      </c>
      <c r="M67" s="60">
        <v>2</v>
      </c>
      <c r="N67" s="70">
        <v>4</v>
      </c>
      <c r="O67" s="53">
        <v>4</v>
      </c>
      <c r="P67" s="53">
        <v>-1</v>
      </c>
      <c r="Q67" s="53">
        <v>2</v>
      </c>
      <c r="R67" s="53">
        <v>4</v>
      </c>
      <c r="S67" s="53">
        <v>4</v>
      </c>
      <c r="T67" s="71">
        <v>-1</v>
      </c>
      <c r="U67" s="68">
        <v>10</v>
      </c>
      <c r="V67" s="54">
        <v>18</v>
      </c>
      <c r="W67" s="51">
        <f t="shared" si="0"/>
        <v>28</v>
      </c>
      <c r="X67" s="42">
        <f t="shared" si="1"/>
        <v>28</v>
      </c>
      <c r="Y67" s="43">
        <v>28</v>
      </c>
      <c r="Z67" s="42">
        <f t="shared" si="2"/>
        <v>0</v>
      </c>
    </row>
    <row r="68" spans="1:26" ht="24.75" x14ac:dyDescent="0.25">
      <c r="A68" s="1">
        <v>45617.541714733801</v>
      </c>
      <c r="B68" s="2" t="s">
        <v>137</v>
      </c>
      <c r="C68" s="3" t="s">
        <v>138</v>
      </c>
      <c r="D68" s="2">
        <v>23510250257</v>
      </c>
      <c r="E68" s="4">
        <v>64</v>
      </c>
      <c r="F68" s="47">
        <v>7666212526</v>
      </c>
      <c r="G68" s="59">
        <v>2</v>
      </c>
      <c r="H68" s="52">
        <v>2</v>
      </c>
      <c r="I68" s="52">
        <v>2</v>
      </c>
      <c r="J68" s="52">
        <v>-1</v>
      </c>
      <c r="K68" s="52">
        <v>2</v>
      </c>
      <c r="L68" s="52">
        <v>2</v>
      </c>
      <c r="M68" s="60">
        <v>-1</v>
      </c>
      <c r="N68" s="70">
        <v>2</v>
      </c>
      <c r="O68" s="53">
        <v>4</v>
      </c>
      <c r="P68" s="53">
        <v>-1</v>
      </c>
      <c r="Q68" s="53">
        <v>0</v>
      </c>
      <c r="R68" s="53">
        <v>1</v>
      </c>
      <c r="S68" s="53">
        <v>4</v>
      </c>
      <c r="T68" s="71">
        <v>-1</v>
      </c>
      <c r="U68" s="68">
        <v>10</v>
      </c>
      <c r="V68" s="54">
        <v>11</v>
      </c>
      <c r="W68" s="51">
        <f t="shared" si="0"/>
        <v>21</v>
      </c>
      <c r="X68" s="42">
        <f t="shared" si="1"/>
        <v>21</v>
      </c>
      <c r="Y68" s="43">
        <v>21</v>
      </c>
      <c r="Z68" s="42">
        <f t="shared" si="2"/>
        <v>0</v>
      </c>
    </row>
    <row r="69" spans="1:26" ht="24.75" x14ac:dyDescent="0.25">
      <c r="A69" s="5">
        <v>45618.442014803237</v>
      </c>
      <c r="B69" s="6" t="s">
        <v>139</v>
      </c>
      <c r="C69" s="3" t="s">
        <v>140</v>
      </c>
      <c r="D69" s="6">
        <v>23510250524</v>
      </c>
      <c r="E69" s="4">
        <v>65</v>
      </c>
      <c r="F69" s="46">
        <v>8087681892</v>
      </c>
      <c r="G69" s="59">
        <v>2</v>
      </c>
      <c r="H69" s="52">
        <v>2</v>
      </c>
      <c r="I69" s="52">
        <v>2</v>
      </c>
      <c r="J69" s="52">
        <v>2</v>
      </c>
      <c r="K69" s="52">
        <v>0</v>
      </c>
      <c r="L69" s="52">
        <v>2</v>
      </c>
      <c r="M69" s="60">
        <v>2</v>
      </c>
      <c r="N69" s="70">
        <v>4</v>
      </c>
      <c r="O69" s="53">
        <v>4</v>
      </c>
      <c r="P69" s="53">
        <v>4</v>
      </c>
      <c r="Q69" s="53">
        <v>4</v>
      </c>
      <c r="R69" s="53">
        <v>4</v>
      </c>
      <c r="S69" s="53">
        <v>4</v>
      </c>
      <c r="T69" s="71">
        <v>-1</v>
      </c>
      <c r="U69" s="68">
        <v>10</v>
      </c>
      <c r="V69" s="54">
        <v>20</v>
      </c>
      <c r="W69" s="51">
        <f t="shared" si="0"/>
        <v>30</v>
      </c>
      <c r="X69" s="42">
        <f t="shared" si="1"/>
        <v>36</v>
      </c>
      <c r="Y69" s="43">
        <v>30</v>
      </c>
      <c r="Z69" s="42">
        <f t="shared" si="2"/>
        <v>0</v>
      </c>
    </row>
    <row r="70" spans="1:26" ht="24.75" x14ac:dyDescent="0.25">
      <c r="A70" s="1">
        <v>45618.449727997686</v>
      </c>
      <c r="B70" s="2" t="s">
        <v>141</v>
      </c>
      <c r="C70" s="3" t="s">
        <v>142</v>
      </c>
      <c r="D70" s="2">
        <v>24510250260</v>
      </c>
      <c r="E70" s="4">
        <v>66</v>
      </c>
      <c r="F70" s="47">
        <v>9322013315</v>
      </c>
      <c r="G70" s="59">
        <v>2</v>
      </c>
      <c r="H70" s="52">
        <v>2</v>
      </c>
      <c r="I70" s="52">
        <v>2</v>
      </c>
      <c r="J70" s="52">
        <v>-1</v>
      </c>
      <c r="K70" s="52">
        <v>1</v>
      </c>
      <c r="L70" s="52">
        <v>-1</v>
      </c>
      <c r="M70" s="60">
        <v>2</v>
      </c>
      <c r="N70" s="70">
        <v>2</v>
      </c>
      <c r="O70" s="53">
        <v>4</v>
      </c>
      <c r="P70" s="53">
        <v>0</v>
      </c>
      <c r="Q70" s="53">
        <v>2</v>
      </c>
      <c r="R70" s="53">
        <v>-1</v>
      </c>
      <c r="S70" s="53">
        <v>3</v>
      </c>
      <c r="T70" s="71">
        <v>-1</v>
      </c>
      <c r="U70" s="68">
        <v>9</v>
      </c>
      <c r="V70" s="54">
        <v>11</v>
      </c>
      <c r="W70" s="51">
        <f t="shared" si="0"/>
        <v>20</v>
      </c>
      <c r="X70" s="42">
        <f t="shared" si="1"/>
        <v>20</v>
      </c>
      <c r="Y70" s="43">
        <v>20</v>
      </c>
      <c r="Z70" s="42">
        <f t="shared" si="2"/>
        <v>0</v>
      </c>
    </row>
    <row r="71" spans="1:26" ht="24.75" x14ac:dyDescent="0.25">
      <c r="A71" s="5"/>
      <c r="C71" s="7" t="s">
        <v>143</v>
      </c>
      <c r="D71" s="10" t="s">
        <v>144</v>
      </c>
      <c r="E71" s="8"/>
      <c r="F71" s="48"/>
      <c r="G71" s="63"/>
      <c r="H71" s="57"/>
      <c r="I71" s="57"/>
      <c r="J71" s="57"/>
      <c r="K71" s="57"/>
      <c r="L71" s="57"/>
      <c r="M71" s="64"/>
      <c r="N71" s="72"/>
      <c r="O71" s="58"/>
      <c r="P71" s="58"/>
      <c r="Q71" s="58"/>
      <c r="R71" s="58"/>
      <c r="S71" s="58"/>
      <c r="T71" s="73"/>
      <c r="U71" s="69">
        <v>0</v>
      </c>
      <c r="V71" s="56">
        <v>0</v>
      </c>
      <c r="W71" s="51">
        <f t="shared" si="0"/>
        <v>0</v>
      </c>
      <c r="X71" s="44">
        <f t="shared" si="1"/>
        <v>0</v>
      </c>
      <c r="Y71" s="45">
        <v>0</v>
      </c>
      <c r="Z71" s="44">
        <f t="shared" si="2"/>
        <v>0</v>
      </c>
    </row>
    <row r="72" spans="1:26" ht="24.75" x14ac:dyDescent="0.25">
      <c r="A72" s="1">
        <v>45618.442568831015</v>
      </c>
      <c r="B72" s="2" t="s">
        <v>145</v>
      </c>
      <c r="C72" s="3" t="s">
        <v>146</v>
      </c>
      <c r="D72" s="2">
        <v>24510250261</v>
      </c>
      <c r="E72" s="4">
        <v>68</v>
      </c>
      <c r="F72" s="47">
        <v>9763128544</v>
      </c>
      <c r="G72" s="59">
        <v>1</v>
      </c>
      <c r="H72" s="52">
        <v>2</v>
      </c>
      <c r="I72" s="52">
        <v>0</v>
      </c>
      <c r="J72" s="52">
        <v>2</v>
      </c>
      <c r="K72" s="52">
        <v>0</v>
      </c>
      <c r="L72" s="52">
        <v>0</v>
      </c>
      <c r="M72" s="60">
        <v>0</v>
      </c>
      <c r="N72" s="70">
        <v>-1</v>
      </c>
      <c r="O72" s="53">
        <v>2</v>
      </c>
      <c r="P72" s="53">
        <v>-1</v>
      </c>
      <c r="Q72" s="53">
        <v>1</v>
      </c>
      <c r="R72" s="53">
        <v>2</v>
      </c>
      <c r="S72" s="53">
        <v>2</v>
      </c>
      <c r="T72" s="71">
        <v>-1</v>
      </c>
      <c r="U72" s="68">
        <v>5</v>
      </c>
      <c r="V72" s="54">
        <v>7</v>
      </c>
      <c r="W72" s="51">
        <f t="shared" si="0"/>
        <v>12</v>
      </c>
      <c r="X72" s="42">
        <f t="shared" si="1"/>
        <v>12</v>
      </c>
      <c r="Y72" s="43">
        <v>12</v>
      </c>
      <c r="Z72" s="42">
        <f t="shared" si="2"/>
        <v>0</v>
      </c>
    </row>
    <row r="73" spans="1:26" ht="24.75" x14ac:dyDescent="0.25">
      <c r="A73" s="5">
        <v>45617.549543912042</v>
      </c>
      <c r="B73" s="6" t="s">
        <v>147</v>
      </c>
      <c r="C73" s="3" t="s">
        <v>148</v>
      </c>
      <c r="D73" s="6">
        <v>24500251262</v>
      </c>
      <c r="E73" s="4">
        <v>69</v>
      </c>
      <c r="F73" s="46">
        <v>9529250152</v>
      </c>
      <c r="G73" s="59">
        <v>2</v>
      </c>
      <c r="H73" s="52">
        <v>2</v>
      </c>
      <c r="I73" s="52">
        <v>2</v>
      </c>
      <c r="J73" s="52">
        <v>2</v>
      </c>
      <c r="K73" s="52">
        <v>2</v>
      </c>
      <c r="L73" s="52">
        <v>-1</v>
      </c>
      <c r="M73" s="60">
        <v>2</v>
      </c>
      <c r="N73" s="70">
        <v>-1</v>
      </c>
      <c r="O73" s="53">
        <v>4</v>
      </c>
      <c r="P73" s="53">
        <v>4</v>
      </c>
      <c r="Q73" s="53">
        <v>2</v>
      </c>
      <c r="R73" s="53">
        <v>2</v>
      </c>
      <c r="S73" s="53">
        <v>3</v>
      </c>
      <c r="T73" s="71">
        <v>-1</v>
      </c>
      <c r="U73" s="68">
        <v>10</v>
      </c>
      <c r="V73" s="54">
        <v>15</v>
      </c>
      <c r="W73" s="51">
        <f t="shared" si="0"/>
        <v>25</v>
      </c>
      <c r="X73" s="42">
        <f t="shared" si="1"/>
        <v>27</v>
      </c>
      <c r="Y73" s="43">
        <v>25</v>
      </c>
      <c r="Z73" s="42">
        <f t="shared" si="2"/>
        <v>0</v>
      </c>
    </row>
    <row r="74" spans="1:26" ht="24.75" x14ac:dyDescent="0.25">
      <c r="A74" s="1">
        <v>45617.579524930552</v>
      </c>
      <c r="B74" s="2" t="s">
        <v>149</v>
      </c>
      <c r="C74" s="3" t="s">
        <v>150</v>
      </c>
      <c r="D74" s="2">
        <v>24510250263</v>
      </c>
      <c r="E74" s="4">
        <v>70</v>
      </c>
      <c r="F74" s="47">
        <v>9359777316</v>
      </c>
      <c r="G74" s="59">
        <v>2</v>
      </c>
      <c r="H74" s="52">
        <v>2</v>
      </c>
      <c r="I74" s="52">
        <v>2</v>
      </c>
      <c r="J74" s="52">
        <v>-1</v>
      </c>
      <c r="K74" s="52">
        <v>2</v>
      </c>
      <c r="L74" s="52">
        <v>2</v>
      </c>
      <c r="M74" s="60">
        <v>2</v>
      </c>
      <c r="N74" s="70">
        <v>2</v>
      </c>
      <c r="O74" s="53">
        <v>4</v>
      </c>
      <c r="P74" s="53">
        <v>4</v>
      </c>
      <c r="Q74" s="53">
        <v>2</v>
      </c>
      <c r="R74" s="53">
        <v>2</v>
      </c>
      <c r="S74" s="53">
        <v>4</v>
      </c>
      <c r="T74" s="71">
        <v>-1</v>
      </c>
      <c r="U74" s="68">
        <v>10</v>
      </c>
      <c r="V74" s="54">
        <v>16</v>
      </c>
      <c r="W74" s="51">
        <f t="shared" si="0"/>
        <v>26</v>
      </c>
      <c r="X74" s="42">
        <f t="shared" si="1"/>
        <v>30</v>
      </c>
      <c r="Y74" s="43">
        <v>26</v>
      </c>
      <c r="Z74" s="42">
        <f t="shared" si="2"/>
        <v>0</v>
      </c>
    </row>
    <row r="75" spans="1:26" ht="24.75" x14ac:dyDescent="0.25">
      <c r="A75" s="5">
        <v>45617.555953460644</v>
      </c>
      <c r="B75" s="6" t="s">
        <v>151</v>
      </c>
      <c r="C75" s="3" t="s">
        <v>152</v>
      </c>
      <c r="D75" s="6">
        <v>24510250264</v>
      </c>
      <c r="E75" s="4">
        <v>71</v>
      </c>
      <c r="F75" s="46">
        <v>8080294349</v>
      </c>
      <c r="G75" s="59">
        <v>2</v>
      </c>
      <c r="H75" s="52">
        <v>2</v>
      </c>
      <c r="I75" s="52">
        <v>2</v>
      </c>
      <c r="J75" s="52">
        <v>2</v>
      </c>
      <c r="K75" s="52">
        <v>2</v>
      </c>
      <c r="L75" s="52">
        <v>2</v>
      </c>
      <c r="M75" s="60">
        <v>2</v>
      </c>
      <c r="N75" s="70">
        <v>4</v>
      </c>
      <c r="O75" s="53">
        <v>4</v>
      </c>
      <c r="P75" s="53">
        <v>2</v>
      </c>
      <c r="Q75" s="53">
        <v>2</v>
      </c>
      <c r="R75" s="53">
        <v>2</v>
      </c>
      <c r="S75" s="53">
        <v>3</v>
      </c>
      <c r="T75" s="71">
        <v>2</v>
      </c>
      <c r="U75" s="68">
        <v>10</v>
      </c>
      <c r="V75" s="54">
        <v>15</v>
      </c>
      <c r="W75" s="51">
        <f t="shared" si="0"/>
        <v>25</v>
      </c>
      <c r="X75" s="42">
        <f t="shared" si="1"/>
        <v>33</v>
      </c>
      <c r="Y75" s="43">
        <v>25</v>
      </c>
      <c r="Z75" s="42">
        <f t="shared" si="2"/>
        <v>0</v>
      </c>
    </row>
    <row r="76" spans="1:26" ht="24.75" x14ac:dyDescent="0.25">
      <c r="A76" s="1">
        <v>45617.553195208333</v>
      </c>
      <c r="B76" s="2" t="s">
        <v>153</v>
      </c>
      <c r="C76" s="3" t="s">
        <v>154</v>
      </c>
      <c r="D76" s="2">
        <v>24510250265</v>
      </c>
      <c r="E76" s="4">
        <v>72</v>
      </c>
      <c r="F76" s="47">
        <v>9834281341</v>
      </c>
      <c r="G76" s="59">
        <v>2</v>
      </c>
      <c r="H76" s="52">
        <v>0</v>
      </c>
      <c r="I76" s="52">
        <v>2</v>
      </c>
      <c r="J76" s="52">
        <v>0</v>
      </c>
      <c r="K76" s="52">
        <v>0</v>
      </c>
      <c r="L76" s="52">
        <v>0</v>
      </c>
      <c r="M76" s="60">
        <v>2</v>
      </c>
      <c r="N76" s="70">
        <v>0</v>
      </c>
      <c r="O76" s="53">
        <v>2</v>
      </c>
      <c r="P76" s="53">
        <v>0</v>
      </c>
      <c r="Q76" s="53">
        <v>1</v>
      </c>
      <c r="R76" s="53">
        <v>2</v>
      </c>
      <c r="S76" s="53">
        <v>0</v>
      </c>
      <c r="T76" s="71">
        <v>0</v>
      </c>
      <c r="U76" s="68">
        <v>6</v>
      </c>
      <c r="V76" s="54">
        <v>5</v>
      </c>
      <c r="W76" s="51">
        <f t="shared" si="0"/>
        <v>11</v>
      </c>
      <c r="X76" s="42">
        <f t="shared" si="1"/>
        <v>11</v>
      </c>
      <c r="Y76" s="43">
        <v>11</v>
      </c>
      <c r="Z76" s="42">
        <f t="shared" si="2"/>
        <v>0</v>
      </c>
    </row>
    <row r="77" spans="1:26" ht="25.5" thickBot="1" x14ac:dyDescent="0.3">
      <c r="A77" s="11">
        <v>45617.556283576385</v>
      </c>
      <c r="B77" s="12" t="s">
        <v>155</v>
      </c>
      <c r="C77" s="3" t="s">
        <v>156</v>
      </c>
      <c r="D77" s="12">
        <v>24510250266</v>
      </c>
      <c r="E77" s="4">
        <v>73</v>
      </c>
      <c r="F77" s="50">
        <v>9356582802</v>
      </c>
      <c r="G77" s="65">
        <v>0</v>
      </c>
      <c r="H77" s="66">
        <v>-1</v>
      </c>
      <c r="I77" s="66">
        <v>1</v>
      </c>
      <c r="J77" s="66">
        <v>0</v>
      </c>
      <c r="K77" s="66">
        <v>1</v>
      </c>
      <c r="L77" s="66">
        <v>1</v>
      </c>
      <c r="M77" s="67">
        <v>2</v>
      </c>
      <c r="N77" s="74">
        <v>4</v>
      </c>
      <c r="O77" s="75">
        <v>2</v>
      </c>
      <c r="P77" s="75">
        <v>-1</v>
      </c>
      <c r="Q77" s="75">
        <v>0</v>
      </c>
      <c r="R77" s="75">
        <v>1</v>
      </c>
      <c r="S77" s="75">
        <v>-1</v>
      </c>
      <c r="T77" s="76">
        <v>-1</v>
      </c>
      <c r="U77" s="68">
        <v>5</v>
      </c>
      <c r="V77" s="54">
        <v>7</v>
      </c>
      <c r="W77" s="51">
        <f t="shared" si="0"/>
        <v>12</v>
      </c>
      <c r="X77" s="42">
        <f t="shared" si="1"/>
        <v>12</v>
      </c>
      <c r="Y77" s="43">
        <v>12</v>
      </c>
      <c r="Z77" s="42">
        <f t="shared" si="2"/>
        <v>0</v>
      </c>
    </row>
    <row r="78" spans="1:26" ht="18" x14ac:dyDescent="0.2"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6" ht="18" x14ac:dyDescent="0.2"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6" ht="18" x14ac:dyDescent="0.2"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7:20" ht="18" x14ac:dyDescent="0.2"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7:20" ht="18" x14ac:dyDescent="0.2"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7:20" ht="18" x14ac:dyDescent="0.2"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7:20" ht="18" x14ac:dyDescent="0.2"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7:20" ht="18" x14ac:dyDescent="0.2"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7:20" ht="18" x14ac:dyDescent="0.2"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7:20" ht="18" x14ac:dyDescent="0.2"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7:20" ht="18" x14ac:dyDescent="0.2"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7:20" ht="18" x14ac:dyDescent="0.2"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7:20" ht="18" x14ac:dyDescent="0.2"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7:20" ht="18" x14ac:dyDescent="0.2"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7:20" ht="18" x14ac:dyDescent="0.2"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7:20" ht="18" x14ac:dyDescent="0.2"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7:20" ht="18" x14ac:dyDescent="0.2"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7:20" ht="18" x14ac:dyDescent="0.2"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7:20" ht="18" x14ac:dyDescent="0.2"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7:20" ht="18" x14ac:dyDescent="0.2"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7:20" ht="18" x14ac:dyDescent="0.2"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7:20" ht="18" x14ac:dyDescent="0.2"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7:20" ht="18" x14ac:dyDescent="0.2"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7:20" ht="18" x14ac:dyDescent="0.2"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7:20" ht="18" x14ac:dyDescent="0.2"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7:20" ht="18" x14ac:dyDescent="0.2"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7:20" ht="18" x14ac:dyDescent="0.2"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7:20" ht="18" x14ac:dyDescent="0.2"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7:20" ht="18" x14ac:dyDescent="0.2"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7:20" ht="18" x14ac:dyDescent="0.2"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7:20" ht="18" x14ac:dyDescent="0.2"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7:20" ht="18" x14ac:dyDescent="0.2"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7:20" ht="18" x14ac:dyDescent="0.2"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7:20" ht="18" x14ac:dyDescent="0.2"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7:20" ht="18" x14ac:dyDescent="0.2"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7:20" ht="18" x14ac:dyDescent="0.2"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7:20" ht="18" x14ac:dyDescent="0.2"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7:20" ht="18" x14ac:dyDescent="0.2"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7:20" ht="18" x14ac:dyDescent="0.2"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7:20" ht="18" x14ac:dyDescent="0.2"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7:20" ht="18" x14ac:dyDescent="0.2"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7:20" ht="18" x14ac:dyDescent="0.2"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7:20" ht="18" x14ac:dyDescent="0.2"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7:20" ht="18" x14ac:dyDescent="0.2"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7:20" ht="18" x14ac:dyDescent="0.2"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7:20" ht="18" x14ac:dyDescent="0.2"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7:20" ht="18" x14ac:dyDescent="0.2"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7:20" ht="18" x14ac:dyDescent="0.2"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7:20" ht="18" x14ac:dyDescent="0.2"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7:20" ht="18" x14ac:dyDescent="0.2"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7:20" ht="18" x14ac:dyDescent="0.2"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7:20" ht="18" x14ac:dyDescent="0.2"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7:20" ht="18" x14ac:dyDescent="0.2"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7:20" ht="18" x14ac:dyDescent="0.2"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7:20" ht="18" x14ac:dyDescent="0.2"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7:20" ht="18" x14ac:dyDescent="0.2"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7:20" ht="18" x14ac:dyDescent="0.2"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7:20" ht="18" x14ac:dyDescent="0.2"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7:20" ht="18" x14ac:dyDescent="0.2"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7:20" ht="18" x14ac:dyDescent="0.2"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7:20" ht="18" x14ac:dyDescent="0.2"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7:20" ht="18" x14ac:dyDescent="0.2"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7:20" ht="18" x14ac:dyDescent="0.2"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7:20" ht="18" x14ac:dyDescent="0.2"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7:20" ht="18" x14ac:dyDescent="0.2"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7:20" ht="18" x14ac:dyDescent="0.2"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7:20" ht="18" x14ac:dyDescent="0.2"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7:20" ht="18" x14ac:dyDescent="0.2"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7:20" ht="18" x14ac:dyDescent="0.2"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7:20" ht="18" x14ac:dyDescent="0.2"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7:20" ht="18" x14ac:dyDescent="0.2"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7:20" ht="18" x14ac:dyDescent="0.2"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7:20" ht="18" x14ac:dyDescent="0.2"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7:20" ht="18" x14ac:dyDescent="0.2"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7:20" ht="18" x14ac:dyDescent="0.2"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7:20" ht="18" x14ac:dyDescent="0.2"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7:20" ht="18" x14ac:dyDescent="0.2"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7:20" ht="18" x14ac:dyDescent="0.2"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7:20" ht="18" x14ac:dyDescent="0.2"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7:20" ht="18" x14ac:dyDescent="0.2"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7:20" ht="18" x14ac:dyDescent="0.2"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7:20" ht="18" x14ac:dyDescent="0.2"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7:20" ht="18" x14ac:dyDescent="0.2"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7:20" ht="18" x14ac:dyDescent="0.2"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7:20" ht="18" x14ac:dyDescent="0.2"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7:20" ht="18" x14ac:dyDescent="0.2"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7:20" ht="18" x14ac:dyDescent="0.2"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7:20" ht="18" x14ac:dyDescent="0.2"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7:20" ht="18" x14ac:dyDescent="0.2"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7:20" ht="18" x14ac:dyDescent="0.2"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7:20" ht="18" x14ac:dyDescent="0.2"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7:20" ht="18" x14ac:dyDescent="0.2"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7:20" ht="18" x14ac:dyDescent="0.2"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7:20" ht="18" x14ac:dyDescent="0.2"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7:20" ht="18" x14ac:dyDescent="0.2"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7:20" ht="18" x14ac:dyDescent="0.2"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7:20" ht="18" x14ac:dyDescent="0.2"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7:20" ht="18" x14ac:dyDescent="0.2"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7:20" ht="18" x14ac:dyDescent="0.2"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7:20" ht="18" x14ac:dyDescent="0.2"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</sheetData>
  <mergeCells count="5">
    <mergeCell ref="C1:Z1"/>
    <mergeCell ref="C2:Z2"/>
    <mergeCell ref="C3:J3"/>
    <mergeCell ref="L3:N3"/>
    <mergeCell ref="Q3:Z3"/>
  </mergeCells>
  <pageMargins left="0.7" right="0.7" top="0.75" bottom="0.75" header="0.3" footer="0.3"/>
  <pageSetup paperSize="9" scale="42" fitToHeight="2" orientation="landscape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99"/>
  <sheetViews>
    <sheetView workbookViewId="0"/>
  </sheetViews>
  <sheetFormatPr defaultColWidth="12.5703125" defaultRowHeight="15.75" customHeight="1" x14ac:dyDescent="0.2"/>
  <cols>
    <col min="1" max="1" width="8.42578125" customWidth="1"/>
    <col min="2" max="2" width="15.5703125" customWidth="1"/>
    <col min="3" max="3" width="34.5703125" customWidth="1"/>
    <col min="4" max="7" width="12.5703125" hidden="1"/>
  </cols>
  <sheetData>
    <row r="1" spans="1:24" ht="28.5" x14ac:dyDescent="0.2">
      <c r="A1" s="14" t="s">
        <v>157</v>
      </c>
      <c r="B1" s="15" t="s">
        <v>158</v>
      </c>
      <c r="C1" s="15" t="s">
        <v>159</v>
      </c>
      <c r="D1" s="15" t="s">
        <v>160</v>
      </c>
      <c r="E1" s="15" t="s">
        <v>161</v>
      </c>
      <c r="F1" s="15" t="s">
        <v>162</v>
      </c>
      <c r="G1" s="15" t="s">
        <v>163</v>
      </c>
      <c r="H1" s="15" t="s">
        <v>164</v>
      </c>
      <c r="I1" s="15" t="s">
        <v>165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 ht="15.75" customHeight="1" x14ac:dyDescent="0.25">
      <c r="A2" s="17">
        <v>1</v>
      </c>
      <c r="B2" s="18">
        <v>2201180008</v>
      </c>
      <c r="C2" s="19" t="s">
        <v>166</v>
      </c>
      <c r="D2" s="19" t="s">
        <v>167</v>
      </c>
      <c r="E2" s="20">
        <v>38760</v>
      </c>
      <c r="F2" s="21" t="s">
        <v>168</v>
      </c>
      <c r="G2" s="22"/>
      <c r="H2" s="23">
        <v>12</v>
      </c>
      <c r="I2" s="24">
        <v>8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ht="15.75" customHeight="1" x14ac:dyDescent="0.25">
      <c r="A3" s="17">
        <v>2</v>
      </c>
      <c r="B3" s="18">
        <v>23510250191</v>
      </c>
      <c r="C3" s="19" t="s">
        <v>169</v>
      </c>
      <c r="D3" s="19" t="s">
        <v>167</v>
      </c>
      <c r="E3" s="25">
        <v>39469</v>
      </c>
      <c r="F3" s="21" t="s">
        <v>170</v>
      </c>
      <c r="G3" s="22"/>
      <c r="H3" s="23">
        <v>26</v>
      </c>
      <c r="I3" s="24">
        <v>29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ht="15.75" customHeight="1" x14ac:dyDescent="0.25">
      <c r="A4" s="17">
        <v>3</v>
      </c>
      <c r="B4" s="18">
        <v>23510250192</v>
      </c>
      <c r="C4" s="19" t="s">
        <v>171</v>
      </c>
      <c r="D4" s="19" t="s">
        <v>172</v>
      </c>
      <c r="E4" s="25">
        <v>39329</v>
      </c>
      <c r="F4" s="21" t="s">
        <v>170</v>
      </c>
      <c r="G4" s="22"/>
      <c r="H4" s="23">
        <v>13</v>
      </c>
      <c r="I4" s="24">
        <v>21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4" ht="15.75" customHeight="1" x14ac:dyDescent="0.25">
      <c r="A5" s="17">
        <v>4</v>
      </c>
      <c r="B5" s="18">
        <v>23510250193</v>
      </c>
      <c r="C5" s="19" t="s">
        <v>173</v>
      </c>
      <c r="D5" s="19" t="s">
        <v>167</v>
      </c>
      <c r="E5" s="25">
        <v>39157</v>
      </c>
      <c r="F5" s="21" t="s">
        <v>168</v>
      </c>
      <c r="G5" s="22"/>
      <c r="H5" s="23">
        <v>10</v>
      </c>
      <c r="I5" s="24">
        <v>21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 ht="15.75" customHeight="1" x14ac:dyDescent="0.25">
      <c r="A6" s="17">
        <v>5</v>
      </c>
      <c r="B6" s="18">
        <v>23510250194</v>
      </c>
      <c r="C6" s="19" t="s">
        <v>21</v>
      </c>
      <c r="D6" s="19" t="s">
        <v>167</v>
      </c>
      <c r="E6" s="25">
        <v>39171</v>
      </c>
      <c r="F6" s="21" t="s">
        <v>170</v>
      </c>
      <c r="G6" s="22"/>
      <c r="H6" s="23">
        <v>27</v>
      </c>
      <c r="I6" s="24">
        <v>23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4" ht="15.75" customHeight="1" x14ac:dyDescent="0.25">
      <c r="A7" s="17">
        <v>6</v>
      </c>
      <c r="B7" s="18">
        <v>23510250195</v>
      </c>
      <c r="C7" s="19" t="s">
        <v>174</v>
      </c>
      <c r="D7" s="19" t="s">
        <v>167</v>
      </c>
      <c r="E7" s="25">
        <v>39272</v>
      </c>
      <c r="F7" s="21" t="s">
        <v>175</v>
      </c>
      <c r="G7" s="22"/>
      <c r="H7" s="23">
        <v>28</v>
      </c>
      <c r="I7" s="24">
        <v>30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15.75" customHeight="1" x14ac:dyDescent="0.25">
      <c r="A8" s="17">
        <v>7</v>
      </c>
      <c r="B8" s="18">
        <v>23510250196</v>
      </c>
      <c r="C8" s="19" t="s">
        <v>176</v>
      </c>
      <c r="D8" s="19" t="s">
        <v>167</v>
      </c>
      <c r="E8" s="25">
        <v>39336</v>
      </c>
      <c r="F8" s="21" t="s">
        <v>177</v>
      </c>
      <c r="G8" s="22"/>
      <c r="H8" s="23">
        <v>20</v>
      </c>
      <c r="I8" s="24">
        <v>20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4" ht="15.75" customHeight="1" x14ac:dyDescent="0.25">
      <c r="A9" s="17">
        <v>8</v>
      </c>
      <c r="B9" s="18">
        <v>23510250197</v>
      </c>
      <c r="C9" s="19" t="s">
        <v>178</v>
      </c>
      <c r="D9" s="19" t="s">
        <v>167</v>
      </c>
      <c r="E9" s="25">
        <v>39320</v>
      </c>
      <c r="F9" s="21" t="s">
        <v>170</v>
      </c>
      <c r="G9" s="26" t="s">
        <v>179</v>
      </c>
      <c r="H9" s="23">
        <v>21</v>
      </c>
      <c r="I9" s="24">
        <v>16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ht="15.75" customHeight="1" x14ac:dyDescent="0.25">
      <c r="A10" s="17">
        <v>9</v>
      </c>
      <c r="B10" s="18">
        <v>23510250198</v>
      </c>
      <c r="C10" s="19" t="s">
        <v>180</v>
      </c>
      <c r="D10" s="19" t="s">
        <v>167</v>
      </c>
      <c r="E10" s="25">
        <v>39214</v>
      </c>
      <c r="F10" s="21" t="s">
        <v>170</v>
      </c>
      <c r="G10" s="22"/>
      <c r="H10" s="23">
        <v>29</v>
      </c>
      <c r="I10" s="24">
        <v>26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 ht="15.75" customHeight="1" x14ac:dyDescent="0.25">
      <c r="A11" s="17">
        <v>10</v>
      </c>
      <c r="B11" s="18">
        <v>23510250199</v>
      </c>
      <c r="C11" s="19" t="s">
        <v>181</v>
      </c>
      <c r="D11" s="19" t="s">
        <v>167</v>
      </c>
      <c r="E11" s="25">
        <v>39308</v>
      </c>
      <c r="F11" s="21" t="s">
        <v>170</v>
      </c>
      <c r="G11" s="22"/>
      <c r="H11" s="23">
        <v>18</v>
      </c>
      <c r="I11" s="24">
        <v>23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ht="15.75" customHeight="1" x14ac:dyDescent="0.25">
      <c r="A12" s="17">
        <v>11</v>
      </c>
      <c r="B12" s="18">
        <v>23510250200</v>
      </c>
      <c r="C12" s="19" t="s">
        <v>182</v>
      </c>
      <c r="D12" s="19" t="s">
        <v>167</v>
      </c>
      <c r="E12" s="25">
        <v>38551</v>
      </c>
      <c r="F12" s="21" t="s">
        <v>170</v>
      </c>
      <c r="G12" s="22"/>
      <c r="H12" s="23">
        <v>13</v>
      </c>
      <c r="I12" s="24">
        <v>19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4" ht="15.75" customHeight="1" x14ac:dyDescent="0.25">
      <c r="A13" s="17">
        <v>12</v>
      </c>
      <c r="B13" s="18">
        <v>23510250201</v>
      </c>
      <c r="C13" s="19" t="s">
        <v>183</v>
      </c>
      <c r="D13" s="19" t="s">
        <v>167</v>
      </c>
      <c r="E13" s="25">
        <v>39283</v>
      </c>
      <c r="F13" s="21" t="s">
        <v>170</v>
      </c>
      <c r="G13" s="22"/>
      <c r="H13" s="23">
        <v>25</v>
      </c>
      <c r="I13" s="24">
        <v>30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spans="1:24" ht="15.75" customHeight="1" x14ac:dyDescent="0.25">
      <c r="A14" s="17">
        <v>13</v>
      </c>
      <c r="B14" s="18">
        <v>23510250202</v>
      </c>
      <c r="C14" s="19" t="s">
        <v>184</v>
      </c>
      <c r="D14" s="19" t="s">
        <v>172</v>
      </c>
      <c r="E14" s="25">
        <v>39429</v>
      </c>
      <c r="F14" s="21" t="s">
        <v>170</v>
      </c>
      <c r="G14" s="26" t="s">
        <v>179</v>
      </c>
      <c r="H14" s="23">
        <v>3</v>
      </c>
      <c r="I14" s="24">
        <v>15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ht="15.75" customHeight="1" x14ac:dyDescent="0.25">
      <c r="A15" s="17">
        <v>14</v>
      </c>
      <c r="B15" s="18">
        <v>23510250203</v>
      </c>
      <c r="C15" s="19" t="s">
        <v>185</v>
      </c>
      <c r="D15" s="19" t="s">
        <v>172</v>
      </c>
      <c r="E15" s="25">
        <v>39161</v>
      </c>
      <c r="F15" s="21" t="s">
        <v>175</v>
      </c>
      <c r="G15" s="22"/>
      <c r="H15" s="23">
        <v>20</v>
      </c>
      <c r="I15" s="24">
        <v>23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 ht="15.75" customHeight="1" x14ac:dyDescent="0.25">
      <c r="A16" s="17">
        <v>15</v>
      </c>
      <c r="B16" s="18">
        <v>23510250204</v>
      </c>
      <c r="C16" s="19" t="s">
        <v>186</v>
      </c>
      <c r="D16" s="19" t="s">
        <v>167</v>
      </c>
      <c r="E16" s="25">
        <v>39322</v>
      </c>
      <c r="F16" s="21" t="s">
        <v>175</v>
      </c>
      <c r="G16" s="22"/>
      <c r="H16" s="23">
        <v>18</v>
      </c>
      <c r="I16" s="24">
        <v>30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 ht="15.75" customHeight="1" x14ac:dyDescent="0.25">
      <c r="A17" s="17">
        <v>16</v>
      </c>
      <c r="B17" s="18">
        <v>23510250205</v>
      </c>
      <c r="C17" s="19" t="s">
        <v>187</v>
      </c>
      <c r="D17" s="19" t="s">
        <v>167</v>
      </c>
      <c r="E17" s="25">
        <v>39219</v>
      </c>
      <c r="F17" s="21" t="s">
        <v>188</v>
      </c>
      <c r="G17" s="22"/>
      <c r="H17" s="23">
        <v>25</v>
      </c>
      <c r="I17" s="24">
        <v>28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15.75" customHeight="1" x14ac:dyDescent="0.25">
      <c r="A18" s="17">
        <v>17</v>
      </c>
      <c r="B18" s="18">
        <v>23510250206</v>
      </c>
      <c r="C18" s="19" t="s">
        <v>189</v>
      </c>
      <c r="D18" s="19" t="s">
        <v>167</v>
      </c>
      <c r="E18" s="25">
        <v>39345</v>
      </c>
      <c r="F18" s="21" t="s">
        <v>170</v>
      </c>
      <c r="G18" s="21" t="s">
        <v>190</v>
      </c>
      <c r="H18" s="23">
        <v>14</v>
      </c>
      <c r="I18" s="24">
        <v>12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ht="15.75" customHeight="1" x14ac:dyDescent="0.25">
      <c r="A19" s="17">
        <v>18</v>
      </c>
      <c r="B19" s="18">
        <v>23510250207</v>
      </c>
      <c r="C19" s="19" t="s">
        <v>191</v>
      </c>
      <c r="D19" s="19" t="s">
        <v>172</v>
      </c>
      <c r="E19" s="25">
        <v>39169</v>
      </c>
      <c r="F19" s="21" t="s">
        <v>177</v>
      </c>
      <c r="G19" s="22"/>
      <c r="H19" s="23">
        <v>22</v>
      </c>
      <c r="I19" s="24">
        <v>21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ht="15.75" customHeight="1" x14ac:dyDescent="0.25">
      <c r="A20" s="17">
        <v>19</v>
      </c>
      <c r="B20" s="18">
        <v>23510250208</v>
      </c>
      <c r="C20" s="19" t="s">
        <v>192</v>
      </c>
      <c r="D20" s="19" t="s">
        <v>172</v>
      </c>
      <c r="E20" s="25">
        <v>38953</v>
      </c>
      <c r="F20" s="21" t="s">
        <v>177</v>
      </c>
      <c r="G20" s="22"/>
      <c r="H20" s="23">
        <v>28</v>
      </c>
      <c r="I20" s="24">
        <v>23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ht="15.75" customHeight="1" x14ac:dyDescent="0.25">
      <c r="A21" s="17">
        <v>20</v>
      </c>
      <c r="B21" s="18">
        <v>23510250209</v>
      </c>
      <c r="C21" s="19" t="s">
        <v>193</v>
      </c>
      <c r="D21" s="19" t="s">
        <v>167</v>
      </c>
      <c r="E21" s="25">
        <v>39353</v>
      </c>
      <c r="F21" s="21" t="s">
        <v>175</v>
      </c>
      <c r="G21" s="22"/>
      <c r="H21" s="23">
        <v>28</v>
      </c>
      <c r="I21" s="24">
        <v>28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4" ht="15.75" customHeight="1" x14ac:dyDescent="0.25">
      <c r="A22" s="17">
        <v>21</v>
      </c>
      <c r="B22" s="18">
        <v>23510250210</v>
      </c>
      <c r="C22" s="19" t="s">
        <v>194</v>
      </c>
      <c r="D22" s="19" t="s">
        <v>172</v>
      </c>
      <c r="E22" s="25">
        <v>39295</v>
      </c>
      <c r="F22" s="21" t="s">
        <v>175</v>
      </c>
      <c r="G22" s="22"/>
      <c r="H22" s="23">
        <v>16</v>
      </c>
      <c r="I22" s="24">
        <v>11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4" ht="15.75" customHeight="1" x14ac:dyDescent="0.25">
      <c r="A23" s="17">
        <v>22</v>
      </c>
      <c r="B23" s="18">
        <v>23510250211</v>
      </c>
      <c r="C23" s="19" t="s">
        <v>195</v>
      </c>
      <c r="D23" s="19" t="s">
        <v>167</v>
      </c>
      <c r="E23" s="25">
        <v>39438</v>
      </c>
      <c r="F23" s="21" t="s">
        <v>168</v>
      </c>
      <c r="G23" s="22"/>
      <c r="H23" s="23">
        <v>6</v>
      </c>
      <c r="I23" s="24">
        <v>12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ht="15.75" customHeight="1" x14ac:dyDescent="0.25">
      <c r="A24" s="17">
        <v>23</v>
      </c>
      <c r="B24" s="18">
        <v>23510250212</v>
      </c>
      <c r="C24" s="19" t="s">
        <v>196</v>
      </c>
      <c r="D24" s="19" t="s">
        <v>167</v>
      </c>
      <c r="E24" s="25">
        <v>39512</v>
      </c>
      <c r="F24" s="21" t="s">
        <v>170</v>
      </c>
      <c r="G24" s="21" t="s">
        <v>197</v>
      </c>
      <c r="H24" s="23">
        <v>21</v>
      </c>
      <c r="I24" s="24">
        <v>19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spans="1:24" ht="15.75" customHeight="1" x14ac:dyDescent="0.25">
      <c r="A25" s="17">
        <v>24</v>
      </c>
      <c r="B25" s="18">
        <v>23510250213</v>
      </c>
      <c r="C25" s="19" t="s">
        <v>198</v>
      </c>
      <c r="D25" s="19" t="s">
        <v>172</v>
      </c>
      <c r="E25" s="25">
        <v>39291</v>
      </c>
      <c r="F25" s="21" t="s">
        <v>175</v>
      </c>
      <c r="G25" s="22"/>
      <c r="H25" s="23">
        <v>9</v>
      </c>
      <c r="I25" s="24">
        <v>13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spans="1:24" ht="15.75" customHeight="1" x14ac:dyDescent="0.25">
      <c r="A26" s="17">
        <v>25</v>
      </c>
      <c r="B26" s="18">
        <v>23510250214</v>
      </c>
      <c r="C26" s="19" t="s">
        <v>199</v>
      </c>
      <c r="D26" s="19" t="s">
        <v>172</v>
      </c>
      <c r="E26" s="25">
        <v>39054</v>
      </c>
      <c r="F26" s="21" t="s">
        <v>170</v>
      </c>
      <c r="G26" s="22"/>
      <c r="H26" s="23">
        <v>21</v>
      </c>
      <c r="I26" s="24">
        <v>9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spans="1:24" ht="15.75" customHeight="1" x14ac:dyDescent="0.25">
      <c r="A27" s="17">
        <v>26</v>
      </c>
      <c r="B27" s="18">
        <v>23510250215</v>
      </c>
      <c r="C27" s="19" t="s">
        <v>200</v>
      </c>
      <c r="D27" s="19" t="s">
        <v>167</v>
      </c>
      <c r="E27" s="25">
        <v>39109</v>
      </c>
      <c r="F27" s="21" t="s">
        <v>175</v>
      </c>
      <c r="G27" s="22"/>
      <c r="H27" s="23">
        <v>24</v>
      </c>
      <c r="I27" s="24">
        <v>27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spans="1:24" ht="15.75" customHeight="1" x14ac:dyDescent="0.25">
      <c r="A28" s="17">
        <v>27</v>
      </c>
      <c r="B28" s="18">
        <v>23510250216</v>
      </c>
      <c r="C28" s="19" t="s">
        <v>201</v>
      </c>
      <c r="D28" s="19" t="s">
        <v>167</v>
      </c>
      <c r="E28" s="25">
        <v>39366</v>
      </c>
      <c r="F28" s="21" t="s">
        <v>170</v>
      </c>
      <c r="G28" s="22"/>
      <c r="H28" s="23">
        <v>23</v>
      </c>
      <c r="I28" s="24">
        <v>22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1:24" x14ac:dyDescent="0.25">
      <c r="A29" s="17">
        <v>28</v>
      </c>
      <c r="B29" s="18">
        <v>23510250217</v>
      </c>
      <c r="C29" s="19" t="s">
        <v>202</v>
      </c>
      <c r="D29" s="19" t="s">
        <v>167</v>
      </c>
      <c r="E29" s="25">
        <v>39128</v>
      </c>
      <c r="F29" s="21" t="s">
        <v>170</v>
      </c>
      <c r="G29" s="22"/>
      <c r="H29" s="23">
        <v>30</v>
      </c>
      <c r="I29" s="24">
        <v>30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spans="1:24" x14ac:dyDescent="0.25">
      <c r="A30" s="17">
        <v>29</v>
      </c>
      <c r="B30" s="18">
        <v>23510250218</v>
      </c>
      <c r="C30" s="19" t="s">
        <v>203</v>
      </c>
      <c r="D30" s="19" t="s">
        <v>167</v>
      </c>
      <c r="E30" s="25">
        <v>39370</v>
      </c>
      <c r="F30" s="21" t="s">
        <v>170</v>
      </c>
      <c r="G30" s="22"/>
      <c r="H30" s="23">
        <v>25</v>
      </c>
      <c r="I30" s="24">
        <v>29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spans="1:24" x14ac:dyDescent="0.25">
      <c r="A31" s="17">
        <v>30</v>
      </c>
      <c r="B31" s="18">
        <v>23510250219</v>
      </c>
      <c r="C31" s="19" t="s">
        <v>204</v>
      </c>
      <c r="D31" s="19" t="s">
        <v>167</v>
      </c>
      <c r="E31" s="25">
        <v>38414</v>
      </c>
      <c r="F31" s="21" t="s">
        <v>170</v>
      </c>
      <c r="G31" s="26" t="s">
        <v>179</v>
      </c>
      <c r="H31" s="23">
        <v>22</v>
      </c>
      <c r="I31" s="24">
        <v>27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spans="1:24" x14ac:dyDescent="0.25">
      <c r="A32" s="17">
        <v>31</v>
      </c>
      <c r="B32" s="18">
        <v>23510250220</v>
      </c>
      <c r="C32" s="19" t="s">
        <v>205</v>
      </c>
      <c r="D32" s="19" t="s">
        <v>167</v>
      </c>
      <c r="E32" s="25">
        <v>39299</v>
      </c>
      <c r="F32" s="21" t="s">
        <v>168</v>
      </c>
      <c r="G32" s="22"/>
      <c r="H32" s="23">
        <v>16</v>
      </c>
      <c r="I32" s="24">
        <v>13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spans="1:24" x14ac:dyDescent="0.25">
      <c r="A33" s="17">
        <v>32</v>
      </c>
      <c r="B33" s="18">
        <v>23510250221</v>
      </c>
      <c r="C33" s="19" t="s">
        <v>206</v>
      </c>
      <c r="D33" s="19" t="s">
        <v>167</v>
      </c>
      <c r="E33" s="25">
        <v>39351</v>
      </c>
      <c r="F33" s="21" t="s">
        <v>168</v>
      </c>
      <c r="G33" s="22"/>
      <c r="H33" s="23">
        <v>22</v>
      </c>
      <c r="I33" s="24">
        <v>20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x14ac:dyDescent="0.25">
      <c r="A34" s="17">
        <v>33</v>
      </c>
      <c r="B34" s="18">
        <v>23510250222</v>
      </c>
      <c r="C34" s="19" t="s">
        <v>207</v>
      </c>
      <c r="D34" s="19" t="s">
        <v>167</v>
      </c>
      <c r="E34" s="25">
        <v>39280</v>
      </c>
      <c r="F34" s="21" t="s">
        <v>208</v>
      </c>
      <c r="G34" s="22"/>
      <c r="H34" s="23">
        <v>30</v>
      </c>
      <c r="I34" s="24">
        <v>29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spans="1:24" x14ac:dyDescent="0.25">
      <c r="A35" s="17">
        <v>34</v>
      </c>
      <c r="B35" s="18">
        <v>23510250223</v>
      </c>
      <c r="C35" s="19" t="s">
        <v>78</v>
      </c>
      <c r="D35" s="19" t="s">
        <v>167</v>
      </c>
      <c r="E35" s="25">
        <v>39031</v>
      </c>
      <c r="F35" s="21" t="s">
        <v>168</v>
      </c>
      <c r="G35" s="22"/>
      <c r="H35" s="23">
        <v>15</v>
      </c>
      <c r="I35" s="24">
        <v>16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1:24" x14ac:dyDescent="0.25">
      <c r="A36" s="17">
        <v>35</v>
      </c>
      <c r="B36" s="18">
        <v>23510250224</v>
      </c>
      <c r="C36" s="19" t="s">
        <v>209</v>
      </c>
      <c r="D36" s="19" t="s">
        <v>167</v>
      </c>
      <c r="E36" s="25">
        <v>38381</v>
      </c>
      <c r="F36" s="21" t="s">
        <v>170</v>
      </c>
      <c r="G36" s="22"/>
      <c r="H36" s="23">
        <v>7</v>
      </c>
      <c r="I36" s="24">
        <v>20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spans="1:24" x14ac:dyDescent="0.25">
      <c r="A37" s="17">
        <v>36</v>
      </c>
      <c r="B37" s="18">
        <v>23510250225</v>
      </c>
      <c r="C37" s="19" t="s">
        <v>210</v>
      </c>
      <c r="D37" s="19" t="s">
        <v>167</v>
      </c>
      <c r="E37" s="25">
        <v>39286</v>
      </c>
      <c r="F37" s="21" t="s">
        <v>175</v>
      </c>
      <c r="G37" s="22"/>
      <c r="H37" s="23">
        <v>29</v>
      </c>
      <c r="I37" s="24">
        <v>26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1:24" x14ac:dyDescent="0.25">
      <c r="A38" s="17">
        <v>37</v>
      </c>
      <c r="B38" s="18">
        <v>23510250226</v>
      </c>
      <c r="C38" s="19" t="s">
        <v>211</v>
      </c>
      <c r="D38" s="19" t="s">
        <v>167</v>
      </c>
      <c r="E38" s="25">
        <v>39309</v>
      </c>
      <c r="F38" s="21" t="s">
        <v>168</v>
      </c>
      <c r="G38" s="22"/>
      <c r="H38" s="23">
        <v>30</v>
      </c>
      <c r="I38" s="24">
        <v>30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1:24" x14ac:dyDescent="0.25">
      <c r="A39" s="17">
        <v>38</v>
      </c>
      <c r="B39" s="18">
        <v>23510250227</v>
      </c>
      <c r="C39" s="19" t="s">
        <v>212</v>
      </c>
      <c r="D39" s="19" t="s">
        <v>172</v>
      </c>
      <c r="E39" s="25">
        <v>38582</v>
      </c>
      <c r="F39" s="21" t="s">
        <v>175</v>
      </c>
      <c r="G39" s="26" t="s">
        <v>213</v>
      </c>
      <c r="H39" s="23">
        <v>30</v>
      </c>
      <c r="I39" s="24">
        <v>30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spans="1:24" x14ac:dyDescent="0.25">
      <c r="A40" s="17">
        <v>39</v>
      </c>
      <c r="B40" s="18">
        <v>23510250228</v>
      </c>
      <c r="C40" s="19" t="s">
        <v>214</v>
      </c>
      <c r="D40" s="19" t="s">
        <v>167</v>
      </c>
      <c r="E40" s="25">
        <v>38157</v>
      </c>
      <c r="F40" s="21" t="s">
        <v>170</v>
      </c>
      <c r="G40" s="22"/>
      <c r="H40" s="23">
        <v>24</v>
      </c>
      <c r="I40" s="24">
        <v>27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spans="1:24" x14ac:dyDescent="0.25">
      <c r="A41" s="17">
        <v>40</v>
      </c>
      <c r="B41" s="18">
        <v>23510250231</v>
      </c>
      <c r="C41" s="19" t="s">
        <v>215</v>
      </c>
      <c r="D41" s="19" t="s">
        <v>172</v>
      </c>
      <c r="E41" s="25">
        <v>38717</v>
      </c>
      <c r="F41" s="21" t="s">
        <v>216</v>
      </c>
      <c r="G41" s="22"/>
      <c r="H41" s="23">
        <v>12</v>
      </c>
      <c r="I41" s="24">
        <v>1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1:24" x14ac:dyDescent="0.25">
      <c r="A42" s="17">
        <v>41</v>
      </c>
      <c r="B42" s="18">
        <v>23510250232</v>
      </c>
      <c r="C42" s="19" t="s">
        <v>217</v>
      </c>
      <c r="D42" s="19" t="s">
        <v>167</v>
      </c>
      <c r="E42" s="25">
        <v>38944</v>
      </c>
      <c r="F42" s="21" t="s">
        <v>170</v>
      </c>
      <c r="G42" s="22"/>
      <c r="H42" s="23">
        <v>17</v>
      </c>
      <c r="I42" s="24">
        <v>6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spans="1:24" x14ac:dyDescent="0.25">
      <c r="A43" s="17">
        <v>42</v>
      </c>
      <c r="B43" s="18">
        <v>23510250233</v>
      </c>
      <c r="C43" s="19" t="s">
        <v>218</v>
      </c>
      <c r="D43" s="19" t="s">
        <v>167</v>
      </c>
      <c r="E43" s="25">
        <v>39392</v>
      </c>
      <c r="F43" s="21" t="s">
        <v>170</v>
      </c>
      <c r="G43" s="22"/>
      <c r="H43" s="23">
        <v>30</v>
      </c>
      <c r="I43" s="24">
        <v>30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24" x14ac:dyDescent="0.25">
      <c r="A44" s="17">
        <v>43</v>
      </c>
      <c r="B44" s="18">
        <v>23510250234</v>
      </c>
      <c r="C44" s="19" t="s">
        <v>219</v>
      </c>
      <c r="D44" s="19" t="s">
        <v>167</v>
      </c>
      <c r="E44" s="25">
        <v>39314</v>
      </c>
      <c r="F44" s="21" t="s">
        <v>175</v>
      </c>
      <c r="G44" s="22"/>
      <c r="H44" s="23">
        <v>30</v>
      </c>
      <c r="I44" s="24">
        <v>29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spans="1:24" x14ac:dyDescent="0.25">
      <c r="A45" s="17">
        <v>44</v>
      </c>
      <c r="B45" s="18">
        <v>23510250235</v>
      </c>
      <c r="C45" s="19" t="s">
        <v>220</v>
      </c>
      <c r="D45" s="19" t="s">
        <v>167</v>
      </c>
      <c r="E45" s="25">
        <v>38755</v>
      </c>
      <c r="F45" s="21" t="s">
        <v>170</v>
      </c>
      <c r="G45" s="22"/>
      <c r="H45" s="23">
        <v>27</v>
      </c>
      <c r="I45" s="24">
        <v>29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1:24" x14ac:dyDescent="0.25">
      <c r="A46" s="17">
        <v>45</v>
      </c>
      <c r="B46" s="18">
        <v>23510250236</v>
      </c>
      <c r="C46" s="19" t="s">
        <v>221</v>
      </c>
      <c r="D46" s="19" t="s">
        <v>167</v>
      </c>
      <c r="E46" s="25">
        <v>39249</v>
      </c>
      <c r="F46" s="21" t="s">
        <v>175</v>
      </c>
      <c r="G46" s="22"/>
      <c r="H46" s="23">
        <v>26</v>
      </c>
      <c r="I46" s="24">
        <v>28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spans="1:24" x14ac:dyDescent="0.25">
      <c r="A47" s="17">
        <v>46</v>
      </c>
      <c r="B47" s="18">
        <v>23510250237</v>
      </c>
      <c r="C47" s="19" t="s">
        <v>222</v>
      </c>
      <c r="D47" s="19" t="s">
        <v>167</v>
      </c>
      <c r="E47" s="25">
        <v>38993</v>
      </c>
      <c r="F47" s="21" t="s">
        <v>170</v>
      </c>
      <c r="G47" s="22"/>
      <c r="H47" s="23">
        <v>30</v>
      </c>
      <c r="I47" s="24">
        <v>29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spans="1:24" x14ac:dyDescent="0.25">
      <c r="A48" s="17">
        <v>47</v>
      </c>
      <c r="B48" s="18">
        <v>23510250238</v>
      </c>
      <c r="C48" s="19" t="s">
        <v>223</v>
      </c>
      <c r="D48" s="19" t="s">
        <v>167</v>
      </c>
      <c r="E48" s="25">
        <v>39212</v>
      </c>
      <c r="F48" s="21" t="s">
        <v>168</v>
      </c>
      <c r="G48" s="22"/>
      <c r="H48" s="23">
        <v>30</v>
      </c>
      <c r="I48" s="24">
        <v>30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spans="1:24" x14ac:dyDescent="0.25">
      <c r="A49" s="17">
        <v>48</v>
      </c>
      <c r="B49" s="18">
        <v>23510250239</v>
      </c>
      <c r="C49" s="19" t="s">
        <v>224</v>
      </c>
      <c r="D49" s="19" t="s">
        <v>167</v>
      </c>
      <c r="E49" s="25">
        <v>39156</v>
      </c>
      <c r="F49" s="21" t="s">
        <v>170</v>
      </c>
      <c r="G49" s="26" t="s">
        <v>179</v>
      </c>
      <c r="H49" s="23">
        <v>29</v>
      </c>
      <c r="I49" s="24">
        <v>26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spans="1:24" x14ac:dyDescent="0.25">
      <c r="A50" s="17">
        <v>49</v>
      </c>
      <c r="B50" s="18">
        <v>23510250240</v>
      </c>
      <c r="C50" s="19" t="s">
        <v>225</v>
      </c>
      <c r="D50" s="19" t="s">
        <v>167</v>
      </c>
      <c r="E50" s="25">
        <v>39259</v>
      </c>
      <c r="F50" s="21" t="s">
        <v>170</v>
      </c>
      <c r="G50" s="22"/>
      <c r="H50" s="23">
        <v>30</v>
      </c>
      <c r="I50" s="27">
        <v>28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spans="1:24" x14ac:dyDescent="0.25">
      <c r="A51" s="17">
        <v>50</v>
      </c>
      <c r="B51" s="18">
        <v>23510250241</v>
      </c>
      <c r="C51" s="19" t="s">
        <v>226</v>
      </c>
      <c r="D51" s="19" t="s">
        <v>167</v>
      </c>
      <c r="E51" s="25">
        <v>39371</v>
      </c>
      <c r="F51" s="21" t="s">
        <v>227</v>
      </c>
      <c r="G51" s="22"/>
      <c r="H51" s="23">
        <v>24</v>
      </c>
      <c r="I51" s="24">
        <v>27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spans="1:24" x14ac:dyDescent="0.25">
      <c r="A52" s="17">
        <v>51</v>
      </c>
      <c r="B52" s="18">
        <v>23510250242</v>
      </c>
      <c r="C52" s="19" t="s">
        <v>228</v>
      </c>
      <c r="D52" s="19" t="s">
        <v>167</v>
      </c>
      <c r="E52" s="25">
        <v>39491</v>
      </c>
      <c r="F52" s="21" t="s">
        <v>175</v>
      </c>
      <c r="G52" s="22"/>
      <c r="H52" s="23">
        <v>30</v>
      </c>
      <c r="I52" s="24">
        <v>30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spans="1:24" x14ac:dyDescent="0.25">
      <c r="A53" s="17">
        <v>52</v>
      </c>
      <c r="B53" s="18">
        <v>23510250243</v>
      </c>
      <c r="C53" s="19" t="s">
        <v>229</v>
      </c>
      <c r="D53" s="19" t="s">
        <v>172</v>
      </c>
      <c r="E53" s="25">
        <v>38481</v>
      </c>
      <c r="F53" s="21" t="s">
        <v>230</v>
      </c>
      <c r="G53" s="22"/>
      <c r="H53" s="23">
        <v>6</v>
      </c>
      <c r="I53" s="24">
        <v>2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spans="1:24" x14ac:dyDescent="0.25">
      <c r="A54" s="17">
        <v>53</v>
      </c>
      <c r="B54" s="18">
        <v>23510250244</v>
      </c>
      <c r="C54" s="19" t="s">
        <v>231</v>
      </c>
      <c r="D54" s="19" t="s">
        <v>172</v>
      </c>
      <c r="E54" s="25">
        <v>39139</v>
      </c>
      <c r="F54" s="21" t="s">
        <v>188</v>
      </c>
      <c r="G54" s="22"/>
      <c r="H54" s="23">
        <v>30</v>
      </c>
      <c r="I54" s="24">
        <v>30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spans="1:24" x14ac:dyDescent="0.25">
      <c r="A55" s="28">
        <v>54</v>
      </c>
      <c r="B55" s="29">
        <v>23510250245</v>
      </c>
      <c r="C55" s="30" t="s">
        <v>117</v>
      </c>
      <c r="D55" s="30" t="s">
        <v>172</v>
      </c>
      <c r="E55" s="31">
        <v>38806</v>
      </c>
      <c r="F55" s="32" t="s">
        <v>175</v>
      </c>
      <c r="G55" s="33"/>
      <c r="H55" s="34">
        <v>6</v>
      </c>
      <c r="I55" s="35" t="s">
        <v>232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spans="1:24" x14ac:dyDescent="0.25">
      <c r="A56" s="17">
        <v>55</v>
      </c>
      <c r="B56" s="18">
        <v>23510250246</v>
      </c>
      <c r="C56" s="19" t="s">
        <v>233</v>
      </c>
      <c r="D56" s="19" t="s">
        <v>167</v>
      </c>
      <c r="E56" s="25">
        <v>39221</v>
      </c>
      <c r="F56" s="21" t="s">
        <v>170</v>
      </c>
      <c r="G56" s="22"/>
      <c r="H56" s="23">
        <v>30</v>
      </c>
      <c r="I56" s="24">
        <v>30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spans="1:24" x14ac:dyDescent="0.25">
      <c r="A57" s="17">
        <v>56</v>
      </c>
      <c r="B57" s="18">
        <v>23510250247</v>
      </c>
      <c r="C57" s="19" t="s">
        <v>234</v>
      </c>
      <c r="D57" s="19" t="s">
        <v>172</v>
      </c>
      <c r="E57" s="25">
        <v>39288</v>
      </c>
      <c r="F57" s="21" t="s">
        <v>170</v>
      </c>
      <c r="G57" s="21" t="s">
        <v>190</v>
      </c>
      <c r="H57" s="23">
        <v>30</v>
      </c>
      <c r="I57" s="24">
        <v>30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1:24" x14ac:dyDescent="0.25">
      <c r="A58" s="17">
        <v>57</v>
      </c>
      <c r="B58" s="18">
        <v>23510250248</v>
      </c>
      <c r="C58" s="19" t="s">
        <v>235</v>
      </c>
      <c r="D58" s="19" t="s">
        <v>167</v>
      </c>
      <c r="E58" s="25">
        <v>38454</v>
      </c>
      <c r="F58" s="21" t="s">
        <v>170</v>
      </c>
      <c r="G58" s="22"/>
      <c r="H58" s="23">
        <v>29</v>
      </c>
      <c r="I58" s="24">
        <v>27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spans="1:24" x14ac:dyDescent="0.25">
      <c r="A59" s="17">
        <v>58</v>
      </c>
      <c r="B59" s="18">
        <v>23510250249</v>
      </c>
      <c r="C59" s="19" t="s">
        <v>236</v>
      </c>
      <c r="D59" s="19" t="s">
        <v>172</v>
      </c>
      <c r="E59" s="25">
        <v>39057</v>
      </c>
      <c r="F59" s="21" t="s">
        <v>170</v>
      </c>
      <c r="G59" s="22"/>
      <c r="H59" s="23">
        <v>19</v>
      </c>
      <c r="I59" s="24">
        <v>20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spans="1:24" x14ac:dyDescent="0.25">
      <c r="A60" s="17">
        <v>59</v>
      </c>
      <c r="B60" s="18">
        <v>23510250250</v>
      </c>
      <c r="C60" s="19" t="s">
        <v>237</v>
      </c>
      <c r="D60" s="19" t="s">
        <v>172</v>
      </c>
      <c r="E60" s="25">
        <v>39557</v>
      </c>
      <c r="F60" s="21" t="s">
        <v>170</v>
      </c>
      <c r="G60" s="26" t="s">
        <v>179</v>
      </c>
      <c r="H60" s="23">
        <v>30</v>
      </c>
      <c r="I60" s="24">
        <v>30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spans="1:24" x14ac:dyDescent="0.25">
      <c r="A61" s="17">
        <v>60</v>
      </c>
      <c r="B61" s="18">
        <v>23510250251</v>
      </c>
      <c r="C61" s="19" t="s">
        <v>238</v>
      </c>
      <c r="D61" s="19" t="s">
        <v>172</v>
      </c>
      <c r="E61" s="25">
        <v>39055</v>
      </c>
      <c r="F61" s="21" t="s">
        <v>170</v>
      </c>
      <c r="G61" s="22"/>
      <c r="H61" s="23">
        <v>30</v>
      </c>
      <c r="I61" s="24">
        <v>30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spans="1:24" x14ac:dyDescent="0.25">
      <c r="A62" s="17">
        <v>61</v>
      </c>
      <c r="B62" s="18">
        <v>23510250252</v>
      </c>
      <c r="C62" s="19" t="s">
        <v>239</v>
      </c>
      <c r="D62" s="19" t="s">
        <v>172</v>
      </c>
      <c r="E62" s="25">
        <v>39080</v>
      </c>
      <c r="F62" s="21" t="s">
        <v>170</v>
      </c>
      <c r="G62" s="21" t="s">
        <v>190</v>
      </c>
      <c r="H62" s="23">
        <v>21</v>
      </c>
      <c r="I62" s="24">
        <v>25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spans="1:24" x14ac:dyDescent="0.25">
      <c r="A63" s="17">
        <v>62</v>
      </c>
      <c r="B63" s="18">
        <v>23510250254</v>
      </c>
      <c r="C63" s="19" t="s">
        <v>240</v>
      </c>
      <c r="D63" s="19" t="s">
        <v>167</v>
      </c>
      <c r="E63" s="25">
        <v>39030</v>
      </c>
      <c r="F63" s="21" t="s">
        <v>170</v>
      </c>
      <c r="G63" s="22"/>
      <c r="H63" s="23">
        <v>27</v>
      </c>
      <c r="I63" s="24">
        <v>25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spans="1:24" x14ac:dyDescent="0.25">
      <c r="A64" s="17">
        <v>63</v>
      </c>
      <c r="B64" s="18">
        <v>23510250255</v>
      </c>
      <c r="C64" s="19" t="s">
        <v>241</v>
      </c>
      <c r="D64" s="19" t="s">
        <v>167</v>
      </c>
      <c r="E64" s="25">
        <v>39573</v>
      </c>
      <c r="F64" s="21" t="s">
        <v>170</v>
      </c>
      <c r="G64" s="22"/>
      <c r="H64" s="23">
        <v>23</v>
      </c>
      <c r="I64" s="24">
        <v>28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spans="1:24" x14ac:dyDescent="0.25">
      <c r="A65" s="17">
        <v>64</v>
      </c>
      <c r="B65" s="18">
        <v>23510250257</v>
      </c>
      <c r="C65" s="19" t="s">
        <v>242</v>
      </c>
      <c r="D65" s="19" t="s">
        <v>167</v>
      </c>
      <c r="E65" s="25">
        <v>39466</v>
      </c>
      <c r="F65" s="21" t="s">
        <v>168</v>
      </c>
      <c r="G65" s="22"/>
      <c r="H65" s="23">
        <v>16</v>
      </c>
      <c r="I65" s="24">
        <v>21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spans="1:24" x14ac:dyDescent="0.25">
      <c r="A66" s="17">
        <v>65</v>
      </c>
      <c r="B66" s="18">
        <v>23510250524</v>
      </c>
      <c r="C66" s="19" t="s">
        <v>243</v>
      </c>
      <c r="D66" s="19" t="s">
        <v>172</v>
      </c>
      <c r="E66" s="25">
        <v>39079</v>
      </c>
      <c r="F66" s="21" t="s">
        <v>175</v>
      </c>
      <c r="G66" s="21" t="s">
        <v>244</v>
      </c>
      <c r="H66" s="23">
        <v>30</v>
      </c>
      <c r="I66" s="24">
        <v>30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spans="1:24" x14ac:dyDescent="0.25">
      <c r="A67" s="17">
        <v>66</v>
      </c>
      <c r="B67" s="18">
        <v>24510000000</v>
      </c>
      <c r="C67" s="19" t="s">
        <v>245</v>
      </c>
      <c r="D67" s="16"/>
      <c r="E67" s="16"/>
      <c r="F67" s="16"/>
      <c r="G67" s="16"/>
      <c r="H67" s="23">
        <v>19</v>
      </c>
      <c r="I67" s="24">
        <v>20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spans="1:24" x14ac:dyDescent="0.25">
      <c r="A68" s="28">
        <v>67</v>
      </c>
      <c r="B68" s="29" t="s">
        <v>144</v>
      </c>
      <c r="C68" s="30" t="s">
        <v>143</v>
      </c>
      <c r="D68" s="36"/>
      <c r="E68" s="36"/>
      <c r="F68" s="36"/>
      <c r="G68" s="36"/>
      <c r="H68" s="34" t="s">
        <v>232</v>
      </c>
      <c r="I68" s="35" t="s">
        <v>232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spans="1:24" x14ac:dyDescent="0.25">
      <c r="A69" s="17">
        <v>68</v>
      </c>
      <c r="B69" s="18">
        <v>24510000000</v>
      </c>
      <c r="C69" s="19" t="s">
        <v>246</v>
      </c>
      <c r="D69" s="16"/>
      <c r="E69" s="16"/>
      <c r="F69" s="16"/>
      <c r="G69" s="16"/>
      <c r="H69" s="23">
        <v>13</v>
      </c>
      <c r="I69" s="24">
        <v>12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spans="1:24" x14ac:dyDescent="0.25">
      <c r="A70" s="17">
        <v>69</v>
      </c>
      <c r="B70" s="18">
        <v>24510000000</v>
      </c>
      <c r="C70" s="19" t="s">
        <v>247</v>
      </c>
      <c r="D70" s="16"/>
      <c r="E70" s="16"/>
      <c r="F70" s="16"/>
      <c r="G70" s="16"/>
      <c r="H70" s="23">
        <v>20</v>
      </c>
      <c r="I70" s="24">
        <v>25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spans="1:24" x14ac:dyDescent="0.25">
      <c r="A71" s="17">
        <v>70</v>
      </c>
      <c r="B71" s="18">
        <v>24510000000</v>
      </c>
      <c r="C71" s="19" t="s">
        <v>248</v>
      </c>
      <c r="D71" s="16"/>
      <c r="E71" s="16"/>
      <c r="F71" s="16"/>
      <c r="G71" s="16"/>
      <c r="H71" s="23">
        <v>23</v>
      </c>
      <c r="I71" s="24">
        <v>26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spans="1:24" x14ac:dyDescent="0.25">
      <c r="A72" s="17">
        <v>71</v>
      </c>
      <c r="B72" s="18">
        <v>24510000000</v>
      </c>
      <c r="C72" s="19" t="s">
        <v>249</v>
      </c>
      <c r="D72" s="16"/>
      <c r="E72" s="16"/>
      <c r="F72" s="16"/>
      <c r="G72" s="16"/>
      <c r="H72" s="23">
        <v>26</v>
      </c>
      <c r="I72" s="24">
        <v>25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spans="1:24" x14ac:dyDescent="0.25">
      <c r="A73" s="17">
        <v>72</v>
      </c>
      <c r="B73" s="18">
        <v>24510000000</v>
      </c>
      <c r="C73" s="19" t="s">
        <v>250</v>
      </c>
      <c r="D73" s="16"/>
      <c r="E73" s="16"/>
      <c r="F73" s="16"/>
      <c r="G73" s="16"/>
      <c r="H73" s="23">
        <v>8</v>
      </c>
      <c r="I73" s="24">
        <v>11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spans="1:24" x14ac:dyDescent="0.25">
      <c r="A74" s="17">
        <v>73</v>
      </c>
      <c r="B74" s="18">
        <v>24510000000</v>
      </c>
      <c r="C74" s="19" t="s">
        <v>251</v>
      </c>
      <c r="D74" s="16"/>
      <c r="E74" s="16"/>
      <c r="F74" s="16"/>
      <c r="G74" s="16"/>
      <c r="H74" s="23">
        <v>18</v>
      </c>
      <c r="I74" s="24">
        <v>12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spans="1:24" ht="12.75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spans="1:24" ht="12.75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spans="1:24" ht="12.75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spans="1:24" ht="12.75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spans="1:24" ht="12.75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spans="1:24" ht="12.75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spans="1:24" ht="12.75" x14ac:dyDescent="0.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 ht="12.75" x14ac:dyDescent="0.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 ht="12.75" x14ac:dyDescent="0.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 ht="12.75" x14ac:dyDescent="0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 ht="12.75" x14ac:dyDescent="0.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 ht="12.75" x14ac:dyDescent="0.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 ht="12.75" x14ac:dyDescent="0.2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1:24" ht="12.75" x14ac:dyDescent="0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1:24" ht="12.75" x14ac:dyDescent="0.2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 ht="12.75" x14ac:dyDescent="0.2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 ht="12.75" x14ac:dyDescent="0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 ht="12.75" x14ac:dyDescent="0.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 ht="12.75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 ht="12.75" x14ac:dyDescent="0.2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 ht="12.75" x14ac:dyDescent="0.2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 ht="12.75" x14ac:dyDescent="0.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 ht="12.75" x14ac:dyDescent="0.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 ht="12.75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 ht="12.75" x14ac:dyDescent="0.2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 ht="12.75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 ht="12.75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 ht="12.75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 ht="12.75" x14ac:dyDescent="0.2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 ht="12.75" x14ac:dyDescent="0.2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 ht="12.75" x14ac:dyDescent="0.2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 ht="12.75" x14ac:dyDescent="0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 ht="12.75" x14ac:dyDescent="0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1:24" ht="12.75" x14ac:dyDescent="0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1:24" ht="12.75" x14ac:dyDescent="0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1:24" ht="12.75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1:24" ht="12.75" x14ac:dyDescent="0.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1:24" ht="12.75" x14ac:dyDescent="0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1:24" ht="12.75" x14ac:dyDescent="0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1:24" ht="12.75" x14ac:dyDescent="0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1:24" ht="12.75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 ht="12.75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 ht="12.75" x14ac:dyDescent="0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 ht="12.75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 ht="12.75" x14ac:dyDescent="0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1:24" ht="12.75" x14ac:dyDescent="0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 ht="12.75" x14ac:dyDescent="0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1:24" ht="12.75" x14ac:dyDescent="0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 ht="12.75" x14ac:dyDescent="0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 ht="12.75" x14ac:dyDescent="0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 ht="12.75" x14ac:dyDescent="0.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 ht="12.75" x14ac:dyDescent="0.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 ht="12.75" x14ac:dyDescent="0.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 ht="12.75" x14ac:dyDescent="0.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 ht="12.75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 ht="12.75" x14ac:dyDescent="0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1:24" ht="12.75" x14ac:dyDescent="0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1:24" ht="12.75" x14ac:dyDescent="0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1:24" ht="12.75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1:24" ht="12.75" x14ac:dyDescent="0.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1:24" ht="12.75" x14ac:dyDescent="0.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1:24" ht="12.75" x14ac:dyDescent="0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1:24" ht="12.75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1:24" ht="12.75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1:24" ht="12.75" x14ac:dyDescent="0.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1:24" ht="12.75" x14ac:dyDescent="0.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1:24" ht="12.75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1:24" ht="12.75" x14ac:dyDescent="0.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1:24" ht="12.75" x14ac:dyDescent="0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1:24" ht="12.75" x14ac:dyDescent="0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1:24" ht="12.75" x14ac:dyDescent="0.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1:24" ht="12.75" x14ac:dyDescent="0.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1:24" ht="12.75" x14ac:dyDescent="0.2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 ht="12.75" x14ac:dyDescent="0.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 ht="12.75" x14ac:dyDescent="0.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 ht="12.75" x14ac:dyDescent="0.2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 ht="12.75" x14ac:dyDescent="0.2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 ht="12.75" x14ac:dyDescent="0.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 ht="12.75" x14ac:dyDescent="0.2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 ht="12.75" x14ac:dyDescent="0.2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 ht="12.75" x14ac:dyDescent="0.2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 ht="12.75" x14ac:dyDescent="0.2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 ht="12.75" x14ac:dyDescent="0.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 ht="12.75" x14ac:dyDescent="0.2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1:24" ht="12.75" x14ac:dyDescent="0.2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1:24" ht="12.75" x14ac:dyDescent="0.2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1:24" ht="12.75" x14ac:dyDescent="0.2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1:24" ht="12.75" x14ac:dyDescent="0.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:24" ht="12.75" x14ac:dyDescent="0.2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1:24" ht="12.75" x14ac:dyDescent="0.2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:24" ht="12.75" x14ac:dyDescent="0.2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:24" ht="12.75" x14ac:dyDescent="0.2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:24" ht="12.75" x14ac:dyDescent="0.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:24" ht="12.75" x14ac:dyDescent="0.2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:24" ht="12.75" x14ac:dyDescent="0.2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:24" ht="12.75" x14ac:dyDescent="0.2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 ht="12.75" x14ac:dyDescent="0.2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 ht="12.75" x14ac:dyDescent="0.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 ht="12.75" x14ac:dyDescent="0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 ht="12.75" x14ac:dyDescent="0.2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 ht="12.75" x14ac:dyDescent="0.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 ht="12.75" x14ac:dyDescent="0.2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4" ht="12.75" x14ac:dyDescent="0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4" ht="12.75" x14ac:dyDescent="0.2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4" ht="12.75" x14ac:dyDescent="0.2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4" ht="12.75" x14ac:dyDescent="0.2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1:24" ht="12.75" x14ac:dyDescent="0.2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1:24" ht="12.75" x14ac:dyDescent="0.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1:24" ht="12.75" x14ac:dyDescent="0.2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1:24" ht="12.75" x14ac:dyDescent="0.2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4" ht="12.75" x14ac:dyDescent="0.2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1:24" ht="12.75" x14ac:dyDescent="0.2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1:24" ht="12.75" x14ac:dyDescent="0.2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1:24" ht="12.75" x14ac:dyDescent="0.2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1:24" ht="12.75" x14ac:dyDescent="0.2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1:24" ht="12.75" x14ac:dyDescent="0.2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1:24" ht="12.75" x14ac:dyDescent="0.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1:24" ht="12.75" x14ac:dyDescent="0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1:24" ht="12.75" x14ac:dyDescent="0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1:24" ht="12.75" x14ac:dyDescent="0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1:24" ht="12.75" x14ac:dyDescent="0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1:24" ht="12.75" x14ac:dyDescent="0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 ht="12.75" x14ac:dyDescent="0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 ht="12.75" x14ac:dyDescent="0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1:24" ht="12.75" x14ac:dyDescent="0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1:24" ht="12.75" x14ac:dyDescent="0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1:24" ht="12.75" x14ac:dyDescent="0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1:24" ht="12.75" x14ac:dyDescent="0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1:24" ht="12.75" x14ac:dyDescent="0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1:24" ht="12.75" x14ac:dyDescent="0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1:24" ht="12.75" x14ac:dyDescent="0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1:24" ht="12.75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1:24" ht="12.75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1:24" ht="12.75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1:24" ht="12.75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1:24" ht="12.75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1:24" ht="12.75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1:24" ht="12.75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1:24" ht="12.75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1:24" ht="12.75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1:24" ht="12.75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1:24" ht="12.75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 ht="12.75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 ht="12.75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 ht="12.75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 ht="12.75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 ht="12.75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 ht="12.75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1:24" ht="12.75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1:24" ht="12.75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1:24" ht="12.75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1:24" ht="12.75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1:24" ht="12.75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 ht="12.75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1:24" ht="12.75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1:24" ht="12.75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1:24" ht="12.75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1:24" ht="12.75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1:24" ht="12.75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 spans="1:24" ht="12.75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 spans="1:24" ht="12.75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 spans="1:24" ht="12.75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 spans="1:24" ht="12.75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 spans="1:24" ht="12.75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 spans="1:24" ht="12.75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 spans="1:24" ht="12.75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 spans="1:24" ht="12.75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 spans="1:24" ht="12.75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 spans="1:24" ht="12.75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 spans="1:24" ht="12.75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 spans="1:24" ht="12.75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 spans="1:24" ht="12.75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 spans="1:24" ht="12.75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 spans="1:24" ht="12.75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 spans="1:24" ht="12.75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 spans="1:24" ht="12.75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 spans="1:24" ht="12.75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 spans="1:24" ht="12.75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 spans="1:24" ht="12.75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 spans="1:24" ht="12.75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spans="1:24" ht="12.75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 spans="1:24" ht="12.75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 spans="1:24" ht="12.75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 spans="1:24" ht="12.75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 spans="1:24" ht="12.75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 spans="1:24" ht="12.75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 spans="1:24" ht="12.75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 spans="1:24" ht="12.75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 spans="1:24" ht="12.75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 spans="1:24" ht="12.75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 spans="1:24" ht="12.75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 spans="1:24" ht="12.75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 spans="1:24" ht="12.75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 spans="1:24" ht="12.75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 spans="1:24" ht="12.75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 spans="1:24" ht="12.75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 spans="1:24" ht="12.75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 spans="1:24" ht="12.75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 spans="1:24" ht="12.75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 spans="1:24" ht="12.75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 spans="1:24" ht="12.75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 spans="1:24" ht="12.75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 spans="1:24" ht="12.75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 spans="1:24" ht="12.75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 spans="1:24" ht="12.75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 spans="1:24" ht="12.75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 spans="1:24" ht="12.75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 spans="1:24" ht="12.75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 spans="1:24" ht="12.75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 spans="1:24" ht="12.75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 spans="1:24" ht="12.75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 spans="1:24" ht="12.75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 spans="1:24" ht="12.75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 spans="1:24" ht="12.75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 spans="1:24" ht="12.75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 spans="1:24" ht="12.75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 spans="1:24" ht="12.75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 spans="1:24" ht="12.75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 spans="1:24" ht="12.75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 spans="1:24" ht="12.75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 spans="1:24" ht="12.75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 spans="1:24" ht="12.75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 spans="1:24" ht="12.75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 spans="1:24" ht="12.75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 spans="1:24" ht="12.75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 spans="1:24" ht="12.75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 spans="1:24" ht="12.75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 spans="1:24" ht="12.75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 spans="1:24" ht="12.75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 spans="1:24" ht="12.75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 spans="1:24" ht="12.75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1:24" ht="12.75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 spans="1:24" ht="12.75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 spans="1:24" ht="12.75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spans="1:24" ht="12.75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 spans="1:24" ht="12.75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 spans="1:24" ht="12.75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 spans="1:24" ht="12.75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 spans="1:24" ht="12.75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 spans="1:24" ht="12.75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 spans="1:24" ht="12.75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 spans="1:24" ht="12.75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 spans="1:24" ht="12.75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 spans="1:24" ht="12.75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 spans="1:24" ht="12.75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 spans="1:24" ht="12.75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 spans="1:24" ht="12.75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 spans="1:24" ht="12.75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 spans="1:24" ht="12.75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 spans="1:24" ht="12.75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 spans="1:24" ht="12.75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 spans="1:24" ht="12.75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 spans="1:24" ht="12.75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 spans="1:24" ht="12.75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 spans="1:24" ht="12.75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 spans="1:24" ht="12.75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 spans="1:24" ht="12.75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spans="1:24" ht="12.75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spans="1:24" ht="12.75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spans="1:24" ht="12.75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 spans="1:24" ht="12.75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 spans="1:24" ht="12.75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 spans="1:24" ht="12.75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 spans="1:24" ht="12.75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 spans="1:24" ht="12.75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 spans="1:24" ht="12.75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 spans="1:24" ht="12.75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 spans="1:24" ht="12.75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 spans="1:24" ht="12.75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 spans="1:24" ht="12.75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 spans="1:24" ht="12.75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 spans="1:24" ht="12.75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 spans="1:24" ht="12.75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 spans="1:24" ht="12.75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 spans="1:24" ht="12.75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 spans="1:24" ht="12.75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 spans="1:24" ht="12.75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 spans="1:24" ht="12.75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 spans="1:24" ht="12.75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 spans="1:24" ht="12.75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spans="1:24" ht="12.75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spans="1:24" ht="12.75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spans="1:24" ht="12.75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spans="1:24" ht="12.75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 spans="1:24" ht="12.75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 spans="1:24" ht="12.75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spans="1:24" ht="12.75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 spans="1:24" ht="12.75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 spans="1:24" ht="12.75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 spans="1:24" ht="12.75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 spans="1:24" ht="12.75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 spans="1:24" ht="12.75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 spans="1:24" ht="12.75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 spans="1:24" ht="12.75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 spans="1:24" ht="12.75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 spans="1:24" ht="12.75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 spans="1:24" ht="12.75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 spans="1:24" ht="12.75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 spans="1:24" ht="12.75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 spans="1:24" ht="12.75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 spans="1:24" ht="12.75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 spans="1:24" ht="12.75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 spans="1:24" ht="12.75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spans="1:24" ht="12.75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spans="1:24" ht="12.75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spans="1:24" ht="12.75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spans="1:24" ht="12.75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spans="1:24" ht="12.75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spans="1:24" ht="12.75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 spans="1:24" ht="12.75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 spans="1:24" ht="12.75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 spans="1:24" ht="12.75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 spans="1:24" ht="12.75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 spans="1:24" ht="12.75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 spans="1:24" ht="12.75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 spans="1:24" ht="12.75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 spans="1:24" ht="12.75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 spans="1:24" ht="12.75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 spans="1:24" ht="12.75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 spans="1:24" ht="12.75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 spans="1:24" ht="12.75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 spans="1:24" ht="12.75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 spans="1:24" ht="12.75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 spans="1:24" ht="12.75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 spans="1:24" ht="12.75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 spans="1:24" ht="12.75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spans="1:24" ht="12.75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spans="1:24" ht="12.75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spans="1:24" ht="12.75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spans="1:24" ht="12.75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spans="1:24" ht="12.75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spans="1:24" ht="12.75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spans="1:24" ht="12.75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 spans="1:24" ht="12.75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 spans="1:24" ht="12.75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 spans="1:24" ht="12.75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 spans="1:24" ht="12.75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 spans="1:24" ht="12.75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 spans="1:24" ht="12.75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 spans="1:24" ht="12.75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 spans="1:24" ht="12.75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 spans="1:24" ht="12.75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 spans="1:24" ht="12.75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 spans="1:24" ht="12.75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 spans="1:24" ht="12.75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 spans="1:24" ht="12.75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 spans="1:24" ht="12.75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 spans="1:24" ht="12.75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 spans="1:24" ht="12.75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spans="1:24" ht="12.75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 spans="1:24" ht="12.75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spans="1:24" ht="12.75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spans="1:24" ht="12.75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spans="1:24" ht="12.75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spans="1:24" ht="12.75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spans="1:24" ht="12.75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 spans="1:24" ht="12.75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 spans="1:24" ht="12.75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 spans="1:24" ht="12.75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 spans="1:24" ht="12.75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 spans="1:24" ht="12.75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 spans="1:24" ht="12.75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 spans="1:24" ht="12.75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 spans="1:24" ht="12.75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 spans="1:24" ht="12.75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 spans="1:24" ht="12.75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 spans="1:24" ht="12.75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 spans="1:24" ht="12.75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 spans="1:24" ht="12.75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 spans="1:24" ht="12.75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 spans="1:24" ht="12.75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 spans="1:24" ht="12.75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 spans="1:24" ht="12.75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 spans="1:24" ht="12.75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 spans="1:24" ht="12.75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 spans="1:24" ht="12.75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 spans="1:24" ht="12.75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 spans="1:24" ht="12.75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 spans="1:24" ht="12.75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 spans="1:24" ht="12.75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 spans="1:24" ht="12.75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 spans="1:24" ht="12.75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 spans="1:24" ht="12.75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 spans="1:24" ht="12.75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 spans="1:24" ht="12.75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 spans="1:24" ht="12.75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 spans="1:24" ht="12.75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 spans="1:24" ht="12.75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 spans="1:24" ht="12.75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 spans="1:24" ht="12.75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 spans="1:24" ht="12.75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 spans="1:24" ht="12.75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 spans="1:24" ht="12.75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 spans="1:24" ht="12.75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 spans="1:24" ht="12.75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 spans="1:24" ht="12.75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 spans="1:24" ht="12.75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 spans="1:24" ht="12.75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 spans="1:24" ht="12.75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 spans="1:24" ht="12.75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 spans="1:24" ht="12.75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 spans="1:24" ht="12.75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 spans="1:24" ht="12.75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 spans="1:24" ht="12.75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 spans="1:24" ht="12.75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 spans="1:24" ht="12.75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 spans="1:24" ht="12.75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 spans="1:24" ht="12.75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 spans="1:24" ht="12.75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 spans="1:24" ht="12.75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 spans="1:24" ht="12.75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 spans="1:24" ht="12.75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 spans="1:24" ht="12.75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 spans="1:24" ht="12.75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 spans="1:24" ht="12.75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 spans="1:24" ht="12.75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 spans="1:24" ht="12.75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 spans="1:24" ht="12.75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 spans="1:24" ht="12.75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 spans="1:24" ht="12.75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 spans="1:24" ht="12.75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 spans="1:24" ht="12.75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 spans="1:24" ht="12.75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 spans="1:24" ht="12.75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 spans="1:24" ht="12.75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 spans="1:24" ht="12.75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 spans="1:24" ht="12.75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 spans="1:24" ht="12.75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 spans="1:24" ht="12.75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 spans="1:24" ht="12.75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 spans="1:24" ht="12.75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 spans="1:24" ht="12.75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 spans="1:24" ht="12.75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 spans="1:24" ht="12.75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 spans="1:24" ht="12.75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 spans="1:24" ht="12.75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 spans="1:24" ht="12.75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 spans="1:24" ht="12.75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 spans="1:24" ht="12.75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 spans="1:24" ht="12.75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 spans="1:24" ht="12.75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 spans="1:24" ht="12.75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 spans="1:24" ht="12.75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 spans="1:24" ht="12.75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 spans="1:24" ht="12.75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 spans="1:24" ht="12.75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 spans="1:24" ht="12.75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 spans="1:24" ht="12.75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 spans="1:24" ht="12.75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 spans="1:24" ht="12.75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 spans="1:24" ht="12.75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 spans="1:24" ht="12.75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 spans="1:24" ht="12.75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 spans="1:24" ht="12.75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 spans="1:24" ht="12.75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 spans="1:24" ht="12.75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 spans="1:24" ht="12.75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 spans="1:24" ht="12.75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 spans="1:24" ht="12.75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 spans="1:24" ht="12.75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 spans="1:24" ht="12.75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 spans="1:24" ht="12.75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 spans="1:24" ht="12.75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 spans="1:24" ht="12.75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 spans="1:24" ht="12.75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 spans="1:24" ht="12.75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 spans="1:24" ht="12.75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 spans="1:24" ht="12.75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 spans="1:24" ht="12.75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 spans="1:24" ht="12.75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 spans="1:24" ht="12.75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 spans="1:24" ht="12.75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 spans="1:24" ht="12.75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 spans="1:24" ht="12.75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 spans="1:24" ht="12.75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 spans="1:24" ht="12.75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 spans="1:24" ht="12.75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 spans="1:24" ht="12.75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 spans="1:24" ht="12.75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 spans="1:24" ht="12.75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 spans="1:24" ht="12.75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 spans="1:24" ht="12.75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 spans="1:24" ht="12.75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 spans="1:24" ht="12.75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 spans="1:24" ht="12.75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 spans="1:24" ht="12.75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 spans="1:24" ht="12.75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 spans="1:24" ht="12.75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 spans="1:24" ht="12.75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 spans="1:24" ht="12.75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 spans="1:24" ht="12.75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 spans="1:24" ht="12.75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 spans="1:24" ht="12.75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 spans="1:24" ht="12.75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 spans="1:24" ht="12.75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 spans="1:24" ht="12.75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 spans="1:24" ht="12.75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 spans="1:24" ht="12.75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 spans="1:24" ht="12.75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 spans="1:24" ht="12.75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 spans="1:24" ht="12.75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 spans="1:24" ht="12.75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 spans="1:24" ht="12.75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 spans="1:24" ht="12.75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 spans="1:24" ht="12.75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 spans="1:24" ht="12.75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 spans="1:24" ht="12.75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 spans="1:24" ht="12.75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 spans="1:24" ht="12.75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 spans="1:24" ht="12.75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 spans="1:24" ht="12.75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 spans="1:24" ht="12.75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 spans="1:24" ht="12.75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 spans="1:24" ht="12.75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 spans="1:24" ht="12.75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 spans="1:24" ht="12.75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 spans="1:24" ht="12.75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 spans="1:24" ht="12.75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 spans="1:24" ht="12.75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 spans="1:24" ht="12.75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 spans="1:24" ht="12.75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 spans="1:24" ht="12.75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 spans="1:24" ht="12.75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 spans="1:24" ht="12.75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 spans="1:24" ht="12.75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 spans="1:24" ht="12.75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 spans="1:24" ht="12.75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 spans="1:24" ht="12.75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 spans="1:24" ht="12.75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 spans="1:24" ht="12.75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 spans="1:24" ht="12.75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 spans="1:24" ht="12.75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 spans="1:24" ht="12.75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 spans="1:24" ht="12.75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 spans="1:24" ht="12.75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 spans="1:24" ht="12.75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 spans="1:24" ht="12.75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 spans="1:24" ht="12.75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 spans="1:24" ht="12.75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 spans="1:24" ht="12.75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 spans="1:24" ht="12.75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 spans="1:24" ht="12.75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 spans="1:24" ht="12.75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 spans="1:24" ht="12.75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 spans="1:24" ht="12.75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 spans="1:24" ht="12.75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 spans="1:24" ht="12.75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 spans="1:24" ht="12.75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 spans="1:24" ht="12.75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 spans="1:24" ht="12.75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 spans="1:24" ht="12.75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 spans="1:24" ht="12.75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 spans="1:24" ht="12.75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 spans="1:24" ht="12.75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 spans="1:24" ht="12.75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 spans="1:24" ht="12.75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 spans="1:24" ht="12.75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 spans="1:24" ht="12.75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 spans="1:24" ht="12.75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 spans="1:24" ht="12.75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 spans="1:24" ht="12.75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 spans="1:24" ht="12.75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 spans="1:24" ht="12.75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 spans="1:24" ht="12.75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 spans="1:24" ht="12.75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 spans="1:24" ht="12.75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 spans="1:24" ht="12.75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 spans="1:24" ht="12.75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 spans="1:24" ht="12.75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 spans="1:24" ht="12.75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 spans="1:24" ht="12.75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 spans="1:24" ht="12.75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 spans="1:24" ht="12.75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 spans="1:24" ht="12.75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 spans="1:24" ht="12.75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 spans="1:24" ht="12.75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 spans="1:24" ht="12.75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 spans="1:24" ht="12.75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 spans="1:24" ht="12.75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 spans="1:24" ht="12.75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 spans="1:24" ht="12.75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 spans="1:24" ht="12.75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 spans="1:24" ht="12.75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 spans="1:24" ht="12.75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 spans="1:24" ht="12.75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 spans="1:24" ht="12.75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 spans="1:24" ht="12.75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 spans="1:24" ht="12.75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 spans="1:24" ht="12.75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 spans="1:24" ht="12.75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 spans="1:24" ht="12.75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 spans="1:24" ht="12.75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 spans="1:24" ht="12.75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 spans="1:24" ht="12.75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 spans="1:24" ht="12.75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 spans="1:24" ht="12.75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 spans="1:24" ht="12.75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 spans="1:24" ht="12.75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 spans="1:24" ht="12.75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 spans="1:24" ht="12.75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 spans="1:24" ht="12.75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 spans="1:24" ht="12.75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 spans="1:24" ht="12.75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 spans="1:24" ht="12.75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 spans="1:24" ht="12.75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 spans="1:24" ht="12.75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 spans="1:24" ht="12.75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 spans="1:24" ht="12.75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 spans="1:24" ht="12.75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 spans="1:24" ht="12.75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 spans="1:24" ht="12.75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 spans="1:24" ht="12.75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 spans="1:24" ht="12.75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 spans="1:24" ht="12.75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 spans="1:24" ht="12.75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 spans="1:24" ht="12.75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 spans="1:24" ht="12.75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 spans="1:24" ht="12.75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 spans="1:24" ht="12.75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 spans="1:24" ht="12.75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 spans="1:24" ht="12.75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 spans="1:24" ht="12.75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 spans="1:24" ht="12.75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 spans="1:24" ht="12.75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 spans="1:24" ht="12.75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 spans="1:24" ht="12.75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 spans="1:24" ht="12.75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 spans="1:24" ht="12.75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 spans="1:24" ht="12.75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 spans="1:24" ht="12.75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 spans="1:24" ht="12.75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 spans="1:24" ht="12.75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 spans="1:24" ht="12.75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 spans="1:24" ht="12.75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 spans="1:24" ht="12.75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 spans="1:24" ht="12.75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 spans="1:24" ht="12.75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 spans="1:24" ht="12.75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 spans="1:24" ht="12.75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 spans="1:24" ht="12.75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 spans="1:24" ht="12.75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 spans="1:24" ht="12.75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 spans="1:24" ht="12.75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 spans="1:24" ht="12.75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 spans="1:24" ht="12.75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 spans="1:24" ht="12.75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 spans="1:24" ht="12.75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 spans="1:24" ht="12.75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 spans="1:24" ht="12.75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 spans="1:24" ht="12.75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 spans="1:24" ht="12.75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 spans="1:24" ht="12.75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 spans="1:24" ht="12.75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 spans="1:24" ht="12.75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 spans="1:24" ht="12.75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 spans="1:24" ht="12.75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 spans="1:24" ht="12.75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 spans="1:24" ht="12.75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 spans="1:24" ht="12.75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 spans="1:24" ht="12.75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 spans="1:24" ht="12.75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 spans="1:24" ht="12.75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 spans="1:24" ht="12.75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 spans="1:24" ht="12.75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 spans="1:24" ht="12.75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 spans="1:24" ht="12.75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 spans="1:24" ht="12.75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 spans="1:24" ht="12.75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 spans="1:24" ht="12.75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 spans="1:24" ht="12.75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 spans="1:24" ht="12.75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 spans="1:24" ht="12.75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 spans="1:24" ht="12.75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 spans="1:24" ht="12.75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 spans="1:24" ht="12.75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 spans="1:24" ht="12.75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 spans="1:24" ht="12.75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 spans="1:24" ht="12.75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 spans="1:24" ht="12.75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 spans="1:24" ht="12.75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 spans="1:24" ht="12.75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 spans="1:24" ht="12.75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 spans="1:24" ht="12.75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 spans="1:24" ht="12.75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 spans="1:24" ht="12.75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 spans="1:24" ht="12.75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 spans="1:24" ht="12.75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 spans="1:24" ht="12.75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 spans="1:24" ht="12.75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 spans="1:24" ht="12.75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 spans="1:24" ht="12.75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 spans="1:24" ht="12.75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 spans="1:24" ht="12.75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 spans="1:24" ht="12.75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 spans="1:24" ht="12.75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 spans="1:24" ht="12.75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 spans="1:24" ht="12.75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 spans="1:24" ht="12.75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 spans="1:24" ht="12.75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 spans="1:24" ht="12.75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 spans="1:24" ht="12.75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 spans="1:24" ht="12.75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 spans="1:24" ht="12.75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 spans="1:24" ht="12.75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 spans="1:24" ht="12.75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 spans="1:24" ht="12.75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 spans="1:24" ht="12.75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 spans="1:24" ht="12.75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 spans="1:24" ht="12.75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 spans="1:24" ht="12.75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 spans="1:24" ht="12.75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 spans="1:24" ht="12.75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 spans="1:24" ht="12.75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 spans="1:24" ht="12.75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 spans="1:24" ht="12.75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 spans="1:24" ht="12.75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 spans="1:24" ht="12.75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 spans="1:24" ht="12.75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 spans="1:24" ht="12.75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 spans="1:24" ht="12.75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 spans="1:24" ht="12.75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 spans="1:24" ht="12.75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 spans="1:24" ht="12.75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 spans="1:24" ht="12.75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 spans="1:24" ht="12.75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 spans="1:24" ht="12.75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 spans="1:24" ht="12.75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 spans="1:24" ht="12.75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 spans="1:24" ht="12.75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 spans="1:24" ht="12.75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 spans="1:24" ht="12.75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 spans="1:24" ht="12.75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 spans="1:24" ht="12.75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 spans="1:24" ht="12.75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 spans="1:24" ht="12.75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 spans="1:24" ht="12.75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 spans="1:24" ht="12.75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 spans="1:24" ht="12.75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 spans="1:24" ht="12.75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 spans="1:24" ht="12.75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 spans="1:24" ht="12.75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 spans="1:24" ht="12.75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 spans="1:24" ht="12.75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 spans="1:24" ht="12.75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 spans="1:24" ht="12.75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 spans="1:24" ht="12.75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 spans="1:24" ht="12.75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 spans="1:24" ht="12.75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 spans="1:24" ht="12.75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 spans="1:24" ht="12.75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 spans="1:24" ht="12.75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 spans="1:24" ht="12.75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 spans="1:24" ht="12.75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 spans="1:24" ht="12.75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 spans="1:24" ht="12.75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 spans="1:24" ht="12.75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 spans="1:24" ht="12.75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 spans="1:24" ht="12.75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 spans="1:24" ht="12.75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 spans="1:24" ht="12.75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 spans="1:24" ht="12.75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 spans="1:24" ht="12.75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 spans="1:24" ht="12.75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 spans="1:24" ht="12.75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 spans="1:24" ht="12.75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 spans="1:24" ht="12.75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 spans="1:24" ht="12.75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 spans="1:24" ht="12.75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 spans="1:24" ht="12.75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 spans="1:24" ht="12.75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 spans="1:24" ht="12.75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 spans="1:24" ht="12.75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 spans="1:24" ht="12.75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 spans="1:24" ht="12.75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 spans="1:24" ht="12.75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 spans="1:24" ht="12.75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 spans="1:24" ht="12.75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 spans="1:24" ht="12.75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 spans="1:24" ht="12.75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 spans="1:24" ht="12.75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 spans="1:24" ht="12.75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 spans="1:24" ht="12.75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 spans="1:24" ht="12.75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 spans="1:24" ht="12.75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 spans="1:24" ht="12.75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 spans="1:24" ht="12.75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 spans="1:24" ht="12.75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 spans="1:24" ht="12.75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 spans="1:24" ht="12.75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 spans="1:24" ht="12.75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 spans="1:24" ht="12.75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 spans="1:24" ht="12.75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 spans="1:24" ht="12.75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 spans="1:24" ht="12.75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 spans="1:24" ht="12.75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 spans="1:24" ht="12.75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 spans="1:24" ht="12.75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 spans="1:24" ht="12.75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 spans="1:24" ht="12.75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 spans="1:24" ht="12.75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 spans="1:24" ht="12.75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 spans="1:24" ht="12.75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 spans="1:24" ht="12.75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 spans="1:24" ht="12.75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 spans="1:24" ht="12.75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 spans="1:24" ht="12.75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 spans="1:24" ht="12.75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 spans="1:24" ht="12.75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 spans="1:24" ht="12.75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 spans="1:24" ht="12.75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 spans="1:24" ht="12.75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 spans="1:24" ht="12.75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 spans="1:24" ht="12.75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 spans="1:24" ht="12.75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 spans="1:24" ht="12.75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 spans="1:24" ht="12.75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 spans="1:24" ht="12.75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 spans="1:24" ht="12.75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 spans="1:24" ht="12.75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 spans="1:24" ht="12.75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 spans="1:24" ht="12.75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 spans="1:24" ht="12.75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 spans="1:24" ht="12.75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 spans="1:24" ht="12.75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 spans="1:24" ht="12.75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 spans="1:24" ht="12.75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 spans="1:24" ht="12.75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 spans="1:24" ht="12.75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 spans="1:24" ht="12.75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 spans="1:24" ht="12.75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 spans="1:24" ht="12.75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 spans="1:24" ht="12.75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 spans="1:24" ht="12.75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 spans="1:24" ht="12.75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 spans="1:24" ht="12.75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 spans="1:24" ht="12.75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 spans="1:24" ht="12.75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 spans="1:24" ht="12.75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 spans="1:24" ht="12.75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 spans="1:24" ht="12.75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 spans="1:24" ht="12.75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 spans="1:24" ht="12.75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 spans="1:24" ht="12.75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 spans="1:24" ht="12.75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 spans="1:24" ht="12.75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 spans="1:24" ht="12.75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 spans="1:24" ht="12.75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 spans="1:24" ht="12.75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 spans="1:24" ht="12.75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 spans="1:24" ht="12.75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 spans="1:24" ht="12.75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 spans="1:24" ht="12.75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 spans="1:24" ht="12.75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 spans="1:24" ht="12.75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 spans="1:24" ht="12.75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 spans="1:24" ht="12.75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 spans="1:24" ht="12.75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 spans="1:24" ht="12.75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 spans="1:24" ht="12.75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 spans="1:24" ht="12.75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 spans="1:24" ht="12.75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 spans="1:24" ht="12.75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 spans="1:24" ht="12.75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 spans="1:24" ht="12.75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 spans="1:24" ht="12.75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 spans="1:24" ht="12.75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 spans="1:24" ht="12.75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 spans="1:24" ht="12.75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 spans="1:24" ht="12.75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 spans="1:24" ht="12.75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 spans="1:24" ht="12.75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 spans="1:24" ht="12.75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 spans="1:24" ht="12.75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 spans="1:24" ht="12.75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 spans="1:24" ht="12.75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 spans="1:24" ht="12.75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 spans="1:24" ht="12.75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 spans="1:24" ht="12.75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 spans="1:24" ht="12.75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 spans="1:24" ht="12.75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 spans="1:24" ht="12.75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 spans="1:24" ht="12.75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 spans="1:24" ht="12.75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 spans="1:24" ht="12.75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 spans="1:24" ht="12.75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 spans="1:24" ht="12.75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 spans="1:24" ht="12.75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 spans="1:24" ht="12.75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 spans="1:24" ht="12.75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 spans="1:24" ht="12.75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 spans="1:24" ht="12.75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 spans="1:24" ht="12.75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 spans="1:24" ht="12.75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 spans="1:24" ht="12.75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 spans="1:24" ht="12.75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 spans="1:24" ht="12.75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 spans="1:24" ht="12.75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 spans="1:24" ht="12.75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 spans="1:24" ht="12.75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 spans="1:24" ht="12.75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 spans="1:24" ht="12.75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 spans="1:24" ht="12.75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 spans="1:24" ht="12.75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 spans="1:24" ht="12.75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 spans="1:24" ht="12.75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 spans="1:24" ht="12.75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 spans="1:24" ht="12.75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 spans="1:24" ht="12.75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 spans="1:24" ht="12.75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 spans="1:24" ht="12.75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 spans="1:24" ht="12.75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 spans="1:24" ht="12.75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 spans="1:24" ht="12.75" x14ac:dyDescent="0.2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 spans="1:24" ht="12.75" x14ac:dyDescent="0.2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 spans="1:24" ht="12.75" x14ac:dyDescent="0.2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 spans="1:24" ht="12.75" x14ac:dyDescent="0.2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 spans="1:24" ht="12.75" x14ac:dyDescent="0.2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 spans="1:24" ht="12.75" x14ac:dyDescent="0.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 spans="1:24" ht="12.75" x14ac:dyDescent="0.2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 spans="1:24" ht="12.75" x14ac:dyDescent="0.2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 spans="1:24" ht="12.75" x14ac:dyDescent="0.2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 spans="1:24" ht="12.75" x14ac:dyDescent="0.2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 spans="1:24" ht="12.75" x14ac:dyDescent="0.2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 spans="1:24" ht="12.75" x14ac:dyDescent="0.2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 spans="1:24" ht="12.75" x14ac:dyDescent="0.2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Form Responses 1</vt:lpstr>
      <vt:lpstr>Sheet1</vt:lpstr>
      <vt:lpstr>'Form Responses 1'!Print_Area</vt:lpstr>
      <vt:lpstr>'Form Responses 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GPO</dc:creator>
  <cp:lastModifiedBy>GPO</cp:lastModifiedBy>
  <cp:lastPrinted>2024-11-22T10:35:10Z</cp:lastPrinted>
  <dcterms:created xsi:type="dcterms:W3CDTF">2024-11-22T10:25:55Z</dcterms:created>
  <dcterms:modified xsi:type="dcterms:W3CDTF">2026-06-06T10:23:19Z</dcterms:modified>
</cp:coreProperties>
</file>