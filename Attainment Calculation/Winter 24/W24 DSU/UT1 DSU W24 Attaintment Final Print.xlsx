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00" windowWidth="20775" windowHeight="11190" tabRatio="505"/>
  </bookViews>
  <sheets>
    <sheet name="UT1 DSU" sheetId="1" r:id="rId1"/>
    <sheet name="UT1 and UT2 Marks Manual Entry" sheetId="2" r:id="rId2"/>
  </sheets>
  <definedNames>
    <definedName name="_xlnm.Print_Titles" localSheetId="0">'UT1 DSU'!$1:$4</definedName>
  </definedNames>
  <calcPr calcId="145621"/>
</workbook>
</file>

<file path=xl/calcChain.xml><?xml version="1.0" encoding="utf-8"?>
<calcChain xmlns="http://schemas.openxmlformats.org/spreadsheetml/2006/main">
  <c r="V69" i="1" l="1"/>
  <c r="U69" i="1"/>
  <c r="X69" i="1" s="1"/>
  <c r="V68" i="1"/>
  <c r="U68" i="1"/>
  <c r="X68" i="1" s="1"/>
  <c r="V67" i="1"/>
  <c r="U67" i="1"/>
  <c r="X67" i="1" s="1"/>
  <c r="V66" i="1"/>
  <c r="U66" i="1"/>
  <c r="X66" i="1" s="1"/>
  <c r="V65" i="1"/>
  <c r="U65" i="1"/>
  <c r="X65" i="1" s="1"/>
  <c r="V64" i="1"/>
  <c r="U64" i="1"/>
  <c r="X64" i="1" s="1"/>
  <c r="V63" i="1"/>
  <c r="U63" i="1"/>
  <c r="X63" i="1" s="1"/>
  <c r="V62" i="1"/>
  <c r="U62" i="1"/>
  <c r="X62" i="1" s="1"/>
  <c r="V61" i="1"/>
  <c r="U61" i="1"/>
  <c r="X61" i="1" s="1"/>
  <c r="V60" i="1"/>
  <c r="U60" i="1"/>
  <c r="X60" i="1" s="1"/>
  <c r="V59" i="1"/>
  <c r="U59" i="1"/>
  <c r="X59" i="1" s="1"/>
  <c r="V58" i="1"/>
  <c r="U58" i="1"/>
  <c r="X58" i="1" s="1"/>
  <c r="V57" i="1"/>
  <c r="U57" i="1"/>
  <c r="X57" i="1" s="1"/>
  <c r="V56" i="1"/>
  <c r="U56" i="1"/>
  <c r="X56" i="1" s="1"/>
  <c r="V55" i="1"/>
  <c r="U55" i="1"/>
  <c r="X55" i="1" s="1"/>
  <c r="V54" i="1"/>
  <c r="U54" i="1"/>
  <c r="X54" i="1" s="1"/>
  <c r="V53" i="1"/>
  <c r="U53" i="1"/>
  <c r="X53" i="1" s="1"/>
  <c r="V52" i="1"/>
  <c r="U52" i="1"/>
  <c r="X52" i="1" s="1"/>
  <c r="V51" i="1"/>
  <c r="U51" i="1"/>
  <c r="X51" i="1" s="1"/>
  <c r="V50" i="1"/>
  <c r="U50" i="1"/>
  <c r="X50" i="1" s="1"/>
  <c r="V49" i="1"/>
  <c r="U49" i="1"/>
  <c r="X49" i="1" s="1"/>
  <c r="V48" i="1"/>
  <c r="U48" i="1"/>
  <c r="X48" i="1" s="1"/>
  <c r="V47" i="1"/>
  <c r="U47" i="1"/>
  <c r="X47" i="1" s="1"/>
  <c r="V46" i="1"/>
  <c r="U46" i="1"/>
  <c r="X46" i="1" s="1"/>
  <c r="V45" i="1"/>
  <c r="U45" i="1"/>
  <c r="X45" i="1" s="1"/>
  <c r="V44" i="1"/>
  <c r="U44" i="1"/>
  <c r="X44" i="1" s="1"/>
  <c r="V43" i="1"/>
  <c r="U43" i="1"/>
  <c r="X43" i="1" s="1"/>
  <c r="V42" i="1"/>
  <c r="U42" i="1"/>
  <c r="X42" i="1" s="1"/>
  <c r="V41" i="1"/>
  <c r="U41" i="1"/>
  <c r="X41" i="1" s="1"/>
  <c r="V40" i="1"/>
  <c r="U40" i="1"/>
  <c r="X40" i="1" s="1"/>
  <c r="V39" i="1"/>
  <c r="U39" i="1"/>
  <c r="X39" i="1" s="1"/>
  <c r="V38" i="1"/>
  <c r="U38" i="1"/>
  <c r="X38" i="1" s="1"/>
  <c r="V37" i="1"/>
  <c r="U37" i="1"/>
  <c r="X37" i="1" s="1"/>
  <c r="V36" i="1"/>
  <c r="U36" i="1"/>
  <c r="X36" i="1" s="1"/>
  <c r="V35" i="1"/>
  <c r="U35" i="1"/>
  <c r="X35" i="1" s="1"/>
  <c r="V34" i="1"/>
  <c r="U34" i="1"/>
  <c r="X34" i="1" s="1"/>
  <c r="V33" i="1"/>
  <c r="U33" i="1"/>
  <c r="X33" i="1" s="1"/>
  <c r="V32" i="1"/>
  <c r="U32" i="1"/>
  <c r="X32" i="1" s="1"/>
  <c r="V31" i="1"/>
  <c r="U31" i="1"/>
  <c r="X31" i="1" s="1"/>
  <c r="V30" i="1"/>
  <c r="U30" i="1"/>
  <c r="X30" i="1" s="1"/>
  <c r="V29" i="1"/>
  <c r="U29" i="1"/>
  <c r="X29" i="1" s="1"/>
  <c r="V28" i="1"/>
  <c r="U28" i="1"/>
  <c r="X28" i="1" s="1"/>
  <c r="V27" i="1"/>
  <c r="U27" i="1"/>
  <c r="X27" i="1" s="1"/>
  <c r="V26" i="1"/>
  <c r="U26" i="1"/>
  <c r="X26" i="1" s="1"/>
  <c r="V25" i="1"/>
  <c r="U25" i="1"/>
  <c r="X25" i="1" s="1"/>
  <c r="V24" i="1"/>
  <c r="U24" i="1"/>
  <c r="X24" i="1" s="1"/>
  <c r="V23" i="1"/>
  <c r="U23" i="1"/>
  <c r="X23" i="1" s="1"/>
  <c r="V22" i="1"/>
  <c r="U22" i="1"/>
  <c r="X22" i="1" s="1"/>
  <c r="V21" i="1"/>
  <c r="U21" i="1"/>
  <c r="X21" i="1" s="1"/>
  <c r="V20" i="1"/>
  <c r="U20" i="1"/>
  <c r="X20" i="1" s="1"/>
  <c r="V19" i="1"/>
  <c r="U19" i="1"/>
  <c r="X19" i="1" s="1"/>
  <c r="V18" i="1"/>
  <c r="U18" i="1"/>
  <c r="X18" i="1" s="1"/>
  <c r="V17" i="1"/>
  <c r="U17" i="1"/>
  <c r="X17" i="1" s="1"/>
  <c r="V16" i="1"/>
  <c r="U16" i="1"/>
  <c r="X16" i="1" s="1"/>
  <c r="V15" i="1"/>
  <c r="U15" i="1"/>
  <c r="X15" i="1" s="1"/>
  <c r="V14" i="1"/>
  <c r="U14" i="1"/>
  <c r="X14" i="1" s="1"/>
  <c r="V13" i="1"/>
  <c r="U13" i="1"/>
  <c r="X13" i="1" s="1"/>
  <c r="V12" i="1"/>
  <c r="U12" i="1"/>
  <c r="X12" i="1" s="1"/>
  <c r="V11" i="1"/>
  <c r="U11" i="1"/>
  <c r="X11" i="1" s="1"/>
  <c r="V10" i="1"/>
  <c r="U10" i="1"/>
  <c r="X10" i="1" s="1"/>
  <c r="V9" i="1"/>
  <c r="U9" i="1"/>
  <c r="X9" i="1" s="1"/>
  <c r="V8" i="1"/>
  <c r="U8" i="1"/>
  <c r="X8" i="1" s="1"/>
  <c r="V7" i="1"/>
  <c r="U7" i="1"/>
  <c r="X7" i="1" s="1"/>
  <c r="V6" i="1"/>
  <c r="U6" i="1"/>
  <c r="X6" i="1" s="1"/>
  <c r="V5" i="1"/>
  <c r="U5" i="1"/>
  <c r="X5" i="1" s="1"/>
</calcChain>
</file>

<file path=xl/sharedStrings.xml><?xml version="1.0" encoding="utf-8"?>
<sst xmlns="http://schemas.openxmlformats.org/spreadsheetml/2006/main" count="313" uniqueCount="186">
  <si>
    <t>10/14</t>
  </si>
  <si>
    <t>20/28</t>
  </si>
  <si>
    <t>Total Marks Out of 30</t>
  </si>
  <si>
    <t>Total Marks Out of 42</t>
  </si>
  <si>
    <t>Marks obtained by student</t>
  </si>
  <si>
    <t>Dhanshetti Priya Sanjay</t>
  </si>
  <si>
    <t xml:space="preserve">Adsul shashwati Nitin </t>
  </si>
  <si>
    <t xml:space="preserve">Avishkar babruwan bhise </t>
  </si>
  <si>
    <t>Maheshwari Bhau awad</t>
  </si>
  <si>
    <t xml:space="preserve">Sharvani Dnyaneshwar Badve </t>
  </si>
  <si>
    <t>Bagade Manasi Mukund</t>
  </si>
  <si>
    <t>Archana Hanumant Barde</t>
  </si>
  <si>
    <t>Barmade shraddha  sudhakar</t>
  </si>
  <si>
    <t xml:space="preserve">Bedke Ankita Shriram </t>
  </si>
  <si>
    <t>Bhad Shravani Umakant</t>
  </si>
  <si>
    <t>Bhore Nikita shankar</t>
  </si>
  <si>
    <t>.</t>
  </si>
  <si>
    <t xml:space="preserve">Bhosale Pradnya Haridas </t>
  </si>
  <si>
    <t xml:space="preserve">Tejas gajanan bhosale </t>
  </si>
  <si>
    <t>Birajdar prashant padmakar</t>
  </si>
  <si>
    <t xml:space="preserve">Shravani Prashant Chandane </t>
  </si>
  <si>
    <t xml:space="preserve">Chavan Nikita narayan </t>
  </si>
  <si>
    <t xml:space="preserve">Sanskruti Amol Dalve </t>
  </si>
  <si>
    <t xml:space="preserve">Dane sushant vitthal </t>
  </si>
  <si>
    <t>_</t>
  </si>
  <si>
    <t xml:space="preserve">Ravikiran Dhondiram Demgunde </t>
  </si>
  <si>
    <t>Anupama Nagesh Dhage</t>
  </si>
  <si>
    <t xml:space="preserve">Sarthak santosh fulmali </t>
  </si>
  <si>
    <t xml:space="preserve">Gade payal dhanraj </t>
  </si>
  <si>
    <t>Gavali Monika Dnyandeo</t>
  </si>
  <si>
    <t>Krishna Pramod Gurav</t>
  </si>
  <si>
    <t>Hajare amar ajit</t>
  </si>
  <si>
    <t xml:space="preserve">Isake Pratiksha Mahesh </t>
  </si>
  <si>
    <t>Shreya Shrirang Jagtap</t>
  </si>
  <si>
    <t xml:space="preserve">Tanuja Gunderao Joshi. </t>
  </si>
  <si>
    <t>Prachi Kishor Kale</t>
  </si>
  <si>
    <t xml:space="preserve">Kale Vaishnavi Dhanraj </t>
  </si>
  <si>
    <t>Divya Vijay kamble</t>
  </si>
  <si>
    <t>Kamble sonam vilas</t>
  </si>
  <si>
    <t xml:space="preserve">Kendre Mayuri Tukaram </t>
  </si>
  <si>
    <t>Suhani Vikram Khandagale</t>
  </si>
  <si>
    <t xml:space="preserve">Khune priyanka pramod </t>
  </si>
  <si>
    <t xml:space="preserve">Ishwari Dattatraya Kshirsagar </t>
  </si>
  <si>
    <t xml:space="preserve">Londhe Pramila Chhatragun </t>
  </si>
  <si>
    <t xml:space="preserve">Mali Karan Ashok </t>
  </si>
  <si>
    <t xml:space="preserve">Mendhekar Priti Goroba </t>
  </si>
  <si>
    <t>Nawale sachin manesh</t>
  </si>
  <si>
    <t xml:space="preserve">Nikam Kranti Santosh </t>
  </si>
  <si>
    <t>Nimbalkar Asmita Bhujang</t>
  </si>
  <si>
    <t>Panchal Gayatri Dnyaneshwar</t>
  </si>
  <si>
    <t xml:space="preserve">Pathan adiba firdos amjadkhan </t>
  </si>
  <si>
    <t>Patil Amruta Suresh</t>
  </si>
  <si>
    <t xml:space="preserve">Dnyaneshwari subhash patil </t>
  </si>
  <si>
    <t xml:space="preserve">Pawar Arya Rajendra </t>
  </si>
  <si>
    <t>235102 50238</t>
  </si>
  <si>
    <t xml:space="preserve">Pawar Sarika Pandurang </t>
  </si>
  <si>
    <t xml:space="preserve">Pawar Vaibhavi Laxman </t>
  </si>
  <si>
    <t xml:space="preserve">Gayatri Ambadas pichrute </t>
  </si>
  <si>
    <t xml:space="preserve">Pirjade Afreen Ubedulla </t>
  </si>
  <si>
    <t>Puri Abhay Laxman</t>
  </si>
  <si>
    <t xml:space="preserve">BHIMSING UMRAOSING RAJPUT </t>
  </si>
  <si>
    <t>Nagesh Rajkumar Sagar</t>
  </si>
  <si>
    <t>Sakharkar Shravani Hari</t>
  </si>
  <si>
    <t xml:space="preserve">Shindalkar Aniket Shesherao </t>
  </si>
  <si>
    <t xml:space="preserve">Dipika Dattatray Shinde </t>
  </si>
  <si>
    <t xml:space="preserve">Shinde Rohan Rajendra </t>
  </si>
  <si>
    <t xml:space="preserve">Shivam Sandeep Shinde </t>
  </si>
  <si>
    <t xml:space="preserve">Shinde Yashraj Yuvraj </t>
  </si>
  <si>
    <t>Abhishek Shahaji sirsat</t>
  </si>
  <si>
    <t xml:space="preserve">Umbardand Shivlila Babasaheb </t>
  </si>
  <si>
    <t xml:space="preserve">Vare Anjali Ramdas </t>
  </si>
  <si>
    <t>Pallavi Dnyaneshwar Waghmare</t>
  </si>
  <si>
    <t>Vedant Amol Gavasane</t>
  </si>
  <si>
    <t>Roll No</t>
  </si>
  <si>
    <t>Enrollment No</t>
  </si>
  <si>
    <t>Name</t>
  </si>
  <si>
    <t>Gender</t>
  </si>
  <si>
    <t>DOB</t>
  </si>
  <si>
    <t>Category</t>
  </si>
  <si>
    <t>Remark</t>
  </si>
  <si>
    <t>Marks</t>
  </si>
  <si>
    <t>DHANSHETTI PRIYA SANJAY</t>
  </si>
  <si>
    <t>F</t>
  </si>
  <si>
    <t>SC</t>
  </si>
  <si>
    <t>ADSUL SHASHWATI NITIN</t>
  </si>
  <si>
    <t>OPEN</t>
  </si>
  <si>
    <t>AVISHKAR BABRUWAN BHISE</t>
  </si>
  <si>
    <t>M</t>
  </si>
  <si>
    <t>AWAD MAHESHWARI BHAU</t>
  </si>
  <si>
    <t>BADVE SHARVANI DNYANESHWAR</t>
  </si>
  <si>
    <t>BAGADE MANASI MUKUND</t>
  </si>
  <si>
    <t>OBC</t>
  </si>
  <si>
    <t>BARDE ARCHANA HANUMANT</t>
  </si>
  <si>
    <t>NT 2 (NT-C)</t>
  </si>
  <si>
    <t>BARMADE SHRADDHA SUDHAKAR</t>
  </si>
  <si>
    <t>EWS</t>
  </si>
  <si>
    <t>BEDKE ANKITA SHRIRAM</t>
  </si>
  <si>
    <t>BHAD SHRAVANI UMAKANT</t>
  </si>
  <si>
    <t>BHORE NIKITA SHANKAR</t>
  </si>
  <si>
    <t>BHOSALE PRADNYA HARIDAS</t>
  </si>
  <si>
    <t>BHOSALE TEJAS GAJANAN</t>
  </si>
  <si>
    <t>BIRAJDAR PRASHANT PADMAKAR</t>
  </si>
  <si>
    <t>CHANDANE SHRAVANI PRASHANT</t>
  </si>
  <si>
    <t>CHAVAN NIKITA NARAYAN</t>
  </si>
  <si>
    <t>DT/VJ NT(A)</t>
  </si>
  <si>
    <t>DALVE SANSKRUTI AMOL</t>
  </si>
  <si>
    <t>TFWS</t>
  </si>
  <si>
    <t>DANE SUSHANT VITTHAL</t>
  </si>
  <si>
    <t>DEMGUNDE RAVIKIRAN DHONDIRAM</t>
  </si>
  <si>
    <t>DHAGE ANUPAMA NAGESH</t>
  </si>
  <si>
    <t>FULMALI SARTHAK SANTOSH</t>
  </si>
  <si>
    <t>GADE PAYAL DHANRAJ</t>
  </si>
  <si>
    <t>GAVALI MONIKA DNYANDEO</t>
  </si>
  <si>
    <t>DEF</t>
  </si>
  <si>
    <t>GURAV KRISHNA PRAMOD</t>
  </si>
  <si>
    <t>HAJARE AMAR AJIT</t>
  </si>
  <si>
    <t>ISAKE PRATIKSHA MAHESH</t>
  </si>
  <si>
    <t>JAGTAP SHREYA SHRIRANG</t>
  </si>
  <si>
    <t>JOSHI TANUJA GUNDERAO</t>
  </si>
  <si>
    <t>KALE PRACHI KISHOR</t>
  </si>
  <si>
    <t>KALE VAISHNAVI DHANRAJ</t>
  </si>
  <si>
    <t>KAMBLE DIVYA VIJAY</t>
  </si>
  <si>
    <t>KAMBLE SONAM VILAS</t>
  </si>
  <si>
    <t>KENDRE MAYURI TUKARAM</t>
  </si>
  <si>
    <t>NT 3 (NT-D)</t>
  </si>
  <si>
    <t>KHANDAGALE SUHANI VIKRAM</t>
  </si>
  <si>
    <t>KHUNE PRIYANKA PRAMOD</t>
  </si>
  <si>
    <t>KSHIRSAGAR ISHWARI DATTATRAYA</t>
  </si>
  <si>
    <t>LONDHE PRAMILA CHHATRAGUN</t>
  </si>
  <si>
    <t>MALI KARAN ASHOK</t>
  </si>
  <si>
    <t>ACAP</t>
  </si>
  <si>
    <t>MENDHEKAR PRITI GOROBA</t>
  </si>
  <si>
    <t>NAWALE SACHIN MANESH</t>
  </si>
  <si>
    <t>ST</t>
  </si>
  <si>
    <t>NIKAM KRANTI SANTOSH</t>
  </si>
  <si>
    <t>NIMBALKAR ASMITA BHUJANG</t>
  </si>
  <si>
    <t>PANCHAL GAYATRI DNYANESHWAR</t>
  </si>
  <si>
    <t>PATHAN ADIBA FIRDOS AMJAD KHAN</t>
  </si>
  <si>
    <t>PATIL AMRUTA SURESH</t>
  </si>
  <si>
    <t>PATIL DNYANESHWARI SUBHASH</t>
  </si>
  <si>
    <t>PAWAR ARYA RAJENDRA</t>
  </si>
  <si>
    <t>PAWAR SARIKA PANDURANG</t>
  </si>
  <si>
    <t>PAWAR VAIBHAVI LAXMAN</t>
  </si>
  <si>
    <t>PICHRUTE GAYATRI AMBADAS</t>
  </si>
  <si>
    <t>SBC</t>
  </si>
  <si>
    <t>PIRJADE AFREEN UBEDULLA</t>
  </si>
  <si>
    <t>PURI ABHAY LAXMAN</t>
  </si>
  <si>
    <t>NT 1 (NT-B)</t>
  </si>
  <si>
    <t>RAJPUT BHIMSING UMRAOSING</t>
  </si>
  <si>
    <t>SAGAR NAGESH RAJKUMAR</t>
  </si>
  <si>
    <t>SAKHARKAR SHRAVANI HARI</t>
  </si>
  <si>
    <t>SHINDALKAR ANIKET SHESHERAO</t>
  </si>
  <si>
    <t>SHINDE DIPIKA DATTATRAY</t>
  </si>
  <si>
    <t>SHINDE ROHAN RAJENDRA</t>
  </si>
  <si>
    <t>SHINDE SHIVAM SANDEEP</t>
  </si>
  <si>
    <t>SHINDE YASHRAJ YUVRAJ</t>
  </si>
  <si>
    <t>SIRSAT ABHISHEK SHAHAJI</t>
  </si>
  <si>
    <t>UMBARDAND SHIVLILA BABASAHEB</t>
  </si>
  <si>
    <t>VARE ANJALI RAMDAS</t>
  </si>
  <si>
    <t>WAGHMARE PALLAVI DNYANESHWAR</t>
  </si>
  <si>
    <t>GAVASANE VEDANT AMOL</t>
  </si>
  <si>
    <t>EJ-&gt;CO</t>
  </si>
  <si>
    <t xml:space="preserve">Enrollment No. </t>
  </si>
  <si>
    <t xml:space="preserve">Full Name </t>
  </si>
  <si>
    <t xml:space="preserve">Roll No. </t>
  </si>
  <si>
    <t>Mobile Number</t>
  </si>
  <si>
    <t xml:space="preserve">Q1-A  </t>
  </si>
  <si>
    <t xml:space="preserve">Q1-B  </t>
  </si>
  <si>
    <t xml:space="preserve">Q1-C  </t>
  </si>
  <si>
    <t xml:space="preserve">Q1-D  </t>
  </si>
  <si>
    <t xml:space="preserve">Q1-E  </t>
  </si>
  <si>
    <t xml:space="preserve">Q1-F  </t>
  </si>
  <si>
    <t xml:space="preserve">Q1-G  </t>
  </si>
  <si>
    <t xml:space="preserve">Q2-A  </t>
  </si>
  <si>
    <t xml:space="preserve">Q2-B  </t>
  </si>
  <si>
    <t xml:space="preserve">Q2-C  </t>
  </si>
  <si>
    <t xml:space="preserve">Q2-D  </t>
  </si>
  <si>
    <t xml:space="preserve">Q2-E  </t>
  </si>
  <si>
    <t xml:space="preserve">Q2-F  </t>
  </si>
  <si>
    <t xml:space="preserve">Q2-G  </t>
  </si>
  <si>
    <t>Government Polytechnic, Dharashiv.</t>
  </si>
  <si>
    <t>First Progressive Assessment of Theory (PA-TH) AY-2024-25</t>
  </si>
  <si>
    <t>Program Name:      Diploma In Computer Engineering (CO)</t>
  </si>
  <si>
    <t>Diff</t>
  </si>
  <si>
    <t>Course  Title :       Data Structures using C  - 313301</t>
  </si>
  <si>
    <t>CO3K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</si>
</sst>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color rgb="FF000000"/>
      <name val="Arial"/>
      <scheme val="minor"/>
    </font>
    <font>
      <b/>
      <sz val="12"/>
      <color rgb="FF000000"/>
      <name val="Verdana"/>
      <family val="2"/>
    </font>
    <font>
      <b/>
      <sz val="11"/>
      <color rgb="FF000000"/>
      <name val="Arial"/>
      <family val="2"/>
      <scheme val="minor"/>
    </font>
    <font>
      <b/>
      <sz val="12"/>
      <color theme="1"/>
      <name val="Verdana"/>
      <family val="2"/>
    </font>
    <font>
      <b/>
      <sz val="11"/>
      <color rgb="FF000000"/>
      <name val="Verdana"/>
      <family val="2"/>
    </font>
    <font>
      <b/>
      <sz val="10"/>
      <color rgb="FF000000"/>
      <name val="Verdana"/>
      <family val="2"/>
    </font>
    <font>
      <sz val="11"/>
      <color rgb="FF000000"/>
      <name val="Verdana"/>
      <family val="2"/>
    </font>
    <font>
      <sz val="9"/>
      <color rgb="FF000000"/>
      <name val="Verdana"/>
      <family val="2"/>
    </font>
    <font>
      <sz val="10"/>
      <color rgb="FF000000"/>
      <name val="Verdana"/>
      <family val="2"/>
    </font>
    <font>
      <b/>
      <sz val="22"/>
      <color rgb="FF000000"/>
      <name val="Verdana"/>
      <family val="2"/>
    </font>
    <font>
      <b/>
      <sz val="16"/>
      <color rgb="FF000000"/>
      <name val="Verdana"/>
      <family val="2"/>
    </font>
    <font>
      <b/>
      <sz val="14"/>
      <color rgb="FF000000"/>
      <name val="Verdana"/>
      <family val="2"/>
    </font>
    <font>
      <b/>
      <sz val="14"/>
      <color rgb="FF000000"/>
      <name val="Arial"/>
      <family val="2"/>
      <scheme val="minor"/>
    </font>
    <font>
      <b/>
      <sz val="18"/>
      <color rgb="FF000000"/>
      <name val="Verdana"/>
      <family val="2"/>
    </font>
  </fonts>
  <fills count="14">
    <fill>
      <patternFill patternType="none"/>
    </fill>
    <fill>
      <patternFill patternType="gray125"/>
    </fill>
    <fill>
      <patternFill patternType="solid">
        <fgColor rgb="FFC5C5C5"/>
        <bgColor rgb="FFC5C5C5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3D85C6"/>
        <bgColor rgb="FF3D85C6"/>
      </patternFill>
    </fill>
    <fill>
      <patternFill patternType="solid">
        <fgColor rgb="FF5B3F86"/>
        <bgColor rgb="FF5B3F86"/>
      </patternFill>
    </fill>
    <fill>
      <patternFill patternType="solid">
        <fgColor rgb="FFB7B7B7"/>
        <bgColor rgb="FFB7B7B7"/>
      </patternFill>
    </fill>
    <fill>
      <patternFill patternType="solid">
        <fgColor theme="0" tint="-0.14999847407452621"/>
        <bgColor rgb="FFDD7E6B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4" fontId="8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left"/>
    </xf>
    <xf numFmtId="0" fontId="6" fillId="0" borderId="1" xfId="0" applyFont="1" applyBorder="1" applyAlignment="1"/>
    <xf numFmtId="0" fontId="2" fillId="0" borderId="1" xfId="0" applyFont="1" applyBorder="1" applyAlignment="1">
      <alignment horizontal="center"/>
    </xf>
    <xf numFmtId="14" fontId="8" fillId="0" borderId="1" xfId="0" applyNumberFormat="1" applyFont="1" applyBorder="1" applyAlignment="1">
      <alignment horizontal="left"/>
    </xf>
    <xf numFmtId="0" fontId="6" fillId="0" borderId="1" xfId="0" applyFont="1" applyBorder="1" applyAlignment="1"/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/>
    <xf numFmtId="0" fontId="1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1" fillId="12" borderId="7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2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rgb="FF00000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rgb="FF00000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rgb="FF000000"/>
        <name val="Verdana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</dxfs>
  <tableStyles count="1">
    <tableStyle name="UT1 DSU-style" pivot="0" count="3">
      <tableStyleElement type="headerRow" dxfId="28"/>
      <tableStyleElement type="firstRowStripe" dxfId="27"/>
      <tableStyleElement type="secondRowStripe" dxfId="2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Form_Responses1" displayName="Form_Responses1" ref="B4:X69" headerRowDxfId="25" totalsRowDxfId="23" headerRowBorderDxfId="24">
  <tableColumns count="23">
    <tableColumn id="3" name="Full Name " dataDxfId="22"/>
    <tableColumn id="4" name="Enrollment No. " dataDxfId="21"/>
    <tableColumn id="6" name="Mobile Number" dataDxfId="20"/>
    <tableColumn id="7" name="Q1-A  " dataDxfId="19"/>
    <tableColumn id="8" name="Q1-B  " dataDxfId="18"/>
    <tableColumn id="9" name="Q1-C  " dataDxfId="17"/>
    <tableColumn id="10" name="Q1-D  " dataDxfId="16"/>
    <tableColumn id="11" name="Q1-E  " dataDxfId="15"/>
    <tableColumn id="12" name="Q1-F  " dataDxfId="14"/>
    <tableColumn id="13" name="Q1-G  " dataDxfId="13"/>
    <tableColumn id="14" name="Q2-A  " dataDxfId="12"/>
    <tableColumn id="15" name="Q2-B  " dataDxfId="11"/>
    <tableColumn id="16" name="Q2-C  " dataDxfId="10"/>
    <tableColumn id="17" name="Q2-D  " dataDxfId="9"/>
    <tableColumn id="18" name="Q2-E  " dataDxfId="8"/>
    <tableColumn id="19" name="Q2-F  " dataDxfId="7"/>
    <tableColumn id="20" name="Q2-G  " dataDxfId="6"/>
    <tableColumn id="21" name="10/14" dataDxfId="5"/>
    <tableColumn id="22" name="20/28" dataDxfId="4"/>
    <tableColumn id="23" name="Total Marks Out of 30" dataDxfId="3"/>
    <tableColumn id="24" name="Total Marks Out of 42" dataDxfId="2"/>
    <tableColumn id="25" name="Marks obtained by student" dataDxfId="1"/>
    <tableColumn id="26" name="Diff" dataDxfId="0"/>
  </tableColumns>
  <tableStyleInfo name="UT1 DSU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70"/>
  <sheetViews>
    <sheetView tabSelected="1" view="pageBreakPreview" zoomScale="60" zoomScaleNormal="70" workbookViewId="0">
      <pane ySplit="4" topLeftCell="A47" activePane="bottomLeft" state="frozen"/>
      <selection pane="bottomLeft" activeCell="B60" sqref="B60"/>
    </sheetView>
  </sheetViews>
  <sheetFormatPr defaultColWidth="12.5703125" defaultRowHeight="15.75" customHeight="1" x14ac:dyDescent="0.2"/>
  <cols>
    <col min="1" max="1" width="13.7109375" customWidth="1"/>
    <col min="2" max="2" width="45.28515625" customWidth="1"/>
    <col min="3" max="3" width="24.140625" customWidth="1"/>
    <col min="4" max="4" width="19.28515625" hidden="1" customWidth="1"/>
    <col min="5" max="18" width="7.85546875" customWidth="1"/>
    <col min="19" max="20" width="10.5703125" customWidth="1"/>
    <col min="21" max="21" width="14" customWidth="1"/>
    <col min="22" max="22" width="10.5703125" customWidth="1"/>
    <col min="23" max="23" width="14.7109375" customWidth="1"/>
    <col min="24" max="24" width="14.85546875" customWidth="1"/>
  </cols>
  <sheetData>
    <row r="1" spans="1:24" ht="44.25" customHeight="1" x14ac:dyDescent="0.2">
      <c r="A1" s="36" t="s">
        <v>180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8"/>
    </row>
    <row r="2" spans="1:24" ht="29.25" customHeight="1" thickBot="1" x14ac:dyDescent="0.25">
      <c r="A2" s="39" t="s">
        <v>181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1"/>
    </row>
    <row r="3" spans="1:24" ht="29.25" customHeight="1" thickBot="1" x14ac:dyDescent="0.25">
      <c r="A3" s="42" t="s">
        <v>182</v>
      </c>
      <c r="B3" s="43"/>
      <c r="C3" s="43"/>
      <c r="D3" s="43"/>
      <c r="E3" s="43"/>
      <c r="F3" s="43"/>
      <c r="G3" s="43"/>
      <c r="H3" s="43"/>
      <c r="I3" s="16"/>
      <c r="J3" s="45" t="s">
        <v>185</v>
      </c>
      <c r="K3" s="46"/>
      <c r="L3" s="47"/>
      <c r="M3" s="15"/>
      <c r="N3" s="15"/>
      <c r="O3" s="43" t="s">
        <v>184</v>
      </c>
      <c r="P3" s="43"/>
      <c r="Q3" s="43"/>
      <c r="R3" s="43"/>
      <c r="S3" s="43"/>
      <c r="T3" s="43"/>
      <c r="U3" s="43"/>
      <c r="V3" s="43"/>
      <c r="W3" s="43"/>
      <c r="X3" s="44"/>
    </row>
    <row r="4" spans="1:24" ht="72.75" customHeight="1" x14ac:dyDescent="0.2">
      <c r="A4" s="17" t="s">
        <v>164</v>
      </c>
      <c r="B4" s="17" t="s">
        <v>163</v>
      </c>
      <c r="C4" s="17" t="s">
        <v>162</v>
      </c>
      <c r="D4" s="17" t="s">
        <v>165</v>
      </c>
      <c r="E4" s="24" t="s">
        <v>166</v>
      </c>
      <c r="F4" s="24" t="s">
        <v>167</v>
      </c>
      <c r="G4" s="24" t="s">
        <v>168</v>
      </c>
      <c r="H4" s="24" t="s">
        <v>169</v>
      </c>
      <c r="I4" s="24" t="s">
        <v>170</v>
      </c>
      <c r="J4" s="34" t="s">
        <v>171</v>
      </c>
      <c r="K4" s="34" t="s">
        <v>172</v>
      </c>
      <c r="L4" s="35" t="s">
        <v>173</v>
      </c>
      <c r="M4" s="25" t="s">
        <v>174</v>
      </c>
      <c r="N4" s="25" t="s">
        <v>175</v>
      </c>
      <c r="O4" s="25" t="s">
        <v>176</v>
      </c>
      <c r="P4" s="25" t="s">
        <v>177</v>
      </c>
      <c r="Q4" s="25" t="s">
        <v>178</v>
      </c>
      <c r="R4" s="25" t="s">
        <v>179</v>
      </c>
      <c r="S4" s="18" t="s">
        <v>0</v>
      </c>
      <c r="T4" s="19" t="s">
        <v>1</v>
      </c>
      <c r="U4" s="20" t="s">
        <v>2</v>
      </c>
      <c r="V4" s="21" t="s">
        <v>3</v>
      </c>
      <c r="W4" s="22" t="s">
        <v>4</v>
      </c>
      <c r="X4" s="23" t="s">
        <v>183</v>
      </c>
    </row>
    <row r="5" spans="1:24" ht="21.75" customHeight="1" x14ac:dyDescent="0.2">
      <c r="A5" s="26">
        <v>1</v>
      </c>
      <c r="B5" s="27" t="s">
        <v>5</v>
      </c>
      <c r="C5" s="27">
        <v>99</v>
      </c>
      <c r="D5" s="27">
        <v>99</v>
      </c>
      <c r="E5" s="28">
        <v>2</v>
      </c>
      <c r="F5" s="28">
        <v>0</v>
      </c>
      <c r="G5" s="28">
        <v>0</v>
      </c>
      <c r="H5" s="28">
        <v>2</v>
      </c>
      <c r="I5" s="28">
        <v>1</v>
      </c>
      <c r="J5" s="28">
        <v>0</v>
      </c>
      <c r="K5" s="28">
        <v>-1</v>
      </c>
      <c r="L5" s="27">
        <v>2</v>
      </c>
      <c r="M5" s="27">
        <v>1</v>
      </c>
      <c r="N5" s="27">
        <v>1</v>
      </c>
      <c r="O5" s="27">
        <v>2</v>
      </c>
      <c r="P5" s="27">
        <v>-1</v>
      </c>
      <c r="Q5" s="27">
        <v>1</v>
      </c>
      <c r="R5" s="27">
        <v>-1</v>
      </c>
      <c r="S5" s="28">
        <v>5</v>
      </c>
      <c r="T5" s="28">
        <v>7</v>
      </c>
      <c r="U5" s="33">
        <f t="shared" ref="U5:U69" si="0">SUM(S5:T5)</f>
        <v>12</v>
      </c>
      <c r="V5" s="29">
        <f t="shared" ref="V5:V69" si="1">SUMIF($E5:$R5,"&gt;0")</f>
        <v>12</v>
      </c>
      <c r="W5" s="30">
        <v>12</v>
      </c>
      <c r="X5" s="31">
        <f t="shared" ref="X5:X69" si="2">U5-W5</f>
        <v>0</v>
      </c>
    </row>
    <row r="6" spans="1:24" ht="21.75" customHeight="1" x14ac:dyDescent="0.2">
      <c r="A6" s="32">
        <v>2</v>
      </c>
      <c r="B6" s="27" t="s">
        <v>6</v>
      </c>
      <c r="C6" s="27">
        <v>23510250191</v>
      </c>
      <c r="D6" s="27">
        <v>8468985022</v>
      </c>
      <c r="E6" s="28">
        <v>2</v>
      </c>
      <c r="F6" s="28">
        <v>2</v>
      </c>
      <c r="G6" s="28">
        <v>2</v>
      </c>
      <c r="H6" s="28">
        <v>2</v>
      </c>
      <c r="I6" s="28">
        <v>-1</v>
      </c>
      <c r="J6" s="28">
        <v>2</v>
      </c>
      <c r="K6" s="28">
        <v>-1</v>
      </c>
      <c r="L6" s="27">
        <v>4</v>
      </c>
      <c r="M6" s="27">
        <v>4</v>
      </c>
      <c r="N6" s="27">
        <v>2</v>
      </c>
      <c r="O6" s="27">
        <v>2</v>
      </c>
      <c r="P6" s="27">
        <v>-1</v>
      </c>
      <c r="Q6" s="27">
        <v>4</v>
      </c>
      <c r="R6" s="27">
        <v>-1</v>
      </c>
      <c r="S6" s="28">
        <v>10</v>
      </c>
      <c r="T6" s="28">
        <v>16</v>
      </c>
      <c r="U6" s="33">
        <f t="shared" si="0"/>
        <v>26</v>
      </c>
      <c r="V6" s="29">
        <f t="shared" si="1"/>
        <v>26</v>
      </c>
      <c r="W6" s="30">
        <v>26</v>
      </c>
      <c r="X6" s="27">
        <f t="shared" si="2"/>
        <v>0</v>
      </c>
    </row>
    <row r="7" spans="1:24" ht="21.75" customHeight="1" x14ac:dyDescent="0.2">
      <c r="A7" s="26">
        <v>3</v>
      </c>
      <c r="B7" s="27" t="s">
        <v>7</v>
      </c>
      <c r="C7" s="27">
        <v>23510250192</v>
      </c>
      <c r="D7" s="27">
        <v>9637998066</v>
      </c>
      <c r="E7" s="28">
        <v>2</v>
      </c>
      <c r="F7" s="28">
        <v>2</v>
      </c>
      <c r="G7" s="28">
        <v>0</v>
      </c>
      <c r="H7" s="28">
        <v>2</v>
      </c>
      <c r="I7" s="28">
        <v>0</v>
      </c>
      <c r="J7" s="28">
        <v>1</v>
      </c>
      <c r="K7" s="28">
        <v>0</v>
      </c>
      <c r="L7" s="27">
        <v>2</v>
      </c>
      <c r="M7" s="27">
        <v>1</v>
      </c>
      <c r="N7" s="27">
        <v>1</v>
      </c>
      <c r="O7" s="27">
        <v>0</v>
      </c>
      <c r="P7" s="27">
        <v>0</v>
      </c>
      <c r="Q7" s="27">
        <v>2</v>
      </c>
      <c r="R7" s="27">
        <v>0</v>
      </c>
      <c r="S7" s="28">
        <v>7</v>
      </c>
      <c r="T7" s="28">
        <v>6</v>
      </c>
      <c r="U7" s="33">
        <f t="shared" si="0"/>
        <v>13</v>
      </c>
      <c r="V7" s="29">
        <f t="shared" si="1"/>
        <v>13</v>
      </c>
      <c r="W7" s="30">
        <v>13</v>
      </c>
      <c r="X7" s="31">
        <f t="shared" si="2"/>
        <v>0</v>
      </c>
    </row>
    <row r="8" spans="1:24" ht="21.75" customHeight="1" x14ac:dyDescent="0.2">
      <c r="A8" s="32">
        <v>4</v>
      </c>
      <c r="B8" s="27" t="s">
        <v>8</v>
      </c>
      <c r="C8" s="27">
        <v>99</v>
      </c>
      <c r="D8" s="27">
        <v>99</v>
      </c>
      <c r="E8" s="28">
        <v>0</v>
      </c>
      <c r="F8" s="28">
        <v>-1</v>
      </c>
      <c r="G8" s="28">
        <v>2</v>
      </c>
      <c r="H8" s="28">
        <v>2</v>
      </c>
      <c r="I8" s="28">
        <v>0</v>
      </c>
      <c r="J8" s="28">
        <v>0</v>
      </c>
      <c r="K8" s="28">
        <v>0</v>
      </c>
      <c r="L8" s="27">
        <v>0</v>
      </c>
      <c r="M8" s="27">
        <v>2</v>
      </c>
      <c r="N8" s="27">
        <v>2</v>
      </c>
      <c r="O8" s="27">
        <v>-1</v>
      </c>
      <c r="P8" s="27">
        <v>0</v>
      </c>
      <c r="Q8" s="27">
        <v>2</v>
      </c>
      <c r="R8" s="27">
        <v>-1</v>
      </c>
      <c r="S8" s="28">
        <v>4</v>
      </c>
      <c r="T8" s="28">
        <v>6</v>
      </c>
      <c r="U8" s="33">
        <f t="shared" si="0"/>
        <v>10</v>
      </c>
      <c r="V8" s="29">
        <f t="shared" si="1"/>
        <v>10</v>
      </c>
      <c r="W8" s="30">
        <v>10</v>
      </c>
      <c r="X8" s="31">
        <f t="shared" si="2"/>
        <v>0</v>
      </c>
    </row>
    <row r="9" spans="1:24" ht="21.75" customHeight="1" x14ac:dyDescent="0.2">
      <c r="A9" s="26">
        <v>5</v>
      </c>
      <c r="B9" s="27" t="s">
        <v>9</v>
      </c>
      <c r="C9" s="27">
        <v>23510250194</v>
      </c>
      <c r="D9" s="27">
        <v>9322671442</v>
      </c>
      <c r="E9" s="28">
        <v>2</v>
      </c>
      <c r="F9" s="28">
        <v>2</v>
      </c>
      <c r="G9" s="28">
        <v>2</v>
      </c>
      <c r="H9" s="28">
        <v>2</v>
      </c>
      <c r="I9" s="28">
        <v>1</v>
      </c>
      <c r="J9" s="28">
        <v>2</v>
      </c>
      <c r="K9" s="28">
        <v>-1</v>
      </c>
      <c r="L9" s="27">
        <v>4</v>
      </c>
      <c r="M9" s="27">
        <v>4</v>
      </c>
      <c r="N9" s="27">
        <v>3</v>
      </c>
      <c r="O9" s="27">
        <v>2</v>
      </c>
      <c r="P9" s="27">
        <v>-1</v>
      </c>
      <c r="Q9" s="27">
        <v>4</v>
      </c>
      <c r="R9" s="27">
        <v>-1</v>
      </c>
      <c r="S9" s="28">
        <v>10</v>
      </c>
      <c r="T9" s="28">
        <v>17</v>
      </c>
      <c r="U9" s="33">
        <f t="shared" si="0"/>
        <v>27</v>
      </c>
      <c r="V9" s="29">
        <f t="shared" si="1"/>
        <v>28</v>
      </c>
      <c r="W9" s="30">
        <v>27</v>
      </c>
      <c r="X9" s="27">
        <f t="shared" si="2"/>
        <v>0</v>
      </c>
    </row>
    <row r="10" spans="1:24" ht="21.75" customHeight="1" x14ac:dyDescent="0.2">
      <c r="A10" s="32">
        <v>6</v>
      </c>
      <c r="B10" s="27" t="s">
        <v>10</v>
      </c>
      <c r="C10" s="27">
        <v>23510250195</v>
      </c>
      <c r="D10" s="27">
        <v>9284904157</v>
      </c>
      <c r="E10" s="28">
        <v>2</v>
      </c>
      <c r="F10" s="28">
        <v>2</v>
      </c>
      <c r="G10" s="28">
        <v>2</v>
      </c>
      <c r="H10" s="28">
        <v>2</v>
      </c>
      <c r="I10" s="28">
        <v>1</v>
      </c>
      <c r="J10" s="28">
        <v>2</v>
      </c>
      <c r="K10" s="28">
        <v>-1</v>
      </c>
      <c r="L10" s="27">
        <v>3</v>
      </c>
      <c r="M10" s="27">
        <v>4</v>
      </c>
      <c r="N10" s="27">
        <v>3</v>
      </c>
      <c r="O10" s="27">
        <v>3</v>
      </c>
      <c r="P10" s="27">
        <v>-1</v>
      </c>
      <c r="Q10" s="27">
        <v>4</v>
      </c>
      <c r="R10" s="27">
        <v>4</v>
      </c>
      <c r="S10" s="28">
        <v>10</v>
      </c>
      <c r="T10" s="28">
        <v>18</v>
      </c>
      <c r="U10" s="33">
        <f t="shared" si="0"/>
        <v>28</v>
      </c>
      <c r="V10" s="29">
        <f t="shared" si="1"/>
        <v>32</v>
      </c>
      <c r="W10" s="30">
        <v>28</v>
      </c>
      <c r="X10" s="27">
        <f t="shared" si="2"/>
        <v>0</v>
      </c>
    </row>
    <row r="11" spans="1:24" ht="21.75" customHeight="1" x14ac:dyDescent="0.2">
      <c r="A11" s="26">
        <v>7</v>
      </c>
      <c r="B11" s="27" t="s">
        <v>11</v>
      </c>
      <c r="C11" s="27">
        <v>23510250196</v>
      </c>
      <c r="D11" s="27">
        <v>9325260614</v>
      </c>
      <c r="E11" s="28">
        <v>2</v>
      </c>
      <c r="F11" s="28">
        <v>1</v>
      </c>
      <c r="G11" s="28">
        <v>-1</v>
      </c>
      <c r="H11" s="28">
        <v>2</v>
      </c>
      <c r="I11" s="28">
        <v>2</v>
      </c>
      <c r="J11" s="28">
        <v>2</v>
      </c>
      <c r="K11" s="28">
        <v>-1</v>
      </c>
      <c r="L11" s="27">
        <v>2</v>
      </c>
      <c r="M11" s="27">
        <v>2</v>
      </c>
      <c r="N11" s="27">
        <v>2</v>
      </c>
      <c r="O11" s="27">
        <v>2</v>
      </c>
      <c r="P11" s="27">
        <v>-1</v>
      </c>
      <c r="Q11" s="27">
        <v>3</v>
      </c>
      <c r="R11" s="27">
        <v>1</v>
      </c>
      <c r="S11" s="28">
        <v>9</v>
      </c>
      <c r="T11" s="28">
        <v>11</v>
      </c>
      <c r="U11" s="33">
        <f t="shared" si="0"/>
        <v>20</v>
      </c>
      <c r="V11" s="29">
        <f t="shared" si="1"/>
        <v>21</v>
      </c>
      <c r="W11" s="30">
        <v>20</v>
      </c>
      <c r="X11" s="27">
        <f t="shared" si="2"/>
        <v>0</v>
      </c>
    </row>
    <row r="12" spans="1:24" ht="21.75" customHeight="1" x14ac:dyDescent="0.2">
      <c r="A12" s="32">
        <v>8</v>
      </c>
      <c r="B12" s="27" t="s">
        <v>12</v>
      </c>
      <c r="C12" s="27">
        <v>23510250197</v>
      </c>
      <c r="D12" s="27">
        <v>9022989193</v>
      </c>
      <c r="E12" s="28">
        <v>2</v>
      </c>
      <c r="F12" s="28">
        <v>-1</v>
      </c>
      <c r="G12" s="28">
        <v>2</v>
      </c>
      <c r="H12" s="28">
        <v>2</v>
      </c>
      <c r="I12" s="28">
        <v>1</v>
      </c>
      <c r="J12" s="28">
        <v>2</v>
      </c>
      <c r="K12" s="28">
        <v>0</v>
      </c>
      <c r="L12" s="27">
        <v>2</v>
      </c>
      <c r="M12" s="27">
        <v>2</v>
      </c>
      <c r="N12" s="27">
        <v>2</v>
      </c>
      <c r="O12" s="27">
        <v>-1</v>
      </c>
      <c r="P12" s="27">
        <v>2</v>
      </c>
      <c r="Q12" s="27">
        <v>4</v>
      </c>
      <c r="R12" s="27">
        <v>-1</v>
      </c>
      <c r="S12" s="28">
        <v>9</v>
      </c>
      <c r="T12" s="28">
        <v>12</v>
      </c>
      <c r="U12" s="33">
        <f t="shared" si="0"/>
        <v>21</v>
      </c>
      <c r="V12" s="29">
        <f t="shared" si="1"/>
        <v>21</v>
      </c>
      <c r="W12" s="30">
        <v>21</v>
      </c>
      <c r="X12" s="27">
        <f t="shared" si="2"/>
        <v>0</v>
      </c>
    </row>
    <row r="13" spans="1:24" ht="21.75" customHeight="1" x14ac:dyDescent="0.2">
      <c r="A13" s="26">
        <v>9</v>
      </c>
      <c r="B13" s="27" t="s">
        <v>13</v>
      </c>
      <c r="C13" s="27">
        <v>23510250198</v>
      </c>
      <c r="D13" s="27">
        <v>9022672472</v>
      </c>
      <c r="E13" s="28">
        <v>2</v>
      </c>
      <c r="F13" s="28">
        <v>2</v>
      </c>
      <c r="G13" s="28">
        <v>2</v>
      </c>
      <c r="H13" s="28">
        <v>2</v>
      </c>
      <c r="I13" s="28">
        <v>2</v>
      </c>
      <c r="J13" s="28">
        <v>1</v>
      </c>
      <c r="K13" s="28">
        <v>-1</v>
      </c>
      <c r="L13" s="27">
        <v>4</v>
      </c>
      <c r="M13" s="27">
        <v>4</v>
      </c>
      <c r="N13" s="27">
        <v>4</v>
      </c>
      <c r="O13" s="27">
        <v>3</v>
      </c>
      <c r="P13" s="27">
        <v>-1</v>
      </c>
      <c r="Q13" s="27">
        <v>4</v>
      </c>
      <c r="R13" s="27">
        <v>3</v>
      </c>
      <c r="S13" s="28">
        <v>10</v>
      </c>
      <c r="T13" s="28">
        <v>19</v>
      </c>
      <c r="U13" s="33">
        <f t="shared" si="0"/>
        <v>29</v>
      </c>
      <c r="V13" s="29">
        <f t="shared" si="1"/>
        <v>33</v>
      </c>
      <c r="W13" s="30">
        <v>29</v>
      </c>
      <c r="X13" s="27">
        <f t="shared" si="2"/>
        <v>0</v>
      </c>
    </row>
    <row r="14" spans="1:24" ht="21.75" customHeight="1" x14ac:dyDescent="0.2">
      <c r="A14" s="32">
        <v>10</v>
      </c>
      <c r="B14" s="27" t="s">
        <v>14</v>
      </c>
      <c r="C14" s="27">
        <v>23510250199</v>
      </c>
      <c r="D14" s="27">
        <v>7775900436</v>
      </c>
      <c r="E14" s="28">
        <v>2</v>
      </c>
      <c r="F14" s="28">
        <v>1</v>
      </c>
      <c r="G14" s="28">
        <v>1</v>
      </c>
      <c r="H14" s="28">
        <v>2</v>
      </c>
      <c r="I14" s="28">
        <v>2</v>
      </c>
      <c r="J14" s="28">
        <v>2</v>
      </c>
      <c r="K14" s="28">
        <v>-1</v>
      </c>
      <c r="L14" s="27">
        <v>2</v>
      </c>
      <c r="M14" s="27">
        <v>3</v>
      </c>
      <c r="N14" s="27">
        <v>1</v>
      </c>
      <c r="O14" s="27">
        <v>-1</v>
      </c>
      <c r="P14" s="27">
        <v>-1</v>
      </c>
      <c r="Q14" s="27">
        <v>3</v>
      </c>
      <c r="R14" s="27">
        <v>-1</v>
      </c>
      <c r="S14" s="28">
        <v>9</v>
      </c>
      <c r="T14" s="28">
        <v>9</v>
      </c>
      <c r="U14" s="33">
        <f t="shared" si="0"/>
        <v>18</v>
      </c>
      <c r="V14" s="29">
        <f t="shared" si="1"/>
        <v>19</v>
      </c>
      <c r="W14" s="30">
        <v>18</v>
      </c>
      <c r="X14" s="27">
        <f t="shared" si="2"/>
        <v>0</v>
      </c>
    </row>
    <row r="15" spans="1:24" ht="21.75" customHeight="1" x14ac:dyDescent="0.2">
      <c r="A15" s="26">
        <v>11</v>
      </c>
      <c r="B15" s="27" t="s">
        <v>15</v>
      </c>
      <c r="C15" s="27" t="s">
        <v>16</v>
      </c>
      <c r="D15" s="27">
        <v>99</v>
      </c>
      <c r="E15" s="28">
        <v>1</v>
      </c>
      <c r="F15" s="28">
        <v>0</v>
      </c>
      <c r="G15" s="28">
        <v>1</v>
      </c>
      <c r="H15" s="28">
        <v>2</v>
      </c>
      <c r="I15" s="28">
        <v>2</v>
      </c>
      <c r="J15" s="28">
        <v>1</v>
      </c>
      <c r="K15" s="28">
        <v>-1</v>
      </c>
      <c r="L15" s="27">
        <v>2</v>
      </c>
      <c r="M15" s="27">
        <v>2</v>
      </c>
      <c r="N15" s="27">
        <v>2</v>
      </c>
      <c r="O15" s="27">
        <v>-1</v>
      </c>
      <c r="P15" s="27">
        <v>-1</v>
      </c>
      <c r="Q15" s="27">
        <v>-1</v>
      </c>
      <c r="R15" s="27">
        <v>-1</v>
      </c>
      <c r="S15" s="28">
        <v>7</v>
      </c>
      <c r="T15" s="28">
        <v>6</v>
      </c>
      <c r="U15" s="33">
        <f t="shared" si="0"/>
        <v>13</v>
      </c>
      <c r="V15" s="29">
        <f t="shared" si="1"/>
        <v>13</v>
      </c>
      <c r="W15" s="30">
        <v>13</v>
      </c>
      <c r="X15" s="31">
        <f t="shared" si="2"/>
        <v>0</v>
      </c>
    </row>
    <row r="16" spans="1:24" ht="21.75" customHeight="1" x14ac:dyDescent="0.2">
      <c r="A16" s="32">
        <v>12</v>
      </c>
      <c r="B16" s="27" t="s">
        <v>17</v>
      </c>
      <c r="C16" s="27">
        <v>23510250201</v>
      </c>
      <c r="D16" s="27">
        <v>9503988621</v>
      </c>
      <c r="E16" s="28">
        <v>2</v>
      </c>
      <c r="F16" s="28">
        <v>-1</v>
      </c>
      <c r="G16" s="28">
        <v>1</v>
      </c>
      <c r="H16" s="28">
        <v>2</v>
      </c>
      <c r="I16" s="28">
        <v>2</v>
      </c>
      <c r="J16" s="28">
        <v>2</v>
      </c>
      <c r="K16" s="28">
        <v>2</v>
      </c>
      <c r="L16" s="27">
        <v>3</v>
      </c>
      <c r="M16" s="27">
        <v>3</v>
      </c>
      <c r="N16" s="27">
        <v>3</v>
      </c>
      <c r="O16" s="27">
        <v>-1</v>
      </c>
      <c r="P16" s="27">
        <v>-1</v>
      </c>
      <c r="Q16" s="27">
        <v>4</v>
      </c>
      <c r="R16" s="27">
        <v>2</v>
      </c>
      <c r="S16" s="28">
        <v>10</v>
      </c>
      <c r="T16" s="28">
        <v>15</v>
      </c>
      <c r="U16" s="33">
        <f t="shared" si="0"/>
        <v>25</v>
      </c>
      <c r="V16" s="29">
        <f t="shared" si="1"/>
        <v>26</v>
      </c>
      <c r="W16" s="30">
        <v>25</v>
      </c>
      <c r="X16" s="27">
        <f t="shared" si="2"/>
        <v>0</v>
      </c>
    </row>
    <row r="17" spans="1:24" ht="21.75" customHeight="1" x14ac:dyDescent="0.2">
      <c r="A17" s="26">
        <v>13</v>
      </c>
      <c r="B17" s="27" t="s">
        <v>18</v>
      </c>
      <c r="C17" s="27">
        <v>23510250202</v>
      </c>
      <c r="D17" s="27">
        <v>7798844407</v>
      </c>
      <c r="E17" s="28">
        <v>1</v>
      </c>
      <c r="F17" s="28">
        <v>0</v>
      </c>
      <c r="G17" s="28">
        <v>-1</v>
      </c>
      <c r="H17" s="28">
        <v>1</v>
      </c>
      <c r="I17" s="28">
        <v>-1</v>
      </c>
      <c r="J17" s="28">
        <v>0</v>
      </c>
      <c r="K17" s="28">
        <v>-1</v>
      </c>
      <c r="L17" s="27">
        <v>0</v>
      </c>
      <c r="M17" s="27">
        <v>1</v>
      </c>
      <c r="N17" s="27">
        <v>-1</v>
      </c>
      <c r="O17" s="27">
        <v>0</v>
      </c>
      <c r="P17" s="27">
        <v>0</v>
      </c>
      <c r="Q17" s="27">
        <v>0</v>
      </c>
      <c r="R17" s="27">
        <v>0</v>
      </c>
      <c r="S17" s="28">
        <v>2</v>
      </c>
      <c r="T17" s="28">
        <v>1</v>
      </c>
      <c r="U17" s="33">
        <f t="shared" si="0"/>
        <v>3</v>
      </c>
      <c r="V17" s="29">
        <f t="shared" si="1"/>
        <v>3</v>
      </c>
      <c r="W17" s="30">
        <v>3</v>
      </c>
      <c r="X17" s="27">
        <f t="shared" si="2"/>
        <v>0</v>
      </c>
    </row>
    <row r="18" spans="1:24" ht="21.75" customHeight="1" x14ac:dyDescent="0.2">
      <c r="A18" s="32">
        <v>14</v>
      </c>
      <c r="B18" s="27" t="s">
        <v>19</v>
      </c>
      <c r="C18" s="27">
        <v>23510250203</v>
      </c>
      <c r="D18" s="27">
        <v>8459607758</v>
      </c>
      <c r="E18" s="28">
        <v>2</v>
      </c>
      <c r="F18" s="28">
        <v>1</v>
      </c>
      <c r="G18" s="28">
        <v>2</v>
      </c>
      <c r="H18" s="28">
        <v>2</v>
      </c>
      <c r="I18" s="28">
        <v>2</v>
      </c>
      <c r="J18" s="28">
        <v>1</v>
      </c>
      <c r="K18" s="28">
        <v>-1</v>
      </c>
      <c r="L18" s="27">
        <v>2</v>
      </c>
      <c r="M18" s="27">
        <v>3</v>
      </c>
      <c r="N18" s="27">
        <v>2</v>
      </c>
      <c r="O18" s="27">
        <v>0</v>
      </c>
      <c r="P18" s="27">
        <v>0</v>
      </c>
      <c r="Q18" s="27">
        <v>3</v>
      </c>
      <c r="R18" s="27">
        <v>1</v>
      </c>
      <c r="S18" s="28">
        <v>9</v>
      </c>
      <c r="T18" s="28">
        <v>11</v>
      </c>
      <c r="U18" s="33">
        <f t="shared" si="0"/>
        <v>20</v>
      </c>
      <c r="V18" s="29">
        <f t="shared" si="1"/>
        <v>21</v>
      </c>
      <c r="W18" s="30">
        <v>20</v>
      </c>
      <c r="X18" s="27">
        <f t="shared" si="2"/>
        <v>0</v>
      </c>
    </row>
    <row r="19" spans="1:24" ht="21.75" customHeight="1" x14ac:dyDescent="0.2">
      <c r="A19" s="26">
        <v>15</v>
      </c>
      <c r="B19" s="27" t="s">
        <v>20</v>
      </c>
      <c r="C19" s="27">
        <v>23510250204</v>
      </c>
      <c r="D19" s="27">
        <v>9529368030</v>
      </c>
      <c r="E19" s="28">
        <v>2</v>
      </c>
      <c r="F19" s="28">
        <v>-1</v>
      </c>
      <c r="G19" s="28">
        <v>-1</v>
      </c>
      <c r="H19" s="28">
        <v>2</v>
      </c>
      <c r="I19" s="28">
        <v>1</v>
      </c>
      <c r="J19" s="28">
        <v>2</v>
      </c>
      <c r="K19" s="28">
        <v>-1</v>
      </c>
      <c r="L19" s="27">
        <v>-1</v>
      </c>
      <c r="M19" s="27">
        <v>4</v>
      </c>
      <c r="N19" s="27">
        <v>3</v>
      </c>
      <c r="O19" s="27">
        <v>-1</v>
      </c>
      <c r="P19" s="27">
        <v>-1</v>
      </c>
      <c r="Q19" s="27">
        <v>4</v>
      </c>
      <c r="R19" s="27">
        <v>-1</v>
      </c>
      <c r="S19" s="28">
        <v>7</v>
      </c>
      <c r="T19" s="28">
        <v>11</v>
      </c>
      <c r="U19" s="33">
        <f t="shared" si="0"/>
        <v>18</v>
      </c>
      <c r="V19" s="29">
        <f t="shared" si="1"/>
        <v>18</v>
      </c>
      <c r="W19" s="30">
        <v>18</v>
      </c>
      <c r="X19" s="27">
        <f t="shared" si="2"/>
        <v>0</v>
      </c>
    </row>
    <row r="20" spans="1:24" ht="21.75" customHeight="1" x14ac:dyDescent="0.2">
      <c r="A20" s="32">
        <v>16</v>
      </c>
      <c r="B20" s="27" t="s">
        <v>21</v>
      </c>
      <c r="C20" s="27">
        <v>23510250205</v>
      </c>
      <c r="D20" s="27">
        <v>8208523557</v>
      </c>
      <c r="E20" s="28">
        <v>2</v>
      </c>
      <c r="F20" s="28">
        <v>-1</v>
      </c>
      <c r="G20" s="28">
        <v>2</v>
      </c>
      <c r="H20" s="28">
        <v>2</v>
      </c>
      <c r="I20" s="28">
        <v>2</v>
      </c>
      <c r="J20" s="28">
        <v>2</v>
      </c>
      <c r="K20" s="28">
        <v>-1</v>
      </c>
      <c r="L20" s="27">
        <v>3</v>
      </c>
      <c r="M20" s="27">
        <v>4</v>
      </c>
      <c r="N20" s="27">
        <v>2</v>
      </c>
      <c r="O20" s="27">
        <v>3</v>
      </c>
      <c r="P20" s="27">
        <v>-1</v>
      </c>
      <c r="Q20" s="27">
        <v>3</v>
      </c>
      <c r="R20" s="27">
        <v>-1</v>
      </c>
      <c r="S20" s="28">
        <v>10</v>
      </c>
      <c r="T20" s="28">
        <v>15</v>
      </c>
      <c r="U20" s="33">
        <f t="shared" si="0"/>
        <v>25</v>
      </c>
      <c r="V20" s="29">
        <f t="shared" si="1"/>
        <v>25</v>
      </c>
      <c r="W20" s="30">
        <v>25</v>
      </c>
      <c r="X20" s="27">
        <f t="shared" si="2"/>
        <v>0</v>
      </c>
    </row>
    <row r="21" spans="1:24" ht="21.75" customHeight="1" x14ac:dyDescent="0.2">
      <c r="A21" s="26">
        <v>17</v>
      </c>
      <c r="B21" s="27" t="s">
        <v>22</v>
      </c>
      <c r="C21" s="27">
        <v>23510250206</v>
      </c>
      <c r="D21" s="27">
        <v>8788861068</v>
      </c>
      <c r="E21" s="28">
        <v>2</v>
      </c>
      <c r="F21" s="28">
        <v>-1</v>
      </c>
      <c r="G21" s="28">
        <v>2</v>
      </c>
      <c r="H21" s="28">
        <v>2</v>
      </c>
      <c r="I21" s="28">
        <v>2</v>
      </c>
      <c r="J21" s="28">
        <v>2</v>
      </c>
      <c r="K21" s="28">
        <v>2</v>
      </c>
      <c r="L21" s="27">
        <v>2</v>
      </c>
      <c r="M21" s="27">
        <v>1</v>
      </c>
      <c r="N21" s="27">
        <v>-1</v>
      </c>
      <c r="O21" s="27">
        <v>-1</v>
      </c>
      <c r="P21" s="27">
        <v>0</v>
      </c>
      <c r="Q21" s="27">
        <v>-1</v>
      </c>
      <c r="R21" s="27">
        <v>1</v>
      </c>
      <c r="S21" s="28">
        <v>10</v>
      </c>
      <c r="T21" s="28">
        <v>4</v>
      </c>
      <c r="U21" s="33">
        <f t="shared" si="0"/>
        <v>14</v>
      </c>
      <c r="V21" s="29">
        <f t="shared" si="1"/>
        <v>16</v>
      </c>
      <c r="W21" s="30">
        <v>14</v>
      </c>
      <c r="X21" s="27">
        <f t="shared" si="2"/>
        <v>0</v>
      </c>
    </row>
    <row r="22" spans="1:24" ht="21.75" customHeight="1" x14ac:dyDescent="0.2">
      <c r="A22" s="32">
        <v>18</v>
      </c>
      <c r="B22" s="27" t="s">
        <v>23</v>
      </c>
      <c r="C22" s="27">
        <v>99</v>
      </c>
      <c r="D22" s="27">
        <v>99</v>
      </c>
      <c r="E22" s="28">
        <v>2</v>
      </c>
      <c r="F22" s="28">
        <v>2</v>
      </c>
      <c r="G22" s="28">
        <v>2</v>
      </c>
      <c r="H22" s="28">
        <v>2</v>
      </c>
      <c r="I22" s="28">
        <v>2</v>
      </c>
      <c r="J22" s="28">
        <v>1</v>
      </c>
      <c r="K22" s="28">
        <v>2</v>
      </c>
      <c r="L22" s="27">
        <v>3</v>
      </c>
      <c r="M22" s="27">
        <v>2</v>
      </c>
      <c r="N22" s="27">
        <v>2</v>
      </c>
      <c r="O22" s="27">
        <v>2</v>
      </c>
      <c r="P22" s="27" t="s">
        <v>24</v>
      </c>
      <c r="Q22" s="27">
        <v>3</v>
      </c>
      <c r="R22" s="27" t="s">
        <v>24</v>
      </c>
      <c r="S22" s="28">
        <v>10</v>
      </c>
      <c r="T22" s="28">
        <v>12</v>
      </c>
      <c r="U22" s="33">
        <f t="shared" si="0"/>
        <v>22</v>
      </c>
      <c r="V22" s="29">
        <f t="shared" si="1"/>
        <v>25</v>
      </c>
      <c r="W22" s="30">
        <v>22</v>
      </c>
      <c r="X22" s="31">
        <f t="shared" si="2"/>
        <v>0</v>
      </c>
    </row>
    <row r="23" spans="1:24" ht="21.75" customHeight="1" x14ac:dyDescent="0.2">
      <c r="A23" s="26">
        <v>19</v>
      </c>
      <c r="B23" s="27" t="s">
        <v>25</v>
      </c>
      <c r="C23" s="27">
        <v>23510250208</v>
      </c>
      <c r="D23" s="27">
        <v>8459743131</v>
      </c>
      <c r="E23" s="28">
        <v>-1</v>
      </c>
      <c r="F23" s="28">
        <v>2</v>
      </c>
      <c r="G23" s="28">
        <v>2</v>
      </c>
      <c r="H23" s="28">
        <v>2</v>
      </c>
      <c r="I23" s="28">
        <v>2</v>
      </c>
      <c r="J23" s="28">
        <v>2</v>
      </c>
      <c r="K23" s="28">
        <v>2</v>
      </c>
      <c r="L23" s="27">
        <v>3</v>
      </c>
      <c r="M23" s="27">
        <v>3</v>
      </c>
      <c r="N23" s="27">
        <v>-1</v>
      </c>
      <c r="O23" s="27">
        <v>4</v>
      </c>
      <c r="P23" s="27">
        <v>-1</v>
      </c>
      <c r="Q23" s="27">
        <v>4</v>
      </c>
      <c r="R23" s="27">
        <v>4</v>
      </c>
      <c r="S23" s="28">
        <v>10</v>
      </c>
      <c r="T23" s="28">
        <v>18</v>
      </c>
      <c r="U23" s="33">
        <f t="shared" si="0"/>
        <v>28</v>
      </c>
      <c r="V23" s="29">
        <f t="shared" si="1"/>
        <v>30</v>
      </c>
      <c r="W23" s="30">
        <v>28</v>
      </c>
      <c r="X23" s="27">
        <f t="shared" si="2"/>
        <v>0</v>
      </c>
    </row>
    <row r="24" spans="1:24" ht="21.75" customHeight="1" x14ac:dyDescent="0.2">
      <c r="A24" s="32">
        <v>20</v>
      </c>
      <c r="B24" s="27" t="s">
        <v>26</v>
      </c>
      <c r="C24" s="27">
        <v>23510250209</v>
      </c>
      <c r="D24" s="27">
        <v>9579022694</v>
      </c>
      <c r="E24" s="28">
        <v>2</v>
      </c>
      <c r="F24" s="28">
        <v>2</v>
      </c>
      <c r="G24" s="28">
        <v>2</v>
      </c>
      <c r="H24" s="28">
        <v>2</v>
      </c>
      <c r="I24" s="28">
        <v>2</v>
      </c>
      <c r="J24" s="28">
        <v>2</v>
      </c>
      <c r="K24" s="28">
        <v>-1</v>
      </c>
      <c r="L24" s="27">
        <v>4</v>
      </c>
      <c r="M24" s="27">
        <v>4</v>
      </c>
      <c r="N24" s="27">
        <v>3</v>
      </c>
      <c r="O24" s="27">
        <v>3</v>
      </c>
      <c r="P24" s="27">
        <v>-1</v>
      </c>
      <c r="Q24" s="27">
        <v>4</v>
      </c>
      <c r="R24" s="27">
        <v>-1</v>
      </c>
      <c r="S24" s="28">
        <v>10</v>
      </c>
      <c r="T24" s="28">
        <v>18</v>
      </c>
      <c r="U24" s="33">
        <f t="shared" si="0"/>
        <v>28</v>
      </c>
      <c r="V24" s="29">
        <f t="shared" si="1"/>
        <v>30</v>
      </c>
      <c r="W24" s="30">
        <v>28</v>
      </c>
      <c r="X24" s="27">
        <f t="shared" si="2"/>
        <v>0</v>
      </c>
    </row>
    <row r="25" spans="1:24" ht="21.75" customHeight="1" x14ac:dyDescent="0.2">
      <c r="A25" s="26">
        <v>21</v>
      </c>
      <c r="B25" s="27" t="s">
        <v>27</v>
      </c>
      <c r="C25" s="27">
        <v>23510250210</v>
      </c>
      <c r="D25" s="27">
        <v>9665352298</v>
      </c>
      <c r="E25" s="28">
        <v>2</v>
      </c>
      <c r="F25" s="28">
        <v>2</v>
      </c>
      <c r="G25" s="28">
        <v>2</v>
      </c>
      <c r="H25" s="28">
        <v>2</v>
      </c>
      <c r="I25" s="28">
        <v>2</v>
      </c>
      <c r="J25" s="28">
        <v>1</v>
      </c>
      <c r="K25" s="28">
        <v>-1</v>
      </c>
      <c r="L25" s="27">
        <v>1</v>
      </c>
      <c r="M25" s="27">
        <v>2</v>
      </c>
      <c r="N25" s="27">
        <v>2</v>
      </c>
      <c r="O25" s="27">
        <v>0</v>
      </c>
      <c r="P25" s="27">
        <v>-1</v>
      </c>
      <c r="Q25" s="27">
        <v>1</v>
      </c>
      <c r="R25" s="27">
        <v>-1</v>
      </c>
      <c r="S25" s="28">
        <v>10</v>
      </c>
      <c r="T25" s="28">
        <v>6</v>
      </c>
      <c r="U25" s="33">
        <f t="shared" si="0"/>
        <v>16</v>
      </c>
      <c r="V25" s="29">
        <f t="shared" si="1"/>
        <v>17</v>
      </c>
      <c r="W25" s="30">
        <v>16</v>
      </c>
      <c r="X25" s="27">
        <f t="shared" si="2"/>
        <v>0</v>
      </c>
    </row>
    <row r="26" spans="1:24" ht="21.75" customHeight="1" x14ac:dyDescent="0.2">
      <c r="A26" s="32">
        <v>22</v>
      </c>
      <c r="B26" s="27" t="s">
        <v>28</v>
      </c>
      <c r="C26" s="27" t="s">
        <v>16</v>
      </c>
      <c r="D26" s="27">
        <v>99</v>
      </c>
      <c r="E26" s="28">
        <v>2</v>
      </c>
      <c r="F26" s="28">
        <v>1</v>
      </c>
      <c r="G26" s="28">
        <v>0</v>
      </c>
      <c r="H26" s="28">
        <v>2</v>
      </c>
      <c r="I26" s="28">
        <v>-1</v>
      </c>
      <c r="J26" s="28">
        <v>1</v>
      </c>
      <c r="K26" s="28">
        <v>-1</v>
      </c>
      <c r="L26" s="27">
        <v>-1</v>
      </c>
      <c r="M26" s="27">
        <v>-1</v>
      </c>
      <c r="N26" s="27">
        <v>-1</v>
      </c>
      <c r="O26" s="27">
        <v>-1</v>
      </c>
      <c r="P26" s="27">
        <v>-1</v>
      </c>
      <c r="Q26" s="27">
        <v>-1</v>
      </c>
      <c r="R26" s="27">
        <v>-1</v>
      </c>
      <c r="S26" s="28">
        <v>6</v>
      </c>
      <c r="T26" s="28">
        <v>0</v>
      </c>
      <c r="U26" s="33">
        <f t="shared" si="0"/>
        <v>6</v>
      </c>
      <c r="V26" s="29">
        <f t="shared" si="1"/>
        <v>6</v>
      </c>
      <c r="W26" s="30">
        <v>6</v>
      </c>
      <c r="X26" s="31">
        <f t="shared" si="2"/>
        <v>0</v>
      </c>
    </row>
    <row r="27" spans="1:24" ht="21.75" customHeight="1" x14ac:dyDescent="0.2">
      <c r="A27" s="26">
        <v>23</v>
      </c>
      <c r="B27" s="27" t="s">
        <v>29</v>
      </c>
      <c r="C27" s="27">
        <v>23510250212</v>
      </c>
      <c r="D27" s="27">
        <v>9309712354</v>
      </c>
      <c r="E27" s="28">
        <v>2</v>
      </c>
      <c r="F27" s="28">
        <v>2</v>
      </c>
      <c r="G27" s="28">
        <v>2</v>
      </c>
      <c r="H27" s="28">
        <v>2</v>
      </c>
      <c r="I27" s="28">
        <v>-1</v>
      </c>
      <c r="J27" s="28">
        <v>2</v>
      </c>
      <c r="K27" s="28">
        <v>-1</v>
      </c>
      <c r="L27" s="27">
        <v>3</v>
      </c>
      <c r="M27" s="27">
        <v>3</v>
      </c>
      <c r="N27" s="27">
        <v>3</v>
      </c>
      <c r="O27" s="27">
        <v>-1</v>
      </c>
      <c r="P27" s="27">
        <v>-1</v>
      </c>
      <c r="Q27" s="27">
        <v>2</v>
      </c>
      <c r="R27" s="27">
        <v>-1</v>
      </c>
      <c r="S27" s="28">
        <v>10</v>
      </c>
      <c r="T27" s="28">
        <v>11</v>
      </c>
      <c r="U27" s="33">
        <f t="shared" si="0"/>
        <v>21</v>
      </c>
      <c r="V27" s="29">
        <f t="shared" si="1"/>
        <v>21</v>
      </c>
      <c r="W27" s="30">
        <v>21</v>
      </c>
      <c r="X27" s="27">
        <f t="shared" si="2"/>
        <v>0</v>
      </c>
    </row>
    <row r="28" spans="1:24" ht="21.75" customHeight="1" x14ac:dyDescent="0.2">
      <c r="A28" s="32">
        <v>24</v>
      </c>
      <c r="B28" s="27" t="s">
        <v>30</v>
      </c>
      <c r="C28" s="27">
        <v>23510250213</v>
      </c>
      <c r="D28" s="27">
        <v>8262935973</v>
      </c>
      <c r="E28" s="28">
        <v>1</v>
      </c>
      <c r="F28" s="28">
        <v>1</v>
      </c>
      <c r="G28" s="28">
        <v>2</v>
      </c>
      <c r="H28" s="28">
        <v>2</v>
      </c>
      <c r="I28" s="28">
        <v>1</v>
      </c>
      <c r="J28" s="28">
        <v>2</v>
      </c>
      <c r="K28" s="28">
        <v>1</v>
      </c>
      <c r="L28" s="27">
        <v>-1</v>
      </c>
      <c r="M28" s="27">
        <v>1</v>
      </c>
      <c r="N28" s="27">
        <v>0</v>
      </c>
      <c r="O28" s="27">
        <v>0</v>
      </c>
      <c r="P28" s="27">
        <v>-1</v>
      </c>
      <c r="Q28" s="27">
        <v>-1</v>
      </c>
      <c r="R28" s="27">
        <v>-1</v>
      </c>
      <c r="S28" s="28">
        <v>8</v>
      </c>
      <c r="T28" s="28">
        <v>1</v>
      </c>
      <c r="U28" s="33">
        <f t="shared" si="0"/>
        <v>9</v>
      </c>
      <c r="V28" s="29">
        <f t="shared" si="1"/>
        <v>11</v>
      </c>
      <c r="W28" s="30">
        <v>9</v>
      </c>
      <c r="X28" s="27">
        <f t="shared" si="2"/>
        <v>0</v>
      </c>
    </row>
    <row r="29" spans="1:24" ht="21.75" customHeight="1" x14ac:dyDescent="0.2">
      <c r="A29" s="26">
        <v>25</v>
      </c>
      <c r="B29" s="27" t="s">
        <v>31</v>
      </c>
      <c r="C29" s="27">
        <v>99</v>
      </c>
      <c r="D29" s="27">
        <v>99</v>
      </c>
      <c r="E29" s="28">
        <v>2</v>
      </c>
      <c r="F29" s="28">
        <v>-1</v>
      </c>
      <c r="G29" s="28">
        <v>2</v>
      </c>
      <c r="H29" s="28">
        <v>2</v>
      </c>
      <c r="I29" s="28">
        <v>2</v>
      </c>
      <c r="J29" s="28">
        <v>1</v>
      </c>
      <c r="K29" s="28">
        <v>2</v>
      </c>
      <c r="L29" s="27">
        <v>4</v>
      </c>
      <c r="M29" s="27">
        <v>1</v>
      </c>
      <c r="N29" s="27">
        <v>2</v>
      </c>
      <c r="O29" s="27">
        <v>2</v>
      </c>
      <c r="P29" s="27">
        <v>-1</v>
      </c>
      <c r="Q29" s="27">
        <v>2</v>
      </c>
      <c r="R29" s="27">
        <v>-1</v>
      </c>
      <c r="S29" s="28">
        <v>10</v>
      </c>
      <c r="T29" s="28">
        <v>11</v>
      </c>
      <c r="U29" s="33">
        <f t="shared" si="0"/>
        <v>21</v>
      </c>
      <c r="V29" s="29">
        <f t="shared" si="1"/>
        <v>22</v>
      </c>
      <c r="W29" s="30">
        <v>21</v>
      </c>
      <c r="X29" s="31">
        <f t="shared" si="2"/>
        <v>0</v>
      </c>
    </row>
    <row r="30" spans="1:24" ht="21.75" customHeight="1" x14ac:dyDescent="0.2">
      <c r="A30" s="32">
        <v>26</v>
      </c>
      <c r="B30" s="27" t="s">
        <v>32</v>
      </c>
      <c r="C30" s="27">
        <v>23510250215</v>
      </c>
      <c r="D30" s="27">
        <v>9834105241</v>
      </c>
      <c r="E30" s="28">
        <v>2</v>
      </c>
      <c r="F30" s="28">
        <v>1</v>
      </c>
      <c r="G30" s="28">
        <v>-1</v>
      </c>
      <c r="H30" s="28">
        <v>2</v>
      </c>
      <c r="I30" s="28">
        <v>2</v>
      </c>
      <c r="J30" s="28">
        <v>2</v>
      </c>
      <c r="K30" s="28">
        <v>-1</v>
      </c>
      <c r="L30" s="27">
        <v>3</v>
      </c>
      <c r="M30" s="27">
        <v>3</v>
      </c>
      <c r="N30" s="27">
        <v>4</v>
      </c>
      <c r="O30" s="27">
        <v>2</v>
      </c>
      <c r="P30" s="27">
        <v>-1</v>
      </c>
      <c r="Q30" s="27">
        <v>3</v>
      </c>
      <c r="R30" s="27">
        <v>-1</v>
      </c>
      <c r="S30" s="28">
        <v>9</v>
      </c>
      <c r="T30" s="28">
        <v>15</v>
      </c>
      <c r="U30" s="33">
        <f t="shared" si="0"/>
        <v>24</v>
      </c>
      <c r="V30" s="29">
        <f t="shared" si="1"/>
        <v>24</v>
      </c>
      <c r="W30" s="30">
        <v>24</v>
      </c>
      <c r="X30" s="27">
        <f t="shared" si="2"/>
        <v>0</v>
      </c>
    </row>
    <row r="31" spans="1:24" ht="21.75" customHeight="1" x14ac:dyDescent="0.2">
      <c r="A31" s="26">
        <v>27</v>
      </c>
      <c r="B31" s="27" t="s">
        <v>33</v>
      </c>
      <c r="C31" s="27">
        <v>23510250216</v>
      </c>
      <c r="D31" s="27">
        <v>8830916989</v>
      </c>
      <c r="E31" s="28">
        <v>2</v>
      </c>
      <c r="F31" s="28">
        <v>-1</v>
      </c>
      <c r="G31" s="28">
        <v>2</v>
      </c>
      <c r="H31" s="28">
        <v>2</v>
      </c>
      <c r="I31" s="28">
        <v>2</v>
      </c>
      <c r="J31" s="28">
        <v>2</v>
      </c>
      <c r="K31" s="28">
        <v>-1</v>
      </c>
      <c r="L31" s="27">
        <v>1</v>
      </c>
      <c r="M31" s="27">
        <v>4</v>
      </c>
      <c r="N31" s="27">
        <v>4</v>
      </c>
      <c r="O31" s="27">
        <v>-1</v>
      </c>
      <c r="P31" s="27">
        <v>-1</v>
      </c>
      <c r="Q31" s="27">
        <v>4</v>
      </c>
      <c r="R31" s="27">
        <v>-1</v>
      </c>
      <c r="S31" s="28">
        <v>10</v>
      </c>
      <c r="T31" s="28">
        <v>13</v>
      </c>
      <c r="U31" s="33">
        <f t="shared" si="0"/>
        <v>23</v>
      </c>
      <c r="V31" s="29">
        <f t="shared" si="1"/>
        <v>23</v>
      </c>
      <c r="W31" s="30">
        <v>23</v>
      </c>
      <c r="X31" s="27">
        <f t="shared" si="2"/>
        <v>0</v>
      </c>
    </row>
    <row r="32" spans="1:24" ht="21.75" customHeight="1" x14ac:dyDescent="0.2">
      <c r="A32" s="32">
        <v>28</v>
      </c>
      <c r="B32" s="27" t="s">
        <v>34</v>
      </c>
      <c r="C32" s="27">
        <v>23510250217</v>
      </c>
      <c r="D32" s="27">
        <v>9422591511</v>
      </c>
      <c r="E32" s="28">
        <v>2</v>
      </c>
      <c r="F32" s="28">
        <v>2</v>
      </c>
      <c r="G32" s="28">
        <v>2</v>
      </c>
      <c r="H32" s="28">
        <v>2</v>
      </c>
      <c r="I32" s="28">
        <v>2</v>
      </c>
      <c r="J32" s="28">
        <v>2</v>
      </c>
      <c r="K32" s="28">
        <v>-1</v>
      </c>
      <c r="L32" s="27">
        <v>4</v>
      </c>
      <c r="M32" s="27">
        <v>4</v>
      </c>
      <c r="N32" s="27">
        <v>4</v>
      </c>
      <c r="O32" s="27">
        <v>4</v>
      </c>
      <c r="P32" s="27">
        <v>4</v>
      </c>
      <c r="Q32" s="27">
        <v>4</v>
      </c>
      <c r="R32" s="27">
        <v>4</v>
      </c>
      <c r="S32" s="28">
        <v>10</v>
      </c>
      <c r="T32" s="28">
        <v>20</v>
      </c>
      <c r="U32" s="33">
        <f t="shared" si="0"/>
        <v>30</v>
      </c>
      <c r="V32" s="29">
        <f t="shared" si="1"/>
        <v>40</v>
      </c>
      <c r="W32" s="30">
        <v>30</v>
      </c>
      <c r="X32" s="27">
        <f t="shared" si="2"/>
        <v>0</v>
      </c>
    </row>
    <row r="33" spans="1:24" ht="21.75" customHeight="1" x14ac:dyDescent="0.2">
      <c r="A33" s="26">
        <v>29</v>
      </c>
      <c r="B33" s="27" t="s">
        <v>35</v>
      </c>
      <c r="C33" s="27">
        <v>23510250219</v>
      </c>
      <c r="D33" s="27">
        <v>9307938007</v>
      </c>
      <c r="E33" s="28">
        <v>2</v>
      </c>
      <c r="F33" s="28">
        <v>2</v>
      </c>
      <c r="G33" s="28">
        <v>1</v>
      </c>
      <c r="H33" s="28">
        <v>2</v>
      </c>
      <c r="I33" s="28">
        <v>2</v>
      </c>
      <c r="J33" s="28">
        <v>2</v>
      </c>
      <c r="K33" s="28">
        <v>2</v>
      </c>
      <c r="L33" s="27">
        <v>4</v>
      </c>
      <c r="M33" s="27">
        <v>3</v>
      </c>
      <c r="N33" s="27">
        <v>3</v>
      </c>
      <c r="O33" s="27">
        <v>2</v>
      </c>
      <c r="P33" s="27">
        <v>-1</v>
      </c>
      <c r="Q33" s="27">
        <v>3</v>
      </c>
      <c r="R33" s="27">
        <v>-1</v>
      </c>
      <c r="S33" s="28">
        <v>10</v>
      </c>
      <c r="T33" s="28">
        <v>15</v>
      </c>
      <c r="U33" s="33">
        <f t="shared" si="0"/>
        <v>25</v>
      </c>
      <c r="V33" s="29">
        <f t="shared" si="1"/>
        <v>28</v>
      </c>
      <c r="W33" s="30">
        <v>25</v>
      </c>
      <c r="X33" s="27">
        <f t="shared" si="2"/>
        <v>0</v>
      </c>
    </row>
    <row r="34" spans="1:24" ht="21.75" customHeight="1" x14ac:dyDescent="0.2">
      <c r="A34" s="32">
        <v>30</v>
      </c>
      <c r="B34" s="27" t="s">
        <v>36</v>
      </c>
      <c r="C34" s="27">
        <v>23510250219</v>
      </c>
      <c r="D34" s="27">
        <v>7875100878</v>
      </c>
      <c r="E34" s="28">
        <v>2</v>
      </c>
      <c r="F34" s="28">
        <v>-1</v>
      </c>
      <c r="G34" s="28">
        <v>2</v>
      </c>
      <c r="H34" s="28">
        <v>2</v>
      </c>
      <c r="I34" s="28">
        <v>2</v>
      </c>
      <c r="J34" s="28">
        <v>2</v>
      </c>
      <c r="K34" s="28">
        <v>2</v>
      </c>
      <c r="L34" s="27">
        <v>2</v>
      </c>
      <c r="M34" s="27">
        <v>4</v>
      </c>
      <c r="N34" s="27">
        <v>3</v>
      </c>
      <c r="O34" s="27">
        <v>-1</v>
      </c>
      <c r="P34" s="27">
        <v>-1</v>
      </c>
      <c r="Q34" s="27">
        <v>3</v>
      </c>
      <c r="R34" s="27">
        <v>-1</v>
      </c>
      <c r="S34" s="28">
        <v>10</v>
      </c>
      <c r="T34" s="28">
        <v>12</v>
      </c>
      <c r="U34" s="33">
        <f t="shared" si="0"/>
        <v>22</v>
      </c>
      <c r="V34" s="29">
        <f t="shared" si="1"/>
        <v>24</v>
      </c>
      <c r="W34" s="30">
        <v>22</v>
      </c>
      <c r="X34" s="27">
        <f t="shared" si="2"/>
        <v>0</v>
      </c>
    </row>
    <row r="35" spans="1:24" ht="21.75" customHeight="1" x14ac:dyDescent="0.2">
      <c r="A35" s="26">
        <v>31</v>
      </c>
      <c r="B35" s="27" t="s">
        <v>37</v>
      </c>
      <c r="C35" s="27">
        <v>99</v>
      </c>
      <c r="D35" s="27">
        <v>99</v>
      </c>
      <c r="E35" s="28">
        <v>2</v>
      </c>
      <c r="F35" s="28">
        <v>1</v>
      </c>
      <c r="G35" s="28">
        <v>1</v>
      </c>
      <c r="H35" s="28">
        <v>2</v>
      </c>
      <c r="I35" s="28">
        <v>1</v>
      </c>
      <c r="J35" s="28">
        <v>2</v>
      </c>
      <c r="K35" s="28">
        <v>-1</v>
      </c>
      <c r="L35" s="27">
        <v>3</v>
      </c>
      <c r="M35" s="27">
        <v>1</v>
      </c>
      <c r="N35" s="27">
        <v>2</v>
      </c>
      <c r="O35" s="27">
        <v>-1</v>
      </c>
      <c r="P35" s="27">
        <v>-1</v>
      </c>
      <c r="Q35" s="27">
        <v>2</v>
      </c>
      <c r="R35" s="27">
        <v>-1</v>
      </c>
      <c r="S35" s="28">
        <v>8</v>
      </c>
      <c r="T35" s="28">
        <v>8</v>
      </c>
      <c r="U35" s="33">
        <f t="shared" si="0"/>
        <v>16</v>
      </c>
      <c r="V35" s="29">
        <f t="shared" si="1"/>
        <v>17</v>
      </c>
      <c r="W35" s="30">
        <v>16</v>
      </c>
      <c r="X35" s="31">
        <f t="shared" si="2"/>
        <v>0</v>
      </c>
    </row>
    <row r="36" spans="1:24" ht="21.75" customHeight="1" x14ac:dyDescent="0.2">
      <c r="A36" s="32">
        <v>32</v>
      </c>
      <c r="B36" s="27" t="s">
        <v>38</v>
      </c>
      <c r="C36" s="27">
        <v>23510250221</v>
      </c>
      <c r="D36" s="27">
        <v>7887335880</v>
      </c>
      <c r="E36" s="28">
        <v>2</v>
      </c>
      <c r="F36" s="28">
        <v>2</v>
      </c>
      <c r="G36" s="28">
        <v>1</v>
      </c>
      <c r="H36" s="28">
        <v>-1</v>
      </c>
      <c r="I36" s="28">
        <v>2</v>
      </c>
      <c r="J36" s="28">
        <v>2</v>
      </c>
      <c r="K36" s="28">
        <v>2</v>
      </c>
      <c r="L36" s="27">
        <v>3</v>
      </c>
      <c r="M36" s="27">
        <v>1</v>
      </c>
      <c r="N36" s="27">
        <v>3</v>
      </c>
      <c r="O36" s="27">
        <v>2</v>
      </c>
      <c r="P36" s="27">
        <v>-1</v>
      </c>
      <c r="Q36" s="27">
        <v>3</v>
      </c>
      <c r="R36" s="27">
        <v>-1</v>
      </c>
      <c r="S36" s="28">
        <v>10</v>
      </c>
      <c r="T36" s="28">
        <v>12</v>
      </c>
      <c r="U36" s="33">
        <f t="shared" si="0"/>
        <v>22</v>
      </c>
      <c r="V36" s="29">
        <f t="shared" si="1"/>
        <v>23</v>
      </c>
      <c r="W36" s="30">
        <v>22</v>
      </c>
      <c r="X36" s="27">
        <f t="shared" si="2"/>
        <v>0</v>
      </c>
    </row>
    <row r="37" spans="1:24" ht="21.75" customHeight="1" x14ac:dyDescent="0.2">
      <c r="A37" s="26">
        <v>33</v>
      </c>
      <c r="B37" s="27" t="s">
        <v>39</v>
      </c>
      <c r="C37" s="27">
        <v>23510250222</v>
      </c>
      <c r="D37" s="27">
        <v>8767023429</v>
      </c>
      <c r="E37" s="28">
        <v>2</v>
      </c>
      <c r="F37" s="28">
        <v>2</v>
      </c>
      <c r="G37" s="28">
        <v>2</v>
      </c>
      <c r="H37" s="28">
        <v>2</v>
      </c>
      <c r="I37" s="28">
        <v>2</v>
      </c>
      <c r="J37" s="28">
        <v>2</v>
      </c>
      <c r="K37" s="28">
        <v>-1</v>
      </c>
      <c r="L37" s="27">
        <v>4</v>
      </c>
      <c r="M37" s="27">
        <v>4</v>
      </c>
      <c r="N37" s="27">
        <v>4</v>
      </c>
      <c r="O37" s="27">
        <v>4</v>
      </c>
      <c r="P37" s="27">
        <v>4</v>
      </c>
      <c r="Q37" s="27">
        <v>4</v>
      </c>
      <c r="R37" s="27">
        <v>4</v>
      </c>
      <c r="S37" s="28">
        <v>10</v>
      </c>
      <c r="T37" s="28">
        <v>20</v>
      </c>
      <c r="U37" s="33">
        <f t="shared" si="0"/>
        <v>30</v>
      </c>
      <c r="V37" s="29">
        <f t="shared" si="1"/>
        <v>40</v>
      </c>
      <c r="W37" s="30">
        <v>30</v>
      </c>
      <c r="X37" s="27">
        <f t="shared" si="2"/>
        <v>0</v>
      </c>
    </row>
    <row r="38" spans="1:24" ht="21.75" customHeight="1" x14ac:dyDescent="0.2">
      <c r="A38" s="32">
        <v>34</v>
      </c>
      <c r="B38" s="27" t="s">
        <v>40</v>
      </c>
      <c r="C38" s="27">
        <v>99</v>
      </c>
      <c r="D38" s="27">
        <v>99</v>
      </c>
      <c r="E38" s="28">
        <v>2</v>
      </c>
      <c r="F38" s="28">
        <v>-1</v>
      </c>
      <c r="G38" s="28">
        <v>2</v>
      </c>
      <c r="H38" s="28">
        <v>2</v>
      </c>
      <c r="I38" s="28">
        <v>-1</v>
      </c>
      <c r="J38" s="28">
        <v>-1</v>
      </c>
      <c r="K38" s="28">
        <v>-1</v>
      </c>
      <c r="L38" s="27">
        <v>4</v>
      </c>
      <c r="M38" s="27">
        <v>0</v>
      </c>
      <c r="N38" s="27">
        <v>1</v>
      </c>
      <c r="O38" s="27">
        <v>-1</v>
      </c>
      <c r="P38" s="27">
        <v>-1</v>
      </c>
      <c r="Q38" s="27">
        <v>4</v>
      </c>
      <c r="R38" s="27">
        <v>-1</v>
      </c>
      <c r="S38" s="28">
        <v>6</v>
      </c>
      <c r="T38" s="28">
        <v>9</v>
      </c>
      <c r="U38" s="33">
        <f t="shared" si="0"/>
        <v>15</v>
      </c>
      <c r="V38" s="29">
        <f t="shared" si="1"/>
        <v>15</v>
      </c>
      <c r="W38" s="30">
        <v>15</v>
      </c>
      <c r="X38" s="31">
        <f t="shared" si="2"/>
        <v>0</v>
      </c>
    </row>
    <row r="39" spans="1:24" ht="21.75" customHeight="1" x14ac:dyDescent="0.2">
      <c r="A39" s="26">
        <v>35</v>
      </c>
      <c r="B39" s="27" t="s">
        <v>41</v>
      </c>
      <c r="C39" s="27">
        <v>99</v>
      </c>
      <c r="D39" s="27">
        <v>99</v>
      </c>
      <c r="E39" s="28">
        <v>2</v>
      </c>
      <c r="F39" s="28">
        <v>-1</v>
      </c>
      <c r="G39" s="28">
        <v>1</v>
      </c>
      <c r="H39" s="28">
        <v>2</v>
      </c>
      <c r="I39" s="28">
        <v>-1</v>
      </c>
      <c r="J39" s="28">
        <v>0</v>
      </c>
      <c r="K39" s="28">
        <v>0</v>
      </c>
      <c r="L39" s="27">
        <v>-1</v>
      </c>
      <c r="M39" s="27">
        <v>-1</v>
      </c>
      <c r="N39" s="27">
        <v>2</v>
      </c>
      <c r="O39" s="27">
        <v>-1</v>
      </c>
      <c r="P39" s="27">
        <v>-1</v>
      </c>
      <c r="Q39" s="27">
        <v>-1</v>
      </c>
      <c r="R39" s="27">
        <v>-1</v>
      </c>
      <c r="S39" s="28">
        <v>5</v>
      </c>
      <c r="T39" s="28">
        <v>2</v>
      </c>
      <c r="U39" s="33">
        <f t="shared" si="0"/>
        <v>7</v>
      </c>
      <c r="V39" s="29">
        <f t="shared" si="1"/>
        <v>7</v>
      </c>
      <c r="W39" s="30">
        <v>7</v>
      </c>
      <c r="X39" s="31">
        <f t="shared" si="2"/>
        <v>0</v>
      </c>
    </row>
    <row r="40" spans="1:24" ht="21.75" customHeight="1" x14ac:dyDescent="0.2">
      <c r="A40" s="32">
        <v>36</v>
      </c>
      <c r="B40" s="27" t="s">
        <v>42</v>
      </c>
      <c r="C40" s="27">
        <v>23510250225</v>
      </c>
      <c r="D40" s="27">
        <v>9209547440</v>
      </c>
      <c r="E40" s="28">
        <v>2</v>
      </c>
      <c r="F40" s="28">
        <v>-1</v>
      </c>
      <c r="G40" s="28">
        <v>2</v>
      </c>
      <c r="H40" s="28">
        <v>2</v>
      </c>
      <c r="I40" s="28">
        <v>2</v>
      </c>
      <c r="J40" s="28">
        <v>2</v>
      </c>
      <c r="K40" s="28">
        <v>2</v>
      </c>
      <c r="L40" s="27">
        <v>3</v>
      </c>
      <c r="M40" s="27">
        <v>4</v>
      </c>
      <c r="N40" s="27">
        <v>4</v>
      </c>
      <c r="O40" s="27">
        <v>4</v>
      </c>
      <c r="P40" s="27">
        <v>2</v>
      </c>
      <c r="Q40" s="27">
        <v>4</v>
      </c>
      <c r="R40" s="27">
        <v>-1</v>
      </c>
      <c r="S40" s="28">
        <v>10</v>
      </c>
      <c r="T40" s="28">
        <v>19</v>
      </c>
      <c r="U40" s="33">
        <f t="shared" si="0"/>
        <v>29</v>
      </c>
      <c r="V40" s="29">
        <f t="shared" si="1"/>
        <v>33</v>
      </c>
      <c r="W40" s="30">
        <v>29</v>
      </c>
      <c r="X40" s="27">
        <f t="shared" si="2"/>
        <v>0</v>
      </c>
    </row>
    <row r="41" spans="1:24" ht="21.75" customHeight="1" x14ac:dyDescent="0.2">
      <c r="A41" s="26">
        <v>37</v>
      </c>
      <c r="B41" s="27" t="s">
        <v>43</v>
      </c>
      <c r="C41" s="27">
        <v>23510250226</v>
      </c>
      <c r="D41" s="27">
        <v>8080307158</v>
      </c>
      <c r="E41" s="28">
        <v>2</v>
      </c>
      <c r="F41" s="28">
        <v>2</v>
      </c>
      <c r="G41" s="28">
        <v>2</v>
      </c>
      <c r="H41" s="28">
        <v>2</v>
      </c>
      <c r="I41" s="28">
        <v>-1</v>
      </c>
      <c r="J41" s="28">
        <v>2</v>
      </c>
      <c r="K41" s="28">
        <v>2</v>
      </c>
      <c r="L41" s="27">
        <v>4</v>
      </c>
      <c r="M41" s="27">
        <v>4</v>
      </c>
      <c r="N41" s="27">
        <v>4</v>
      </c>
      <c r="O41" s="27">
        <v>4</v>
      </c>
      <c r="P41" s="27">
        <v>-1</v>
      </c>
      <c r="Q41" s="27">
        <v>4</v>
      </c>
      <c r="R41" s="27">
        <v>4</v>
      </c>
      <c r="S41" s="28">
        <v>10</v>
      </c>
      <c r="T41" s="28">
        <v>20</v>
      </c>
      <c r="U41" s="33">
        <f t="shared" si="0"/>
        <v>30</v>
      </c>
      <c r="V41" s="29">
        <f t="shared" si="1"/>
        <v>36</v>
      </c>
      <c r="W41" s="30">
        <v>30</v>
      </c>
      <c r="X41" s="27">
        <f t="shared" si="2"/>
        <v>0</v>
      </c>
    </row>
    <row r="42" spans="1:24" ht="21.75" customHeight="1" x14ac:dyDescent="0.2">
      <c r="A42" s="32">
        <v>38</v>
      </c>
      <c r="B42" s="27" t="s">
        <v>44</v>
      </c>
      <c r="C42" s="27">
        <v>23510250227</v>
      </c>
      <c r="D42" s="27">
        <v>9359262384</v>
      </c>
      <c r="E42" s="28">
        <v>2</v>
      </c>
      <c r="F42" s="28">
        <v>2</v>
      </c>
      <c r="G42" s="28">
        <v>2</v>
      </c>
      <c r="H42" s="28">
        <v>2</v>
      </c>
      <c r="I42" s="28">
        <v>2</v>
      </c>
      <c r="J42" s="28">
        <v>2</v>
      </c>
      <c r="K42" s="28">
        <v>-1</v>
      </c>
      <c r="L42" s="27">
        <v>0</v>
      </c>
      <c r="M42" s="27">
        <v>4</v>
      </c>
      <c r="N42" s="27">
        <v>4</v>
      </c>
      <c r="O42" s="27">
        <v>4</v>
      </c>
      <c r="P42" s="27">
        <v>-1</v>
      </c>
      <c r="Q42" s="27">
        <v>4</v>
      </c>
      <c r="R42" s="27">
        <v>4</v>
      </c>
      <c r="S42" s="28">
        <v>10</v>
      </c>
      <c r="T42" s="28">
        <v>20</v>
      </c>
      <c r="U42" s="33">
        <f t="shared" si="0"/>
        <v>30</v>
      </c>
      <c r="V42" s="29">
        <f t="shared" si="1"/>
        <v>32</v>
      </c>
      <c r="W42" s="30">
        <v>30</v>
      </c>
      <c r="X42" s="27">
        <f t="shared" si="2"/>
        <v>0</v>
      </c>
    </row>
    <row r="43" spans="1:24" ht="21.75" customHeight="1" x14ac:dyDescent="0.2">
      <c r="A43" s="26">
        <v>39</v>
      </c>
      <c r="B43" s="27" t="s">
        <v>45</v>
      </c>
      <c r="C43" s="27">
        <v>23510250228</v>
      </c>
      <c r="D43" s="27">
        <v>9022490291</v>
      </c>
      <c r="E43" s="28">
        <v>2</v>
      </c>
      <c r="F43" s="28">
        <v>1</v>
      </c>
      <c r="G43" s="28">
        <v>2</v>
      </c>
      <c r="H43" s="28">
        <v>2</v>
      </c>
      <c r="I43" s="28">
        <v>2</v>
      </c>
      <c r="J43" s="28">
        <v>2</v>
      </c>
      <c r="K43" s="28">
        <v>2</v>
      </c>
      <c r="L43" s="27">
        <v>3</v>
      </c>
      <c r="M43" s="27">
        <v>2</v>
      </c>
      <c r="N43" s="27">
        <v>2</v>
      </c>
      <c r="O43" s="27">
        <v>3</v>
      </c>
      <c r="P43" s="27">
        <v>1</v>
      </c>
      <c r="Q43" s="27">
        <v>4</v>
      </c>
      <c r="R43" s="27">
        <v>-1</v>
      </c>
      <c r="S43" s="28">
        <v>10</v>
      </c>
      <c r="T43" s="28">
        <v>14</v>
      </c>
      <c r="U43" s="33">
        <f t="shared" si="0"/>
        <v>24</v>
      </c>
      <c r="V43" s="29">
        <f t="shared" si="1"/>
        <v>28</v>
      </c>
      <c r="W43" s="30">
        <v>24</v>
      </c>
      <c r="X43" s="27">
        <f t="shared" si="2"/>
        <v>0</v>
      </c>
    </row>
    <row r="44" spans="1:24" ht="21.75" customHeight="1" x14ac:dyDescent="0.2">
      <c r="A44" s="32">
        <v>40</v>
      </c>
      <c r="B44" s="27" t="s">
        <v>46</v>
      </c>
      <c r="C44" s="27">
        <v>99</v>
      </c>
      <c r="D44" s="27">
        <v>99</v>
      </c>
      <c r="E44" s="28">
        <v>2</v>
      </c>
      <c r="F44" s="28">
        <v>1</v>
      </c>
      <c r="G44" s="28">
        <v>2</v>
      </c>
      <c r="H44" s="28">
        <v>2</v>
      </c>
      <c r="I44" s="28">
        <v>0</v>
      </c>
      <c r="J44" s="28">
        <v>2</v>
      </c>
      <c r="K44" s="28">
        <v>-1</v>
      </c>
      <c r="L44" s="27">
        <v>0</v>
      </c>
      <c r="M44" s="27">
        <v>1</v>
      </c>
      <c r="N44" s="27">
        <v>0</v>
      </c>
      <c r="O44" s="27">
        <v>0</v>
      </c>
      <c r="P44" s="27">
        <v>1</v>
      </c>
      <c r="Q44" s="27">
        <v>-1</v>
      </c>
      <c r="R44" s="27">
        <v>1</v>
      </c>
      <c r="S44" s="28">
        <v>9</v>
      </c>
      <c r="T44" s="28">
        <v>3</v>
      </c>
      <c r="U44" s="33">
        <f t="shared" si="0"/>
        <v>12</v>
      </c>
      <c r="V44" s="29">
        <f t="shared" si="1"/>
        <v>12</v>
      </c>
      <c r="W44" s="30">
        <v>12</v>
      </c>
      <c r="X44" s="31">
        <f t="shared" si="2"/>
        <v>0</v>
      </c>
    </row>
    <row r="45" spans="1:24" ht="21.75" customHeight="1" x14ac:dyDescent="0.2">
      <c r="A45" s="26">
        <v>41</v>
      </c>
      <c r="B45" s="27" t="s">
        <v>47</v>
      </c>
      <c r="C45" s="27">
        <v>99</v>
      </c>
      <c r="D45" s="27">
        <v>99</v>
      </c>
      <c r="E45" s="28">
        <v>2</v>
      </c>
      <c r="F45" s="28">
        <v>2</v>
      </c>
      <c r="G45" s="28">
        <v>-1</v>
      </c>
      <c r="H45" s="28">
        <v>2</v>
      </c>
      <c r="I45" s="28">
        <v>2</v>
      </c>
      <c r="J45" s="28">
        <v>2</v>
      </c>
      <c r="K45" s="28">
        <v>2</v>
      </c>
      <c r="L45" s="27">
        <v>1</v>
      </c>
      <c r="M45" s="27">
        <v>2</v>
      </c>
      <c r="N45" s="27">
        <v>2</v>
      </c>
      <c r="O45" s="27">
        <v>2</v>
      </c>
      <c r="P45" s="27">
        <v>0</v>
      </c>
      <c r="Q45" s="27">
        <v>0</v>
      </c>
      <c r="R45" s="27">
        <v>0</v>
      </c>
      <c r="S45" s="28">
        <v>10</v>
      </c>
      <c r="T45" s="28">
        <v>7</v>
      </c>
      <c r="U45" s="33">
        <f t="shared" si="0"/>
        <v>17</v>
      </c>
      <c r="V45" s="29">
        <f t="shared" si="1"/>
        <v>19</v>
      </c>
      <c r="W45" s="30">
        <v>17</v>
      </c>
      <c r="X45" s="31">
        <f t="shared" si="2"/>
        <v>0</v>
      </c>
    </row>
    <row r="46" spans="1:24" ht="21.75" customHeight="1" x14ac:dyDescent="0.2">
      <c r="A46" s="32">
        <v>42</v>
      </c>
      <c r="B46" s="27" t="s">
        <v>48</v>
      </c>
      <c r="C46" s="27">
        <v>23510250233</v>
      </c>
      <c r="D46" s="27">
        <v>9284026501</v>
      </c>
      <c r="E46" s="28">
        <v>2</v>
      </c>
      <c r="F46" s="28">
        <v>2</v>
      </c>
      <c r="G46" s="28">
        <v>2</v>
      </c>
      <c r="H46" s="28">
        <v>2</v>
      </c>
      <c r="I46" s="28">
        <v>2</v>
      </c>
      <c r="J46" s="28">
        <v>2</v>
      </c>
      <c r="K46" s="28">
        <v>2</v>
      </c>
      <c r="L46" s="27">
        <v>4</v>
      </c>
      <c r="M46" s="27">
        <v>4</v>
      </c>
      <c r="N46" s="27">
        <v>4</v>
      </c>
      <c r="O46" s="27">
        <v>4</v>
      </c>
      <c r="P46" s="27">
        <v>3</v>
      </c>
      <c r="Q46" s="27">
        <v>4</v>
      </c>
      <c r="R46" s="27">
        <v>4</v>
      </c>
      <c r="S46" s="28">
        <v>10</v>
      </c>
      <c r="T46" s="28">
        <v>20</v>
      </c>
      <c r="U46" s="33">
        <f t="shared" si="0"/>
        <v>30</v>
      </c>
      <c r="V46" s="29">
        <f t="shared" si="1"/>
        <v>41</v>
      </c>
      <c r="W46" s="30">
        <v>30</v>
      </c>
      <c r="X46" s="27">
        <f t="shared" si="2"/>
        <v>0</v>
      </c>
    </row>
    <row r="47" spans="1:24" ht="21.75" customHeight="1" x14ac:dyDescent="0.2">
      <c r="A47" s="26">
        <v>43</v>
      </c>
      <c r="B47" s="27" t="s">
        <v>49</v>
      </c>
      <c r="C47" s="27">
        <v>23510250234</v>
      </c>
      <c r="D47" s="27">
        <v>9325236826</v>
      </c>
      <c r="E47" s="28">
        <v>2</v>
      </c>
      <c r="F47" s="28">
        <v>-1</v>
      </c>
      <c r="G47" s="28">
        <v>2</v>
      </c>
      <c r="H47" s="28">
        <v>2</v>
      </c>
      <c r="I47" s="28">
        <v>-1</v>
      </c>
      <c r="J47" s="28">
        <v>2</v>
      </c>
      <c r="K47" s="28">
        <v>2</v>
      </c>
      <c r="L47" s="27">
        <v>-1</v>
      </c>
      <c r="M47" s="27">
        <v>4</v>
      </c>
      <c r="N47" s="27">
        <v>4</v>
      </c>
      <c r="O47" s="27">
        <v>4</v>
      </c>
      <c r="P47" s="27">
        <v>-1</v>
      </c>
      <c r="Q47" s="27">
        <v>4</v>
      </c>
      <c r="R47" s="27">
        <v>4</v>
      </c>
      <c r="S47" s="28">
        <v>10</v>
      </c>
      <c r="T47" s="28">
        <v>20</v>
      </c>
      <c r="U47" s="33">
        <f t="shared" si="0"/>
        <v>30</v>
      </c>
      <c r="V47" s="29">
        <f t="shared" si="1"/>
        <v>30</v>
      </c>
      <c r="W47" s="30">
        <v>30</v>
      </c>
      <c r="X47" s="27">
        <f t="shared" si="2"/>
        <v>0</v>
      </c>
    </row>
    <row r="48" spans="1:24" ht="21.75" customHeight="1" x14ac:dyDescent="0.2">
      <c r="A48" s="32">
        <v>44</v>
      </c>
      <c r="B48" s="27" t="s">
        <v>50</v>
      </c>
      <c r="C48" s="27">
        <v>23510250235</v>
      </c>
      <c r="D48" s="27">
        <v>7249274145</v>
      </c>
      <c r="E48" s="28">
        <v>2</v>
      </c>
      <c r="F48" s="28">
        <v>-1</v>
      </c>
      <c r="G48" s="28">
        <v>2</v>
      </c>
      <c r="H48" s="28">
        <v>2</v>
      </c>
      <c r="I48" s="28">
        <v>2</v>
      </c>
      <c r="J48" s="28">
        <v>2</v>
      </c>
      <c r="K48" s="28">
        <v>2</v>
      </c>
      <c r="L48" s="27">
        <v>3</v>
      </c>
      <c r="M48" s="27">
        <v>4</v>
      </c>
      <c r="N48" s="27">
        <v>3</v>
      </c>
      <c r="O48" s="27">
        <v>3</v>
      </c>
      <c r="P48" s="27">
        <v>-1</v>
      </c>
      <c r="Q48" s="27">
        <v>4</v>
      </c>
      <c r="R48" s="27">
        <v>-1</v>
      </c>
      <c r="S48" s="28">
        <v>10</v>
      </c>
      <c r="T48" s="28">
        <v>17</v>
      </c>
      <c r="U48" s="33">
        <f t="shared" si="0"/>
        <v>27</v>
      </c>
      <c r="V48" s="29">
        <f t="shared" si="1"/>
        <v>29</v>
      </c>
      <c r="W48" s="30">
        <v>27</v>
      </c>
      <c r="X48" s="27">
        <f t="shared" si="2"/>
        <v>0</v>
      </c>
    </row>
    <row r="49" spans="1:24" ht="21.75" customHeight="1" x14ac:dyDescent="0.2">
      <c r="A49" s="26">
        <v>45</v>
      </c>
      <c r="B49" s="27" t="s">
        <v>51</v>
      </c>
      <c r="C49" s="27">
        <v>99</v>
      </c>
      <c r="D49" s="27">
        <v>99</v>
      </c>
      <c r="E49" s="28">
        <v>2</v>
      </c>
      <c r="F49" s="28">
        <v>2</v>
      </c>
      <c r="G49" s="28">
        <v>1</v>
      </c>
      <c r="H49" s="28">
        <v>2</v>
      </c>
      <c r="I49" s="28">
        <v>0</v>
      </c>
      <c r="J49" s="28">
        <v>2</v>
      </c>
      <c r="K49" s="28">
        <v>1</v>
      </c>
      <c r="L49" s="27">
        <v>3</v>
      </c>
      <c r="M49" s="27">
        <v>3</v>
      </c>
      <c r="N49" s="27">
        <v>3</v>
      </c>
      <c r="O49" s="27">
        <v>4</v>
      </c>
      <c r="P49" s="27">
        <v>2</v>
      </c>
      <c r="Q49" s="27">
        <v>4</v>
      </c>
      <c r="R49" s="27">
        <v>-1</v>
      </c>
      <c r="S49" s="28">
        <v>9</v>
      </c>
      <c r="T49" s="28">
        <v>17</v>
      </c>
      <c r="U49" s="33">
        <f t="shared" si="0"/>
        <v>26</v>
      </c>
      <c r="V49" s="29">
        <f t="shared" si="1"/>
        <v>29</v>
      </c>
      <c r="W49" s="30">
        <v>26</v>
      </c>
      <c r="X49" s="31">
        <f t="shared" si="2"/>
        <v>0</v>
      </c>
    </row>
    <row r="50" spans="1:24" ht="21.75" customHeight="1" x14ac:dyDescent="0.2">
      <c r="A50" s="32">
        <v>46</v>
      </c>
      <c r="B50" s="27" t="s">
        <v>52</v>
      </c>
      <c r="C50" s="27">
        <v>23510250237</v>
      </c>
      <c r="D50" s="27">
        <v>7499731975</v>
      </c>
      <c r="E50" s="28">
        <v>2</v>
      </c>
      <c r="F50" s="28">
        <v>2</v>
      </c>
      <c r="G50" s="28">
        <v>2</v>
      </c>
      <c r="H50" s="28">
        <v>2</v>
      </c>
      <c r="I50" s="28">
        <v>-1</v>
      </c>
      <c r="J50" s="28">
        <v>2</v>
      </c>
      <c r="K50" s="28">
        <v>2</v>
      </c>
      <c r="L50" s="27">
        <v>4</v>
      </c>
      <c r="M50" s="27">
        <v>4</v>
      </c>
      <c r="N50" s="27">
        <v>4</v>
      </c>
      <c r="O50" s="27">
        <v>3</v>
      </c>
      <c r="P50" s="27">
        <v>-1</v>
      </c>
      <c r="Q50" s="27">
        <v>4</v>
      </c>
      <c r="R50" s="27">
        <v>4</v>
      </c>
      <c r="S50" s="28">
        <v>10</v>
      </c>
      <c r="T50" s="28">
        <v>20</v>
      </c>
      <c r="U50" s="33">
        <f t="shared" si="0"/>
        <v>30</v>
      </c>
      <c r="V50" s="29">
        <f t="shared" si="1"/>
        <v>35</v>
      </c>
      <c r="W50" s="30">
        <v>30</v>
      </c>
      <c r="X50" s="27">
        <f t="shared" si="2"/>
        <v>0</v>
      </c>
    </row>
    <row r="51" spans="1:24" ht="21.75" customHeight="1" x14ac:dyDescent="0.2">
      <c r="A51" s="26">
        <v>47</v>
      </c>
      <c r="B51" s="27" t="s">
        <v>53</v>
      </c>
      <c r="C51" s="27" t="s">
        <v>54</v>
      </c>
      <c r="D51" s="27">
        <v>9421353713</v>
      </c>
      <c r="E51" s="28">
        <v>2</v>
      </c>
      <c r="F51" s="28">
        <v>2</v>
      </c>
      <c r="G51" s="28">
        <v>2</v>
      </c>
      <c r="H51" s="28">
        <v>2</v>
      </c>
      <c r="I51" s="28">
        <v>2</v>
      </c>
      <c r="J51" s="28">
        <v>2</v>
      </c>
      <c r="K51" s="28">
        <v>2</v>
      </c>
      <c r="L51" s="27">
        <v>4</v>
      </c>
      <c r="M51" s="27">
        <v>4</v>
      </c>
      <c r="N51" s="27">
        <v>-1</v>
      </c>
      <c r="O51" s="27">
        <v>4</v>
      </c>
      <c r="P51" s="27">
        <v>-1</v>
      </c>
      <c r="Q51" s="27">
        <v>4</v>
      </c>
      <c r="R51" s="27">
        <v>4</v>
      </c>
      <c r="S51" s="28">
        <v>10</v>
      </c>
      <c r="T51" s="28">
        <v>20</v>
      </c>
      <c r="U51" s="33">
        <f t="shared" si="0"/>
        <v>30</v>
      </c>
      <c r="V51" s="29">
        <f t="shared" si="1"/>
        <v>34</v>
      </c>
      <c r="W51" s="30">
        <v>30</v>
      </c>
      <c r="X51" s="27">
        <f t="shared" si="2"/>
        <v>0</v>
      </c>
    </row>
    <row r="52" spans="1:24" ht="21.75" customHeight="1" x14ac:dyDescent="0.2">
      <c r="A52" s="32">
        <v>48</v>
      </c>
      <c r="B52" s="27" t="s">
        <v>55</v>
      </c>
      <c r="C52" s="27">
        <v>23510250239</v>
      </c>
      <c r="D52" s="27">
        <v>8605110798</v>
      </c>
      <c r="E52" s="28">
        <v>2</v>
      </c>
      <c r="F52" s="28">
        <v>2</v>
      </c>
      <c r="G52" s="28">
        <v>2</v>
      </c>
      <c r="H52" s="28">
        <v>2</v>
      </c>
      <c r="I52" s="28">
        <v>2</v>
      </c>
      <c r="J52" s="28">
        <v>2</v>
      </c>
      <c r="K52" s="28">
        <v>-1</v>
      </c>
      <c r="L52" s="27">
        <v>2</v>
      </c>
      <c r="M52" s="27">
        <v>4</v>
      </c>
      <c r="N52" s="27">
        <v>4</v>
      </c>
      <c r="O52" s="27">
        <v>3</v>
      </c>
      <c r="P52" s="27">
        <v>4</v>
      </c>
      <c r="Q52" s="27">
        <v>4</v>
      </c>
      <c r="R52" s="27">
        <v>-1</v>
      </c>
      <c r="S52" s="28">
        <v>10</v>
      </c>
      <c r="T52" s="28">
        <v>19</v>
      </c>
      <c r="U52" s="33">
        <f t="shared" si="0"/>
        <v>29</v>
      </c>
      <c r="V52" s="29">
        <f t="shared" si="1"/>
        <v>33</v>
      </c>
      <c r="W52" s="30">
        <v>29</v>
      </c>
      <c r="X52" s="27">
        <f t="shared" si="2"/>
        <v>0</v>
      </c>
    </row>
    <row r="53" spans="1:24" ht="21.75" customHeight="1" x14ac:dyDescent="0.2">
      <c r="A53" s="26">
        <v>49</v>
      </c>
      <c r="B53" s="27" t="s">
        <v>56</v>
      </c>
      <c r="C53" s="27">
        <v>23510250240</v>
      </c>
      <c r="D53" s="27">
        <v>8830451252</v>
      </c>
      <c r="E53" s="28">
        <v>2</v>
      </c>
      <c r="F53" s="28">
        <v>-1</v>
      </c>
      <c r="G53" s="28">
        <v>2</v>
      </c>
      <c r="H53" s="28">
        <v>2</v>
      </c>
      <c r="I53" s="28">
        <v>2</v>
      </c>
      <c r="J53" s="28">
        <v>2</v>
      </c>
      <c r="K53" s="28">
        <v>-1</v>
      </c>
      <c r="L53" s="27">
        <v>4</v>
      </c>
      <c r="M53" s="27">
        <v>4</v>
      </c>
      <c r="N53" s="27">
        <v>3</v>
      </c>
      <c r="O53" s="27">
        <v>4</v>
      </c>
      <c r="P53" s="27">
        <v>4</v>
      </c>
      <c r="Q53" s="27">
        <v>4</v>
      </c>
      <c r="R53" s="27">
        <v>2</v>
      </c>
      <c r="S53" s="28">
        <v>10</v>
      </c>
      <c r="T53" s="28">
        <v>20</v>
      </c>
      <c r="U53" s="33">
        <f t="shared" si="0"/>
        <v>30</v>
      </c>
      <c r="V53" s="29">
        <f t="shared" si="1"/>
        <v>35</v>
      </c>
      <c r="W53" s="30">
        <v>30</v>
      </c>
      <c r="X53" s="27">
        <f t="shared" si="2"/>
        <v>0</v>
      </c>
    </row>
    <row r="54" spans="1:24" ht="21.75" customHeight="1" x14ac:dyDescent="0.2">
      <c r="A54" s="32">
        <v>50</v>
      </c>
      <c r="B54" s="27" t="s">
        <v>57</v>
      </c>
      <c r="C54" s="27">
        <v>23510250241</v>
      </c>
      <c r="D54" s="27">
        <v>9359642250</v>
      </c>
      <c r="E54" s="28">
        <v>2</v>
      </c>
      <c r="F54" s="28">
        <v>1</v>
      </c>
      <c r="G54" s="28">
        <v>-1</v>
      </c>
      <c r="H54" s="28">
        <v>1</v>
      </c>
      <c r="I54" s="28">
        <v>2</v>
      </c>
      <c r="J54" s="28">
        <v>2</v>
      </c>
      <c r="K54" s="28">
        <v>2</v>
      </c>
      <c r="L54" s="27">
        <v>0</v>
      </c>
      <c r="M54" s="27">
        <v>3</v>
      </c>
      <c r="N54" s="27">
        <v>3</v>
      </c>
      <c r="O54" s="27">
        <v>4</v>
      </c>
      <c r="P54" s="27">
        <v>1</v>
      </c>
      <c r="Q54" s="27">
        <v>4</v>
      </c>
      <c r="R54" s="27">
        <v>-1</v>
      </c>
      <c r="S54" s="28">
        <v>9</v>
      </c>
      <c r="T54" s="28">
        <v>15</v>
      </c>
      <c r="U54" s="33">
        <f t="shared" si="0"/>
        <v>24</v>
      </c>
      <c r="V54" s="29">
        <f t="shared" si="1"/>
        <v>25</v>
      </c>
      <c r="W54" s="30">
        <v>24</v>
      </c>
      <c r="X54" s="27">
        <f t="shared" si="2"/>
        <v>0</v>
      </c>
    </row>
    <row r="55" spans="1:24" ht="21.75" customHeight="1" x14ac:dyDescent="0.2">
      <c r="A55" s="26">
        <v>51</v>
      </c>
      <c r="B55" s="27" t="s">
        <v>58</v>
      </c>
      <c r="C55" s="27">
        <v>23510250242</v>
      </c>
      <c r="D55" s="27">
        <v>9767339080</v>
      </c>
      <c r="E55" s="28">
        <v>2</v>
      </c>
      <c r="F55" s="28">
        <v>2</v>
      </c>
      <c r="G55" s="28">
        <v>2</v>
      </c>
      <c r="H55" s="28">
        <v>2</v>
      </c>
      <c r="I55" s="28">
        <v>2</v>
      </c>
      <c r="J55" s="28">
        <v>2</v>
      </c>
      <c r="K55" s="28">
        <v>-1</v>
      </c>
      <c r="L55" s="27">
        <v>4</v>
      </c>
      <c r="M55" s="27">
        <v>4</v>
      </c>
      <c r="N55" s="27">
        <v>3</v>
      </c>
      <c r="O55" s="27">
        <v>4</v>
      </c>
      <c r="P55" s="27">
        <v>-1</v>
      </c>
      <c r="Q55" s="27">
        <v>4</v>
      </c>
      <c r="R55" s="27">
        <v>4</v>
      </c>
      <c r="S55" s="28">
        <v>10</v>
      </c>
      <c r="T55" s="28">
        <v>20</v>
      </c>
      <c r="U55" s="33">
        <f t="shared" si="0"/>
        <v>30</v>
      </c>
      <c r="V55" s="29">
        <f t="shared" si="1"/>
        <v>35</v>
      </c>
      <c r="W55" s="30">
        <v>30</v>
      </c>
      <c r="X55" s="27">
        <f t="shared" si="2"/>
        <v>0</v>
      </c>
    </row>
    <row r="56" spans="1:24" ht="21.75" customHeight="1" x14ac:dyDescent="0.2">
      <c r="A56" s="32">
        <v>52</v>
      </c>
      <c r="B56" s="27" t="s">
        <v>59</v>
      </c>
      <c r="C56" s="27">
        <v>99</v>
      </c>
      <c r="D56" s="27">
        <v>99</v>
      </c>
      <c r="E56" s="28">
        <v>1</v>
      </c>
      <c r="F56" s="28">
        <v>0</v>
      </c>
      <c r="G56" s="28">
        <v>1</v>
      </c>
      <c r="H56" s="28">
        <v>2</v>
      </c>
      <c r="I56" s="28">
        <v>1</v>
      </c>
      <c r="J56" s="28">
        <v>0</v>
      </c>
      <c r="K56" s="28">
        <v>-1</v>
      </c>
      <c r="L56" s="27">
        <v>-1</v>
      </c>
      <c r="M56" s="27">
        <v>1</v>
      </c>
      <c r="N56" s="27">
        <v>-1</v>
      </c>
      <c r="O56" s="27">
        <v>-1</v>
      </c>
      <c r="P56" s="27">
        <v>-1</v>
      </c>
      <c r="Q56" s="27">
        <v>-1</v>
      </c>
      <c r="R56" s="27">
        <v>-1</v>
      </c>
      <c r="S56" s="28">
        <v>5</v>
      </c>
      <c r="T56" s="28">
        <v>1</v>
      </c>
      <c r="U56" s="33">
        <f t="shared" si="0"/>
        <v>6</v>
      </c>
      <c r="V56" s="29">
        <f t="shared" si="1"/>
        <v>6</v>
      </c>
      <c r="W56" s="30">
        <v>6</v>
      </c>
      <c r="X56" s="31">
        <f t="shared" si="2"/>
        <v>0</v>
      </c>
    </row>
    <row r="57" spans="1:24" ht="36" customHeight="1" x14ac:dyDescent="0.2">
      <c r="A57" s="26">
        <v>53</v>
      </c>
      <c r="B57" s="27" t="s">
        <v>60</v>
      </c>
      <c r="C57" s="27">
        <v>23510250244</v>
      </c>
      <c r="D57" s="27">
        <v>9421087582</v>
      </c>
      <c r="E57" s="28">
        <v>2</v>
      </c>
      <c r="F57" s="28">
        <v>2</v>
      </c>
      <c r="G57" s="28">
        <v>2</v>
      </c>
      <c r="H57" s="28">
        <v>2</v>
      </c>
      <c r="I57" s="28">
        <v>2</v>
      </c>
      <c r="J57" s="28">
        <v>2</v>
      </c>
      <c r="K57" s="28">
        <v>2</v>
      </c>
      <c r="L57" s="27">
        <v>4</v>
      </c>
      <c r="M57" s="27">
        <v>4</v>
      </c>
      <c r="N57" s="27">
        <v>4</v>
      </c>
      <c r="O57" s="27">
        <v>4</v>
      </c>
      <c r="P57" s="27">
        <v>-1</v>
      </c>
      <c r="Q57" s="27">
        <v>4</v>
      </c>
      <c r="R57" s="27">
        <v>4</v>
      </c>
      <c r="S57" s="28">
        <v>10</v>
      </c>
      <c r="T57" s="28">
        <v>20</v>
      </c>
      <c r="U57" s="33">
        <f t="shared" si="0"/>
        <v>30</v>
      </c>
      <c r="V57" s="29">
        <f t="shared" si="1"/>
        <v>38</v>
      </c>
      <c r="W57" s="30">
        <v>30</v>
      </c>
      <c r="X57" s="27">
        <f t="shared" si="2"/>
        <v>0</v>
      </c>
    </row>
    <row r="58" spans="1:24" ht="21.75" customHeight="1" x14ac:dyDescent="0.2">
      <c r="A58" s="32">
        <v>54</v>
      </c>
      <c r="B58" s="27" t="s">
        <v>61</v>
      </c>
      <c r="C58" s="27">
        <v>99</v>
      </c>
      <c r="D58" s="27">
        <v>99</v>
      </c>
      <c r="E58" s="28">
        <v>2</v>
      </c>
      <c r="F58" s="28">
        <v>-1</v>
      </c>
      <c r="G58" s="28">
        <v>2</v>
      </c>
      <c r="H58" s="28">
        <v>2</v>
      </c>
      <c r="I58" s="28">
        <v>0</v>
      </c>
      <c r="J58" s="28">
        <v>0</v>
      </c>
      <c r="K58" s="28">
        <v>-1</v>
      </c>
      <c r="L58" s="27">
        <v>0</v>
      </c>
      <c r="M58" s="27">
        <v>0</v>
      </c>
      <c r="N58" s="27">
        <v>0</v>
      </c>
      <c r="O58" s="27">
        <v>0</v>
      </c>
      <c r="P58" s="27">
        <v>-1</v>
      </c>
      <c r="Q58" s="27">
        <v>-1</v>
      </c>
      <c r="R58" s="27">
        <v>-1</v>
      </c>
      <c r="S58" s="28">
        <v>6</v>
      </c>
      <c r="T58" s="28">
        <v>0</v>
      </c>
      <c r="U58" s="33">
        <f t="shared" si="0"/>
        <v>6</v>
      </c>
      <c r="V58" s="29">
        <f t="shared" si="1"/>
        <v>6</v>
      </c>
      <c r="W58" s="30">
        <v>6</v>
      </c>
      <c r="X58" s="31">
        <f t="shared" si="2"/>
        <v>0</v>
      </c>
    </row>
    <row r="59" spans="1:24" ht="21.75" customHeight="1" x14ac:dyDescent="0.2">
      <c r="A59" s="26">
        <v>55</v>
      </c>
      <c r="B59" s="27" t="s">
        <v>62</v>
      </c>
      <c r="C59" s="27">
        <v>23510250246</v>
      </c>
      <c r="D59" s="27">
        <v>8262089018</v>
      </c>
      <c r="E59" s="28">
        <v>2</v>
      </c>
      <c r="F59" s="28">
        <v>2</v>
      </c>
      <c r="G59" s="28">
        <v>2</v>
      </c>
      <c r="H59" s="28">
        <v>2</v>
      </c>
      <c r="I59" s="28">
        <v>2</v>
      </c>
      <c r="J59" s="28">
        <v>2</v>
      </c>
      <c r="K59" s="28">
        <v>-1</v>
      </c>
      <c r="L59" s="27">
        <v>4</v>
      </c>
      <c r="M59" s="27">
        <v>4</v>
      </c>
      <c r="N59" s="27">
        <v>4</v>
      </c>
      <c r="O59" s="27">
        <v>4</v>
      </c>
      <c r="P59" s="27">
        <v>-1</v>
      </c>
      <c r="Q59" s="27">
        <v>4</v>
      </c>
      <c r="R59" s="27">
        <v>4</v>
      </c>
      <c r="S59" s="28">
        <v>10</v>
      </c>
      <c r="T59" s="28">
        <v>20</v>
      </c>
      <c r="U59" s="33">
        <f t="shared" si="0"/>
        <v>30</v>
      </c>
      <c r="V59" s="29">
        <f t="shared" si="1"/>
        <v>36</v>
      </c>
      <c r="W59" s="30">
        <v>30</v>
      </c>
      <c r="X59" s="27">
        <f t="shared" si="2"/>
        <v>0</v>
      </c>
    </row>
    <row r="60" spans="1:24" ht="21.75" customHeight="1" x14ac:dyDescent="0.2">
      <c r="A60" s="32">
        <v>56</v>
      </c>
      <c r="B60" s="48" t="s">
        <v>63</v>
      </c>
      <c r="C60" s="27">
        <v>23510250247</v>
      </c>
      <c r="D60" s="27">
        <v>9588662815</v>
      </c>
      <c r="E60" s="28">
        <v>2</v>
      </c>
      <c r="F60" s="28">
        <v>2</v>
      </c>
      <c r="G60" s="28">
        <v>2</v>
      </c>
      <c r="H60" s="28">
        <v>2</v>
      </c>
      <c r="I60" s="28">
        <v>2</v>
      </c>
      <c r="J60" s="28">
        <v>2</v>
      </c>
      <c r="K60" s="28">
        <v>2</v>
      </c>
      <c r="L60" s="27">
        <v>4</v>
      </c>
      <c r="M60" s="27">
        <v>4</v>
      </c>
      <c r="N60" s="27">
        <v>4</v>
      </c>
      <c r="O60" s="27">
        <v>4</v>
      </c>
      <c r="P60" s="27">
        <v>4</v>
      </c>
      <c r="Q60" s="27">
        <v>4</v>
      </c>
      <c r="R60" s="27">
        <v>4</v>
      </c>
      <c r="S60" s="28">
        <v>10</v>
      </c>
      <c r="T60" s="28">
        <v>20</v>
      </c>
      <c r="U60" s="33">
        <f t="shared" si="0"/>
        <v>30</v>
      </c>
      <c r="V60" s="29">
        <f t="shared" si="1"/>
        <v>42</v>
      </c>
      <c r="W60" s="30">
        <v>30</v>
      </c>
      <c r="X60" s="27">
        <f t="shared" si="2"/>
        <v>0</v>
      </c>
    </row>
    <row r="61" spans="1:24" ht="21.75" customHeight="1" x14ac:dyDescent="0.2">
      <c r="A61" s="26">
        <v>57</v>
      </c>
      <c r="B61" s="27" t="s">
        <v>64</v>
      </c>
      <c r="C61" s="27">
        <v>23510250248</v>
      </c>
      <c r="D61" s="27">
        <v>9922391446</v>
      </c>
      <c r="E61" s="28">
        <v>2</v>
      </c>
      <c r="F61" s="28">
        <v>2</v>
      </c>
      <c r="G61" s="28">
        <v>-1</v>
      </c>
      <c r="H61" s="28">
        <v>2</v>
      </c>
      <c r="I61" s="28">
        <v>2</v>
      </c>
      <c r="J61" s="28">
        <v>2</v>
      </c>
      <c r="K61" s="28">
        <v>-1</v>
      </c>
      <c r="L61" s="27">
        <v>-1</v>
      </c>
      <c r="M61" s="27">
        <v>4</v>
      </c>
      <c r="N61" s="27">
        <v>3</v>
      </c>
      <c r="O61" s="27">
        <v>4</v>
      </c>
      <c r="P61" s="27">
        <v>-1</v>
      </c>
      <c r="Q61" s="27">
        <v>4</v>
      </c>
      <c r="R61" s="27">
        <v>4</v>
      </c>
      <c r="S61" s="28">
        <v>10</v>
      </c>
      <c r="T61" s="28">
        <v>19</v>
      </c>
      <c r="U61" s="33">
        <f t="shared" si="0"/>
        <v>29</v>
      </c>
      <c r="V61" s="29">
        <f t="shared" si="1"/>
        <v>29</v>
      </c>
      <c r="W61" s="30">
        <v>29</v>
      </c>
      <c r="X61" s="27">
        <f t="shared" si="2"/>
        <v>0</v>
      </c>
    </row>
    <row r="62" spans="1:24" ht="21.75" customHeight="1" x14ac:dyDescent="0.2">
      <c r="A62" s="32">
        <v>58</v>
      </c>
      <c r="B62" s="27" t="s">
        <v>65</v>
      </c>
      <c r="C62" s="27">
        <v>23510250249</v>
      </c>
      <c r="D62" s="27">
        <v>9518544072</v>
      </c>
      <c r="E62" s="28">
        <v>1</v>
      </c>
      <c r="F62" s="28">
        <v>2</v>
      </c>
      <c r="G62" s="28">
        <v>-1</v>
      </c>
      <c r="H62" s="28">
        <v>2</v>
      </c>
      <c r="I62" s="28">
        <v>2</v>
      </c>
      <c r="J62" s="28">
        <v>2</v>
      </c>
      <c r="K62" s="28">
        <v>-1</v>
      </c>
      <c r="L62" s="27">
        <v>2</v>
      </c>
      <c r="M62" s="27">
        <v>2</v>
      </c>
      <c r="N62" s="27">
        <v>1</v>
      </c>
      <c r="O62" s="27">
        <v>0</v>
      </c>
      <c r="P62" s="27">
        <v>1</v>
      </c>
      <c r="Q62" s="27">
        <v>4</v>
      </c>
      <c r="R62" s="27">
        <v>-1</v>
      </c>
      <c r="S62" s="28">
        <v>9</v>
      </c>
      <c r="T62" s="28">
        <v>10</v>
      </c>
      <c r="U62" s="33">
        <f t="shared" si="0"/>
        <v>19</v>
      </c>
      <c r="V62" s="29">
        <f t="shared" si="1"/>
        <v>19</v>
      </c>
      <c r="W62" s="30">
        <v>19</v>
      </c>
      <c r="X62" s="27">
        <f t="shared" si="2"/>
        <v>0</v>
      </c>
    </row>
    <row r="63" spans="1:24" ht="21.75" customHeight="1" x14ac:dyDescent="0.2">
      <c r="A63" s="26">
        <v>59</v>
      </c>
      <c r="B63" s="27" t="s">
        <v>66</v>
      </c>
      <c r="C63" s="27">
        <v>23510250250</v>
      </c>
      <c r="D63" s="27">
        <v>9309314034</v>
      </c>
      <c r="E63" s="28">
        <v>2</v>
      </c>
      <c r="F63" s="28">
        <v>2</v>
      </c>
      <c r="G63" s="28">
        <v>2</v>
      </c>
      <c r="H63" s="28">
        <v>2</v>
      </c>
      <c r="I63" s="28">
        <v>2</v>
      </c>
      <c r="J63" s="28">
        <v>2</v>
      </c>
      <c r="K63" s="28">
        <v>2</v>
      </c>
      <c r="L63" s="27">
        <v>-1</v>
      </c>
      <c r="M63" s="27">
        <v>4</v>
      </c>
      <c r="N63" s="27">
        <v>4</v>
      </c>
      <c r="O63" s="27">
        <v>4</v>
      </c>
      <c r="P63" s="27">
        <v>4</v>
      </c>
      <c r="Q63" s="27">
        <v>4</v>
      </c>
      <c r="R63" s="27">
        <v>3</v>
      </c>
      <c r="S63" s="28">
        <v>10</v>
      </c>
      <c r="T63" s="28">
        <v>20</v>
      </c>
      <c r="U63" s="33">
        <f t="shared" si="0"/>
        <v>30</v>
      </c>
      <c r="V63" s="29">
        <f t="shared" si="1"/>
        <v>37</v>
      </c>
      <c r="W63" s="30">
        <v>30</v>
      </c>
      <c r="X63" s="27">
        <f t="shared" si="2"/>
        <v>0</v>
      </c>
    </row>
    <row r="64" spans="1:24" ht="21.75" customHeight="1" x14ac:dyDescent="0.2">
      <c r="A64" s="32">
        <v>60</v>
      </c>
      <c r="B64" s="27" t="s">
        <v>67</v>
      </c>
      <c r="C64" s="27">
        <v>23510250251</v>
      </c>
      <c r="D64" s="27">
        <v>9561453906</v>
      </c>
      <c r="E64" s="28">
        <v>2</v>
      </c>
      <c r="F64" s="28">
        <v>2</v>
      </c>
      <c r="G64" s="28">
        <v>2</v>
      </c>
      <c r="H64" s="28">
        <v>2</v>
      </c>
      <c r="I64" s="28">
        <v>2</v>
      </c>
      <c r="J64" s="28">
        <v>-1</v>
      </c>
      <c r="K64" s="28">
        <v>-1</v>
      </c>
      <c r="L64" s="27">
        <v>4</v>
      </c>
      <c r="M64" s="27">
        <v>4</v>
      </c>
      <c r="N64" s="27">
        <v>4</v>
      </c>
      <c r="O64" s="27">
        <v>4</v>
      </c>
      <c r="P64" s="27">
        <v>-1</v>
      </c>
      <c r="Q64" s="27">
        <v>4</v>
      </c>
      <c r="R64" s="27">
        <v>4</v>
      </c>
      <c r="S64" s="28">
        <v>10</v>
      </c>
      <c r="T64" s="28">
        <v>20</v>
      </c>
      <c r="U64" s="33">
        <f t="shared" si="0"/>
        <v>30</v>
      </c>
      <c r="V64" s="29">
        <f t="shared" si="1"/>
        <v>34</v>
      </c>
      <c r="W64" s="30">
        <v>30</v>
      </c>
      <c r="X64" s="27">
        <f t="shared" si="2"/>
        <v>0</v>
      </c>
    </row>
    <row r="65" spans="1:24" ht="21.75" customHeight="1" x14ac:dyDescent="0.2">
      <c r="A65" s="26">
        <v>61</v>
      </c>
      <c r="B65" s="27" t="s">
        <v>68</v>
      </c>
      <c r="C65" s="27">
        <v>99</v>
      </c>
      <c r="D65" s="27">
        <v>99</v>
      </c>
      <c r="E65" s="28">
        <v>2</v>
      </c>
      <c r="F65" s="28">
        <v>2</v>
      </c>
      <c r="G65" s="28">
        <v>2</v>
      </c>
      <c r="H65" s="28">
        <v>2</v>
      </c>
      <c r="I65" s="28">
        <v>-1</v>
      </c>
      <c r="J65" s="28">
        <v>2</v>
      </c>
      <c r="K65" s="28">
        <v>-1</v>
      </c>
      <c r="L65" s="27">
        <v>-1</v>
      </c>
      <c r="M65" s="27">
        <v>3</v>
      </c>
      <c r="N65" s="27">
        <v>4</v>
      </c>
      <c r="O65" s="27">
        <v>-1</v>
      </c>
      <c r="P65" s="27">
        <v>-1</v>
      </c>
      <c r="Q65" s="27">
        <v>4</v>
      </c>
      <c r="R65" s="27">
        <v>-1</v>
      </c>
      <c r="S65" s="28">
        <v>10</v>
      </c>
      <c r="T65" s="28">
        <v>11</v>
      </c>
      <c r="U65" s="33">
        <f t="shared" si="0"/>
        <v>21</v>
      </c>
      <c r="V65" s="29">
        <f t="shared" si="1"/>
        <v>21</v>
      </c>
      <c r="W65" s="30">
        <v>21</v>
      </c>
      <c r="X65" s="31">
        <f t="shared" si="2"/>
        <v>0</v>
      </c>
    </row>
    <row r="66" spans="1:24" ht="25.5" customHeight="1" x14ac:dyDescent="0.2">
      <c r="A66" s="32">
        <v>62</v>
      </c>
      <c r="B66" s="27" t="s">
        <v>69</v>
      </c>
      <c r="C66" s="27">
        <v>23510250254</v>
      </c>
      <c r="D66" s="27">
        <v>9518369835</v>
      </c>
      <c r="E66" s="28">
        <v>2</v>
      </c>
      <c r="F66" s="28">
        <v>2</v>
      </c>
      <c r="G66" s="28">
        <v>1</v>
      </c>
      <c r="H66" s="28">
        <v>2</v>
      </c>
      <c r="I66" s="28">
        <v>2</v>
      </c>
      <c r="J66" s="28">
        <v>2</v>
      </c>
      <c r="K66" s="28">
        <v>-1</v>
      </c>
      <c r="L66" s="27">
        <v>3</v>
      </c>
      <c r="M66" s="27">
        <v>4</v>
      </c>
      <c r="N66" s="27">
        <v>4</v>
      </c>
      <c r="O66" s="27">
        <v>-1</v>
      </c>
      <c r="P66" s="27">
        <v>2</v>
      </c>
      <c r="Q66" s="27">
        <v>4</v>
      </c>
      <c r="R66" s="27">
        <v>2</v>
      </c>
      <c r="S66" s="28">
        <v>10</v>
      </c>
      <c r="T66" s="28">
        <v>17</v>
      </c>
      <c r="U66" s="33">
        <f t="shared" si="0"/>
        <v>27</v>
      </c>
      <c r="V66" s="29">
        <f t="shared" si="1"/>
        <v>30</v>
      </c>
      <c r="W66" s="30">
        <v>27</v>
      </c>
      <c r="X66" s="27">
        <f t="shared" si="2"/>
        <v>0</v>
      </c>
    </row>
    <row r="67" spans="1:24" ht="21.75" customHeight="1" x14ac:dyDescent="0.2">
      <c r="A67" s="26">
        <v>63</v>
      </c>
      <c r="B67" s="27" t="s">
        <v>70</v>
      </c>
      <c r="C67" s="27">
        <v>23510250255</v>
      </c>
      <c r="D67" s="27">
        <v>8080446594</v>
      </c>
      <c r="E67" s="28">
        <v>2</v>
      </c>
      <c r="F67" s="28">
        <v>-1</v>
      </c>
      <c r="G67" s="28">
        <v>-1</v>
      </c>
      <c r="H67" s="28">
        <v>2</v>
      </c>
      <c r="I67" s="28">
        <v>2</v>
      </c>
      <c r="J67" s="28">
        <v>2</v>
      </c>
      <c r="K67" s="28">
        <v>2</v>
      </c>
      <c r="L67" s="27">
        <v>3</v>
      </c>
      <c r="M67" s="27">
        <v>4</v>
      </c>
      <c r="N67" s="27">
        <v>3</v>
      </c>
      <c r="O67" s="27">
        <v>1</v>
      </c>
      <c r="P67" s="27">
        <v>-1</v>
      </c>
      <c r="Q67" s="27">
        <v>2</v>
      </c>
      <c r="R67" s="27">
        <v>-1</v>
      </c>
      <c r="S67" s="28">
        <v>10</v>
      </c>
      <c r="T67" s="28">
        <v>13</v>
      </c>
      <c r="U67" s="33">
        <f t="shared" si="0"/>
        <v>23</v>
      </c>
      <c r="V67" s="29">
        <f t="shared" si="1"/>
        <v>23</v>
      </c>
      <c r="W67" s="30">
        <v>23</v>
      </c>
      <c r="X67" s="27">
        <f t="shared" si="2"/>
        <v>0</v>
      </c>
    </row>
    <row r="68" spans="1:24" ht="34.5" customHeight="1" x14ac:dyDescent="0.2">
      <c r="A68" s="32">
        <v>64</v>
      </c>
      <c r="B68" s="27" t="s">
        <v>71</v>
      </c>
      <c r="C68" s="27">
        <v>99</v>
      </c>
      <c r="D68" s="27">
        <v>99</v>
      </c>
      <c r="E68" s="28">
        <v>1</v>
      </c>
      <c r="F68" s="28">
        <v>2</v>
      </c>
      <c r="G68" s="28">
        <v>1</v>
      </c>
      <c r="H68" s="28">
        <v>0</v>
      </c>
      <c r="I68" s="28">
        <v>-1</v>
      </c>
      <c r="J68" s="28">
        <v>2</v>
      </c>
      <c r="K68" s="28">
        <v>-1</v>
      </c>
      <c r="L68" s="27">
        <v>3</v>
      </c>
      <c r="M68" s="27">
        <v>1</v>
      </c>
      <c r="N68" s="27">
        <v>3</v>
      </c>
      <c r="O68" s="27">
        <v>3</v>
      </c>
      <c r="P68" s="27">
        <v>-1</v>
      </c>
      <c r="Q68" s="27">
        <v>-1</v>
      </c>
      <c r="R68" s="27">
        <v>-1</v>
      </c>
      <c r="S68" s="28">
        <v>6</v>
      </c>
      <c r="T68" s="28">
        <v>10</v>
      </c>
      <c r="U68" s="33">
        <f t="shared" si="0"/>
        <v>16</v>
      </c>
      <c r="V68" s="29">
        <f t="shared" si="1"/>
        <v>16</v>
      </c>
      <c r="W68" s="30">
        <v>16</v>
      </c>
      <c r="X68" s="31">
        <f t="shared" si="2"/>
        <v>0</v>
      </c>
    </row>
    <row r="69" spans="1:24" ht="21.75" customHeight="1" x14ac:dyDescent="0.2">
      <c r="A69" s="26">
        <v>65</v>
      </c>
      <c r="B69" s="27" t="s">
        <v>72</v>
      </c>
      <c r="C69" s="27">
        <v>23510250524</v>
      </c>
      <c r="D69" s="27">
        <v>8087681892</v>
      </c>
      <c r="E69" s="28">
        <v>2</v>
      </c>
      <c r="F69" s="28">
        <v>2</v>
      </c>
      <c r="G69" s="28">
        <v>2</v>
      </c>
      <c r="H69" s="28">
        <v>2</v>
      </c>
      <c r="I69" s="28">
        <v>2</v>
      </c>
      <c r="J69" s="28">
        <v>-1</v>
      </c>
      <c r="K69" s="28">
        <v>2</v>
      </c>
      <c r="L69" s="27">
        <v>4</v>
      </c>
      <c r="M69" s="27">
        <v>4</v>
      </c>
      <c r="N69" s="27">
        <v>4</v>
      </c>
      <c r="O69" s="27">
        <v>4</v>
      </c>
      <c r="P69" s="27">
        <v>4</v>
      </c>
      <c r="Q69" s="27">
        <v>4</v>
      </c>
      <c r="R69" s="27">
        <v>4</v>
      </c>
      <c r="S69" s="28">
        <v>10</v>
      </c>
      <c r="T69" s="28">
        <v>20</v>
      </c>
      <c r="U69" s="33">
        <f t="shared" si="0"/>
        <v>30</v>
      </c>
      <c r="V69" s="29">
        <f t="shared" si="1"/>
        <v>40</v>
      </c>
      <c r="W69" s="30">
        <v>30</v>
      </c>
      <c r="X69" s="27">
        <f t="shared" si="2"/>
        <v>0</v>
      </c>
    </row>
    <row r="70" spans="1:24" ht="21.75" customHeight="1" x14ac:dyDescent="0.2"/>
  </sheetData>
  <mergeCells count="5">
    <mergeCell ref="A1:X1"/>
    <mergeCell ref="A2:X2"/>
    <mergeCell ref="A3:H3"/>
    <mergeCell ref="O3:X3"/>
    <mergeCell ref="J3:L3"/>
  </mergeCells>
  <dataValidations count="1">
    <dataValidation type="custom" allowBlank="1" showDropDown="1" sqref="E5:R69">
      <formula1>AND(ISNUMBER(E5),(NOT(OR(NOT(ISERROR(DATEVALUE(E5))), AND(ISNUMBER(E5), LEFT(CELL("format", E5))="D")))))</formula1>
    </dataValidation>
  </dataValidations>
  <pageMargins left="0.45" right="0.45" top="0.75" bottom="0.75" header="0.3" footer="0.3"/>
  <pageSetup paperSize="9" scale="51" orientation="landscape" verticalDpi="0" r:id="rId1"/>
  <headerFooter>
    <oddHeader>Page &amp;P of &amp;N</oddHeader>
  </headerFooter>
  <rowBreaks count="1" manualBreakCount="1">
    <brk id="38" max="16383" man="1"/>
  </row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66"/>
  <sheetViews>
    <sheetView workbookViewId="0">
      <selection activeCell="H1" sqref="H1"/>
    </sheetView>
  </sheetViews>
  <sheetFormatPr defaultColWidth="12.5703125" defaultRowHeight="15.75" customHeight="1" x14ac:dyDescent="0.2"/>
  <cols>
    <col min="2" max="2" width="14.5703125" customWidth="1"/>
    <col min="3" max="3" width="35.42578125" customWidth="1"/>
    <col min="4" max="4" width="9.5703125" hidden="1" customWidth="1"/>
    <col min="5" max="5" width="10.42578125" hidden="1" customWidth="1"/>
    <col min="6" max="6" width="9.42578125" hidden="1" customWidth="1"/>
    <col min="7" max="7" width="12.5703125" hidden="1"/>
  </cols>
  <sheetData>
    <row r="1" spans="1:8" ht="33" customHeight="1" x14ac:dyDescent="0.2">
      <c r="A1" s="1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</row>
    <row r="2" spans="1:8" ht="15" x14ac:dyDescent="0.25">
      <c r="A2" s="3">
        <v>1</v>
      </c>
      <c r="B2" s="4">
        <v>2201180008</v>
      </c>
      <c r="C2" s="5" t="s">
        <v>81</v>
      </c>
      <c r="D2" s="5" t="s">
        <v>82</v>
      </c>
      <c r="E2" s="6">
        <v>38760</v>
      </c>
      <c r="F2" s="7" t="s">
        <v>83</v>
      </c>
      <c r="G2" s="8"/>
      <c r="H2" s="9">
        <v>12</v>
      </c>
    </row>
    <row r="3" spans="1:8" ht="15" x14ac:dyDescent="0.25">
      <c r="A3" s="3">
        <v>2</v>
      </c>
      <c r="B3" s="4">
        <v>23510250191</v>
      </c>
      <c r="C3" s="5" t="s">
        <v>84</v>
      </c>
      <c r="D3" s="5" t="s">
        <v>82</v>
      </c>
      <c r="E3" s="10">
        <v>39469</v>
      </c>
      <c r="F3" s="7" t="s">
        <v>85</v>
      </c>
      <c r="G3" s="8"/>
      <c r="H3" s="9">
        <v>26</v>
      </c>
    </row>
    <row r="4" spans="1:8" ht="15" x14ac:dyDescent="0.25">
      <c r="A4" s="3">
        <v>3</v>
      </c>
      <c r="B4" s="4">
        <v>23510250192</v>
      </c>
      <c r="C4" s="5" t="s">
        <v>86</v>
      </c>
      <c r="D4" s="5" t="s">
        <v>87</v>
      </c>
      <c r="E4" s="10">
        <v>39329</v>
      </c>
      <c r="F4" s="7" t="s">
        <v>85</v>
      </c>
      <c r="G4" s="8"/>
      <c r="H4" s="9">
        <v>13</v>
      </c>
    </row>
    <row r="5" spans="1:8" ht="15" x14ac:dyDescent="0.25">
      <c r="A5" s="3">
        <v>4</v>
      </c>
      <c r="B5" s="4">
        <v>23510250193</v>
      </c>
      <c r="C5" s="5" t="s">
        <v>88</v>
      </c>
      <c r="D5" s="5" t="s">
        <v>82</v>
      </c>
      <c r="E5" s="10">
        <v>39157</v>
      </c>
      <c r="F5" s="7" t="s">
        <v>83</v>
      </c>
      <c r="G5" s="8"/>
      <c r="H5" s="9">
        <v>10</v>
      </c>
    </row>
    <row r="6" spans="1:8" ht="15" x14ac:dyDescent="0.25">
      <c r="A6" s="3">
        <v>5</v>
      </c>
      <c r="B6" s="4">
        <v>23510250194</v>
      </c>
      <c r="C6" s="5" t="s">
        <v>89</v>
      </c>
      <c r="D6" s="5" t="s">
        <v>82</v>
      </c>
      <c r="E6" s="10">
        <v>39171</v>
      </c>
      <c r="F6" s="7" t="s">
        <v>85</v>
      </c>
      <c r="G6" s="8"/>
      <c r="H6" s="9">
        <v>27</v>
      </c>
    </row>
    <row r="7" spans="1:8" ht="15" x14ac:dyDescent="0.25">
      <c r="A7" s="3">
        <v>6</v>
      </c>
      <c r="B7" s="4">
        <v>23510250195</v>
      </c>
      <c r="C7" s="5" t="s">
        <v>90</v>
      </c>
      <c r="D7" s="5" t="s">
        <v>82</v>
      </c>
      <c r="E7" s="10">
        <v>39272</v>
      </c>
      <c r="F7" s="7" t="s">
        <v>91</v>
      </c>
      <c r="G7" s="8"/>
      <c r="H7" s="9">
        <v>28</v>
      </c>
    </row>
    <row r="8" spans="1:8" ht="15" x14ac:dyDescent="0.25">
      <c r="A8" s="3">
        <v>7</v>
      </c>
      <c r="B8" s="4">
        <v>23510250196</v>
      </c>
      <c r="C8" s="5" t="s">
        <v>92</v>
      </c>
      <c r="D8" s="5" t="s">
        <v>82</v>
      </c>
      <c r="E8" s="10">
        <v>39336</v>
      </c>
      <c r="F8" s="7" t="s">
        <v>93</v>
      </c>
      <c r="G8" s="8"/>
      <c r="H8" s="9">
        <v>20</v>
      </c>
    </row>
    <row r="9" spans="1:8" ht="15" x14ac:dyDescent="0.25">
      <c r="A9" s="3">
        <v>8</v>
      </c>
      <c r="B9" s="4">
        <v>23510250197</v>
      </c>
      <c r="C9" s="5" t="s">
        <v>94</v>
      </c>
      <c r="D9" s="5" t="s">
        <v>82</v>
      </c>
      <c r="E9" s="10">
        <v>39320</v>
      </c>
      <c r="F9" s="7" t="s">
        <v>85</v>
      </c>
      <c r="G9" s="11" t="s">
        <v>95</v>
      </c>
      <c r="H9" s="9">
        <v>21</v>
      </c>
    </row>
    <row r="10" spans="1:8" ht="15" x14ac:dyDescent="0.25">
      <c r="A10" s="3">
        <v>9</v>
      </c>
      <c r="B10" s="4">
        <v>23510250198</v>
      </c>
      <c r="C10" s="5" t="s">
        <v>96</v>
      </c>
      <c r="D10" s="5" t="s">
        <v>82</v>
      </c>
      <c r="E10" s="10">
        <v>39214</v>
      </c>
      <c r="F10" s="7" t="s">
        <v>85</v>
      </c>
      <c r="G10" s="8"/>
      <c r="H10" s="9">
        <v>29</v>
      </c>
    </row>
    <row r="11" spans="1:8" ht="15" x14ac:dyDescent="0.25">
      <c r="A11" s="3">
        <v>10</v>
      </c>
      <c r="B11" s="4">
        <v>23510250199</v>
      </c>
      <c r="C11" s="5" t="s">
        <v>97</v>
      </c>
      <c r="D11" s="5" t="s">
        <v>82</v>
      </c>
      <c r="E11" s="10">
        <v>39308</v>
      </c>
      <c r="F11" s="7" t="s">
        <v>85</v>
      </c>
      <c r="G11" s="8"/>
      <c r="H11" s="9">
        <v>18</v>
      </c>
    </row>
    <row r="12" spans="1:8" ht="15" x14ac:dyDescent="0.25">
      <c r="A12" s="3">
        <v>11</v>
      </c>
      <c r="B12" s="4">
        <v>23510250200</v>
      </c>
      <c r="C12" s="5" t="s">
        <v>98</v>
      </c>
      <c r="D12" s="5" t="s">
        <v>82</v>
      </c>
      <c r="E12" s="10">
        <v>38551</v>
      </c>
      <c r="F12" s="7" t="s">
        <v>85</v>
      </c>
      <c r="G12" s="8"/>
      <c r="H12" s="9">
        <v>13</v>
      </c>
    </row>
    <row r="13" spans="1:8" ht="15" x14ac:dyDescent="0.25">
      <c r="A13" s="3">
        <v>12</v>
      </c>
      <c r="B13" s="4">
        <v>23510250201</v>
      </c>
      <c r="C13" s="5" t="s">
        <v>99</v>
      </c>
      <c r="D13" s="5" t="s">
        <v>82</v>
      </c>
      <c r="E13" s="10">
        <v>39283</v>
      </c>
      <c r="F13" s="7" t="s">
        <v>85</v>
      </c>
      <c r="G13" s="8"/>
      <c r="H13" s="9">
        <v>25</v>
      </c>
    </row>
    <row r="14" spans="1:8" ht="15" x14ac:dyDescent="0.25">
      <c r="A14" s="3">
        <v>13</v>
      </c>
      <c r="B14" s="4">
        <v>23510250202</v>
      </c>
      <c r="C14" s="5" t="s">
        <v>100</v>
      </c>
      <c r="D14" s="5" t="s">
        <v>87</v>
      </c>
      <c r="E14" s="10">
        <v>39429</v>
      </c>
      <c r="F14" s="7" t="s">
        <v>85</v>
      </c>
      <c r="G14" s="11" t="s">
        <v>95</v>
      </c>
      <c r="H14" s="9">
        <v>3</v>
      </c>
    </row>
    <row r="15" spans="1:8" ht="15" x14ac:dyDescent="0.25">
      <c r="A15" s="3">
        <v>14</v>
      </c>
      <c r="B15" s="4">
        <v>23510250203</v>
      </c>
      <c r="C15" s="5" t="s">
        <v>101</v>
      </c>
      <c r="D15" s="5" t="s">
        <v>87</v>
      </c>
      <c r="E15" s="10">
        <v>39161</v>
      </c>
      <c r="F15" s="7" t="s">
        <v>91</v>
      </c>
      <c r="G15" s="8"/>
      <c r="H15" s="9">
        <v>20</v>
      </c>
    </row>
    <row r="16" spans="1:8" ht="15" x14ac:dyDescent="0.25">
      <c r="A16" s="3">
        <v>15</v>
      </c>
      <c r="B16" s="4">
        <v>23510250204</v>
      </c>
      <c r="C16" s="5" t="s">
        <v>102</v>
      </c>
      <c r="D16" s="5" t="s">
        <v>82</v>
      </c>
      <c r="E16" s="10">
        <v>39322</v>
      </c>
      <c r="F16" s="7" t="s">
        <v>91</v>
      </c>
      <c r="G16" s="8"/>
      <c r="H16" s="9">
        <v>18</v>
      </c>
    </row>
    <row r="17" spans="1:8" ht="15" x14ac:dyDescent="0.25">
      <c r="A17" s="3">
        <v>16</v>
      </c>
      <c r="B17" s="4">
        <v>23510250205</v>
      </c>
      <c r="C17" s="5" t="s">
        <v>103</v>
      </c>
      <c r="D17" s="5" t="s">
        <v>82</v>
      </c>
      <c r="E17" s="10">
        <v>39219</v>
      </c>
      <c r="F17" s="7" t="s">
        <v>104</v>
      </c>
      <c r="G17" s="8"/>
      <c r="H17" s="9">
        <v>25</v>
      </c>
    </row>
    <row r="18" spans="1:8" ht="15" x14ac:dyDescent="0.25">
      <c r="A18" s="3">
        <v>17</v>
      </c>
      <c r="B18" s="4">
        <v>23510250206</v>
      </c>
      <c r="C18" s="5" t="s">
        <v>105</v>
      </c>
      <c r="D18" s="5" t="s">
        <v>82</v>
      </c>
      <c r="E18" s="10">
        <v>39345</v>
      </c>
      <c r="F18" s="7" t="s">
        <v>85</v>
      </c>
      <c r="G18" s="12" t="s">
        <v>106</v>
      </c>
      <c r="H18" s="9">
        <v>14</v>
      </c>
    </row>
    <row r="19" spans="1:8" ht="15" x14ac:dyDescent="0.25">
      <c r="A19" s="3">
        <v>18</v>
      </c>
      <c r="B19" s="4">
        <v>23510250207</v>
      </c>
      <c r="C19" s="5" t="s">
        <v>107</v>
      </c>
      <c r="D19" s="5" t="s">
        <v>87</v>
      </c>
      <c r="E19" s="10">
        <v>39169</v>
      </c>
      <c r="F19" s="7" t="s">
        <v>93</v>
      </c>
      <c r="G19" s="8"/>
      <c r="H19" s="9">
        <v>22</v>
      </c>
    </row>
    <row r="20" spans="1:8" ht="15" x14ac:dyDescent="0.25">
      <c r="A20" s="3">
        <v>19</v>
      </c>
      <c r="B20" s="4">
        <v>23510250208</v>
      </c>
      <c r="C20" s="5" t="s">
        <v>108</v>
      </c>
      <c r="D20" s="5" t="s">
        <v>87</v>
      </c>
      <c r="E20" s="10">
        <v>38953</v>
      </c>
      <c r="F20" s="7" t="s">
        <v>93</v>
      </c>
      <c r="G20" s="8"/>
      <c r="H20" s="9">
        <v>28</v>
      </c>
    </row>
    <row r="21" spans="1:8" ht="15" x14ac:dyDescent="0.25">
      <c r="A21" s="3">
        <v>20</v>
      </c>
      <c r="B21" s="4">
        <v>23510250209</v>
      </c>
      <c r="C21" s="5" t="s">
        <v>109</v>
      </c>
      <c r="D21" s="5" t="s">
        <v>82</v>
      </c>
      <c r="E21" s="10">
        <v>39353</v>
      </c>
      <c r="F21" s="7" t="s">
        <v>91</v>
      </c>
      <c r="G21" s="8"/>
      <c r="H21" s="9">
        <v>28</v>
      </c>
    </row>
    <row r="22" spans="1:8" ht="15" x14ac:dyDescent="0.25">
      <c r="A22" s="3">
        <v>21</v>
      </c>
      <c r="B22" s="4">
        <v>23510250210</v>
      </c>
      <c r="C22" s="5" t="s">
        <v>110</v>
      </c>
      <c r="D22" s="5" t="s">
        <v>87</v>
      </c>
      <c r="E22" s="10">
        <v>39295</v>
      </c>
      <c r="F22" s="7" t="s">
        <v>91</v>
      </c>
      <c r="G22" s="8"/>
      <c r="H22" s="9">
        <v>16</v>
      </c>
    </row>
    <row r="23" spans="1:8" ht="15" x14ac:dyDescent="0.25">
      <c r="A23" s="3">
        <v>22</v>
      </c>
      <c r="B23" s="4">
        <v>23510250211</v>
      </c>
      <c r="C23" s="5" t="s">
        <v>111</v>
      </c>
      <c r="D23" s="5" t="s">
        <v>82</v>
      </c>
      <c r="E23" s="10">
        <v>39438</v>
      </c>
      <c r="F23" s="7" t="s">
        <v>83</v>
      </c>
      <c r="G23" s="8"/>
      <c r="H23" s="9">
        <v>6</v>
      </c>
    </row>
    <row r="24" spans="1:8" ht="15" x14ac:dyDescent="0.25">
      <c r="A24" s="3">
        <v>23</v>
      </c>
      <c r="B24" s="4">
        <v>23510250212</v>
      </c>
      <c r="C24" s="5" t="s">
        <v>112</v>
      </c>
      <c r="D24" s="5" t="s">
        <v>82</v>
      </c>
      <c r="E24" s="10">
        <v>39512</v>
      </c>
      <c r="F24" s="7" t="s">
        <v>85</v>
      </c>
      <c r="G24" s="12" t="s">
        <v>113</v>
      </c>
      <c r="H24" s="9">
        <v>21</v>
      </c>
    </row>
    <row r="25" spans="1:8" ht="15" x14ac:dyDescent="0.25">
      <c r="A25" s="3">
        <v>24</v>
      </c>
      <c r="B25" s="4">
        <v>23510250213</v>
      </c>
      <c r="C25" s="5" t="s">
        <v>114</v>
      </c>
      <c r="D25" s="5" t="s">
        <v>87</v>
      </c>
      <c r="E25" s="10">
        <v>39291</v>
      </c>
      <c r="F25" s="7" t="s">
        <v>91</v>
      </c>
      <c r="G25" s="8"/>
      <c r="H25" s="9">
        <v>9</v>
      </c>
    </row>
    <row r="26" spans="1:8" ht="15" x14ac:dyDescent="0.25">
      <c r="A26" s="3">
        <v>25</v>
      </c>
      <c r="B26" s="4">
        <v>23510250214</v>
      </c>
      <c r="C26" s="5" t="s">
        <v>115</v>
      </c>
      <c r="D26" s="5" t="s">
        <v>87</v>
      </c>
      <c r="E26" s="10">
        <v>39054</v>
      </c>
      <c r="F26" s="7" t="s">
        <v>85</v>
      </c>
      <c r="G26" s="8"/>
      <c r="H26" s="9">
        <v>21</v>
      </c>
    </row>
    <row r="27" spans="1:8" ht="15" x14ac:dyDescent="0.25">
      <c r="A27" s="3">
        <v>26</v>
      </c>
      <c r="B27" s="4">
        <v>23510250215</v>
      </c>
      <c r="C27" s="5" t="s">
        <v>116</v>
      </c>
      <c r="D27" s="5" t="s">
        <v>82</v>
      </c>
      <c r="E27" s="10">
        <v>39109</v>
      </c>
      <c r="F27" s="7" t="s">
        <v>91</v>
      </c>
      <c r="G27" s="8"/>
      <c r="H27" s="9">
        <v>24</v>
      </c>
    </row>
    <row r="28" spans="1:8" ht="15" x14ac:dyDescent="0.25">
      <c r="A28" s="3">
        <v>27</v>
      </c>
      <c r="B28" s="4">
        <v>23510250216</v>
      </c>
      <c r="C28" s="5" t="s">
        <v>117</v>
      </c>
      <c r="D28" s="5" t="s">
        <v>82</v>
      </c>
      <c r="E28" s="10">
        <v>39366</v>
      </c>
      <c r="F28" s="7" t="s">
        <v>85</v>
      </c>
      <c r="G28" s="8"/>
      <c r="H28" s="9">
        <v>23</v>
      </c>
    </row>
    <row r="29" spans="1:8" ht="15" x14ac:dyDescent="0.25">
      <c r="A29" s="3">
        <v>28</v>
      </c>
      <c r="B29" s="4">
        <v>23510250217</v>
      </c>
      <c r="C29" s="5" t="s">
        <v>118</v>
      </c>
      <c r="D29" s="5" t="s">
        <v>82</v>
      </c>
      <c r="E29" s="10">
        <v>39128</v>
      </c>
      <c r="F29" s="7" t="s">
        <v>85</v>
      </c>
      <c r="G29" s="8"/>
      <c r="H29" s="9">
        <v>30</v>
      </c>
    </row>
    <row r="30" spans="1:8" ht="15" x14ac:dyDescent="0.25">
      <c r="A30" s="3">
        <v>29</v>
      </c>
      <c r="B30" s="4">
        <v>23510250218</v>
      </c>
      <c r="C30" s="5" t="s">
        <v>119</v>
      </c>
      <c r="D30" s="5" t="s">
        <v>82</v>
      </c>
      <c r="E30" s="10">
        <v>39370</v>
      </c>
      <c r="F30" s="7" t="s">
        <v>85</v>
      </c>
      <c r="G30" s="8"/>
      <c r="H30" s="9">
        <v>25</v>
      </c>
    </row>
    <row r="31" spans="1:8" ht="15" x14ac:dyDescent="0.25">
      <c r="A31" s="3">
        <v>30</v>
      </c>
      <c r="B31" s="4">
        <v>23510250219</v>
      </c>
      <c r="C31" s="5" t="s">
        <v>120</v>
      </c>
      <c r="D31" s="5" t="s">
        <v>82</v>
      </c>
      <c r="E31" s="10">
        <v>38414</v>
      </c>
      <c r="F31" s="7" t="s">
        <v>85</v>
      </c>
      <c r="G31" s="11" t="s">
        <v>95</v>
      </c>
      <c r="H31" s="9">
        <v>22</v>
      </c>
    </row>
    <row r="32" spans="1:8" ht="15" x14ac:dyDescent="0.25">
      <c r="A32" s="3">
        <v>31</v>
      </c>
      <c r="B32" s="4">
        <v>23510250220</v>
      </c>
      <c r="C32" s="5" t="s">
        <v>121</v>
      </c>
      <c r="D32" s="5" t="s">
        <v>82</v>
      </c>
      <c r="E32" s="10">
        <v>39299</v>
      </c>
      <c r="F32" s="7" t="s">
        <v>83</v>
      </c>
      <c r="G32" s="8"/>
      <c r="H32" s="9">
        <v>16</v>
      </c>
    </row>
    <row r="33" spans="1:8" ht="15" x14ac:dyDescent="0.25">
      <c r="A33" s="3">
        <v>32</v>
      </c>
      <c r="B33" s="4">
        <v>23510250221</v>
      </c>
      <c r="C33" s="5" t="s">
        <v>122</v>
      </c>
      <c r="D33" s="5" t="s">
        <v>82</v>
      </c>
      <c r="E33" s="10">
        <v>39351</v>
      </c>
      <c r="F33" s="7" t="s">
        <v>83</v>
      </c>
      <c r="G33" s="8"/>
      <c r="H33" s="9">
        <v>22</v>
      </c>
    </row>
    <row r="34" spans="1:8" ht="15" x14ac:dyDescent="0.25">
      <c r="A34" s="3">
        <v>33</v>
      </c>
      <c r="B34" s="4">
        <v>23510250222</v>
      </c>
      <c r="C34" s="5" t="s">
        <v>123</v>
      </c>
      <c r="D34" s="5" t="s">
        <v>82</v>
      </c>
      <c r="E34" s="10">
        <v>39280</v>
      </c>
      <c r="F34" s="7" t="s">
        <v>124</v>
      </c>
      <c r="G34" s="8"/>
      <c r="H34" s="9">
        <v>30</v>
      </c>
    </row>
    <row r="35" spans="1:8" ht="15" x14ac:dyDescent="0.25">
      <c r="A35" s="3">
        <v>34</v>
      </c>
      <c r="B35" s="4">
        <v>23510250223</v>
      </c>
      <c r="C35" s="5" t="s">
        <v>125</v>
      </c>
      <c r="D35" s="5" t="s">
        <v>82</v>
      </c>
      <c r="E35" s="10">
        <v>39031</v>
      </c>
      <c r="F35" s="7" t="s">
        <v>83</v>
      </c>
      <c r="G35" s="8"/>
      <c r="H35" s="9">
        <v>15</v>
      </c>
    </row>
    <row r="36" spans="1:8" ht="15" x14ac:dyDescent="0.25">
      <c r="A36" s="3">
        <v>35</v>
      </c>
      <c r="B36" s="4">
        <v>23510250224</v>
      </c>
      <c r="C36" s="5" t="s">
        <v>126</v>
      </c>
      <c r="D36" s="5" t="s">
        <v>82</v>
      </c>
      <c r="E36" s="10">
        <v>38381</v>
      </c>
      <c r="F36" s="7" t="s">
        <v>85</v>
      </c>
      <c r="G36" s="8"/>
      <c r="H36" s="9">
        <v>7</v>
      </c>
    </row>
    <row r="37" spans="1:8" ht="15" x14ac:dyDescent="0.25">
      <c r="A37" s="3">
        <v>36</v>
      </c>
      <c r="B37" s="4">
        <v>23510250225</v>
      </c>
      <c r="C37" s="5" t="s">
        <v>127</v>
      </c>
      <c r="D37" s="5" t="s">
        <v>82</v>
      </c>
      <c r="E37" s="10">
        <v>39286</v>
      </c>
      <c r="F37" s="7" t="s">
        <v>91</v>
      </c>
      <c r="G37" s="8"/>
      <c r="H37" s="9">
        <v>29</v>
      </c>
    </row>
    <row r="38" spans="1:8" ht="15" x14ac:dyDescent="0.25">
      <c r="A38" s="3">
        <v>37</v>
      </c>
      <c r="B38" s="4">
        <v>23510250226</v>
      </c>
      <c r="C38" s="5" t="s">
        <v>128</v>
      </c>
      <c r="D38" s="5" t="s">
        <v>82</v>
      </c>
      <c r="E38" s="10">
        <v>39309</v>
      </c>
      <c r="F38" s="7" t="s">
        <v>83</v>
      </c>
      <c r="G38" s="8"/>
      <c r="H38" s="9">
        <v>30</v>
      </c>
    </row>
    <row r="39" spans="1:8" ht="15" x14ac:dyDescent="0.25">
      <c r="A39" s="3">
        <v>38</v>
      </c>
      <c r="B39" s="4">
        <v>23510250227</v>
      </c>
      <c r="C39" s="5" t="s">
        <v>129</v>
      </c>
      <c r="D39" s="5" t="s">
        <v>87</v>
      </c>
      <c r="E39" s="10">
        <v>38582</v>
      </c>
      <c r="F39" s="7" t="s">
        <v>91</v>
      </c>
      <c r="G39" s="11" t="s">
        <v>130</v>
      </c>
      <c r="H39" s="9">
        <v>30</v>
      </c>
    </row>
    <row r="40" spans="1:8" ht="15" x14ac:dyDescent="0.25">
      <c r="A40" s="3">
        <v>39</v>
      </c>
      <c r="B40" s="4">
        <v>23510250228</v>
      </c>
      <c r="C40" s="5" t="s">
        <v>131</v>
      </c>
      <c r="D40" s="5" t="s">
        <v>82</v>
      </c>
      <c r="E40" s="10">
        <v>38157</v>
      </c>
      <c r="F40" s="7" t="s">
        <v>85</v>
      </c>
      <c r="G40" s="8"/>
      <c r="H40" s="9">
        <v>24</v>
      </c>
    </row>
    <row r="41" spans="1:8" ht="15" x14ac:dyDescent="0.25">
      <c r="A41" s="3">
        <v>40</v>
      </c>
      <c r="B41" s="4">
        <v>23510250231</v>
      </c>
      <c r="C41" s="5" t="s">
        <v>132</v>
      </c>
      <c r="D41" s="5" t="s">
        <v>87</v>
      </c>
      <c r="E41" s="10">
        <v>38717</v>
      </c>
      <c r="F41" s="7" t="s">
        <v>133</v>
      </c>
      <c r="G41" s="8"/>
      <c r="H41" s="9">
        <v>12</v>
      </c>
    </row>
    <row r="42" spans="1:8" ht="15" x14ac:dyDescent="0.25">
      <c r="A42" s="3">
        <v>41</v>
      </c>
      <c r="B42" s="4">
        <v>23510250232</v>
      </c>
      <c r="C42" s="5" t="s">
        <v>134</v>
      </c>
      <c r="D42" s="5" t="s">
        <v>82</v>
      </c>
      <c r="E42" s="10">
        <v>38944</v>
      </c>
      <c r="F42" s="7" t="s">
        <v>85</v>
      </c>
      <c r="G42" s="8"/>
      <c r="H42" s="9">
        <v>17</v>
      </c>
    </row>
    <row r="43" spans="1:8" ht="15" x14ac:dyDescent="0.25">
      <c r="A43" s="3">
        <v>42</v>
      </c>
      <c r="B43" s="4">
        <v>23510250233</v>
      </c>
      <c r="C43" s="5" t="s">
        <v>135</v>
      </c>
      <c r="D43" s="5" t="s">
        <v>82</v>
      </c>
      <c r="E43" s="10">
        <v>39392</v>
      </c>
      <c r="F43" s="7" t="s">
        <v>85</v>
      </c>
      <c r="G43" s="8"/>
      <c r="H43" s="9">
        <v>30</v>
      </c>
    </row>
    <row r="44" spans="1:8" ht="15" x14ac:dyDescent="0.25">
      <c r="A44" s="3">
        <v>43</v>
      </c>
      <c r="B44" s="4">
        <v>23510250234</v>
      </c>
      <c r="C44" s="5" t="s">
        <v>136</v>
      </c>
      <c r="D44" s="5" t="s">
        <v>82</v>
      </c>
      <c r="E44" s="10">
        <v>39314</v>
      </c>
      <c r="F44" s="7" t="s">
        <v>91</v>
      </c>
      <c r="G44" s="8"/>
      <c r="H44" s="9">
        <v>30</v>
      </c>
    </row>
    <row r="45" spans="1:8" ht="15" x14ac:dyDescent="0.25">
      <c r="A45" s="3">
        <v>44</v>
      </c>
      <c r="B45" s="4">
        <v>23510250235</v>
      </c>
      <c r="C45" s="5" t="s">
        <v>137</v>
      </c>
      <c r="D45" s="5" t="s">
        <v>82</v>
      </c>
      <c r="E45" s="10">
        <v>38755</v>
      </c>
      <c r="F45" s="7" t="s">
        <v>85</v>
      </c>
      <c r="G45" s="8"/>
      <c r="H45" s="9">
        <v>27</v>
      </c>
    </row>
    <row r="46" spans="1:8" ht="15" x14ac:dyDescent="0.25">
      <c r="A46" s="3">
        <v>45</v>
      </c>
      <c r="B46" s="4">
        <v>23510250236</v>
      </c>
      <c r="C46" s="5" t="s">
        <v>138</v>
      </c>
      <c r="D46" s="5" t="s">
        <v>82</v>
      </c>
      <c r="E46" s="10">
        <v>39249</v>
      </c>
      <c r="F46" s="7" t="s">
        <v>91</v>
      </c>
      <c r="G46" s="8"/>
      <c r="H46" s="9">
        <v>26</v>
      </c>
    </row>
    <row r="47" spans="1:8" ht="15" x14ac:dyDescent="0.25">
      <c r="A47" s="3">
        <v>46</v>
      </c>
      <c r="B47" s="4">
        <v>23510250237</v>
      </c>
      <c r="C47" s="5" t="s">
        <v>139</v>
      </c>
      <c r="D47" s="5" t="s">
        <v>82</v>
      </c>
      <c r="E47" s="10">
        <v>38993</v>
      </c>
      <c r="F47" s="7" t="s">
        <v>85</v>
      </c>
      <c r="G47" s="8"/>
      <c r="H47" s="9">
        <v>30</v>
      </c>
    </row>
    <row r="48" spans="1:8" ht="15" x14ac:dyDescent="0.25">
      <c r="A48" s="3">
        <v>47</v>
      </c>
      <c r="B48" s="4">
        <v>23510250238</v>
      </c>
      <c r="C48" s="5" t="s">
        <v>140</v>
      </c>
      <c r="D48" s="5" t="s">
        <v>82</v>
      </c>
      <c r="E48" s="10">
        <v>39212</v>
      </c>
      <c r="F48" s="7" t="s">
        <v>83</v>
      </c>
      <c r="G48" s="8"/>
      <c r="H48" s="9">
        <v>30</v>
      </c>
    </row>
    <row r="49" spans="1:8" ht="15" x14ac:dyDescent="0.25">
      <c r="A49" s="3">
        <v>48</v>
      </c>
      <c r="B49" s="4">
        <v>23510250239</v>
      </c>
      <c r="C49" s="5" t="s">
        <v>141</v>
      </c>
      <c r="D49" s="5" t="s">
        <v>82</v>
      </c>
      <c r="E49" s="10">
        <v>39156</v>
      </c>
      <c r="F49" s="7" t="s">
        <v>85</v>
      </c>
      <c r="G49" s="11" t="s">
        <v>95</v>
      </c>
      <c r="H49" s="9">
        <v>29</v>
      </c>
    </row>
    <row r="50" spans="1:8" ht="15" x14ac:dyDescent="0.25">
      <c r="A50" s="3">
        <v>49</v>
      </c>
      <c r="B50" s="4">
        <v>23510250240</v>
      </c>
      <c r="C50" s="5" t="s">
        <v>142</v>
      </c>
      <c r="D50" s="5" t="s">
        <v>82</v>
      </c>
      <c r="E50" s="10">
        <v>39259</v>
      </c>
      <c r="F50" s="7" t="s">
        <v>85</v>
      </c>
      <c r="G50" s="8"/>
      <c r="H50" s="9">
        <v>30</v>
      </c>
    </row>
    <row r="51" spans="1:8" ht="15" x14ac:dyDescent="0.25">
      <c r="A51" s="3">
        <v>50</v>
      </c>
      <c r="B51" s="4">
        <v>23510250241</v>
      </c>
      <c r="C51" s="5" t="s">
        <v>143</v>
      </c>
      <c r="D51" s="5" t="s">
        <v>82</v>
      </c>
      <c r="E51" s="10">
        <v>39371</v>
      </c>
      <c r="F51" s="7" t="s">
        <v>144</v>
      </c>
      <c r="G51" s="8"/>
      <c r="H51" s="9">
        <v>24</v>
      </c>
    </row>
    <row r="52" spans="1:8" ht="15" x14ac:dyDescent="0.25">
      <c r="A52" s="3">
        <v>51</v>
      </c>
      <c r="B52" s="4">
        <v>23510250242</v>
      </c>
      <c r="C52" s="5" t="s">
        <v>145</v>
      </c>
      <c r="D52" s="5" t="s">
        <v>82</v>
      </c>
      <c r="E52" s="10">
        <v>39491</v>
      </c>
      <c r="F52" s="7" t="s">
        <v>91</v>
      </c>
      <c r="G52" s="8"/>
      <c r="H52" s="9">
        <v>30</v>
      </c>
    </row>
    <row r="53" spans="1:8" ht="15" x14ac:dyDescent="0.25">
      <c r="A53" s="3">
        <v>52</v>
      </c>
      <c r="B53" s="4">
        <v>23510250243</v>
      </c>
      <c r="C53" s="5" t="s">
        <v>146</v>
      </c>
      <c r="D53" s="5" t="s">
        <v>87</v>
      </c>
      <c r="E53" s="10">
        <v>38481</v>
      </c>
      <c r="F53" s="7" t="s">
        <v>147</v>
      </c>
      <c r="G53" s="8"/>
      <c r="H53" s="9">
        <v>6</v>
      </c>
    </row>
    <row r="54" spans="1:8" ht="15" x14ac:dyDescent="0.25">
      <c r="A54" s="3">
        <v>53</v>
      </c>
      <c r="B54" s="4">
        <v>23510250244</v>
      </c>
      <c r="C54" s="5" t="s">
        <v>148</v>
      </c>
      <c r="D54" s="5" t="s">
        <v>87</v>
      </c>
      <c r="E54" s="10">
        <v>39139</v>
      </c>
      <c r="F54" s="7" t="s">
        <v>104</v>
      </c>
      <c r="G54" s="8"/>
      <c r="H54" s="9">
        <v>30</v>
      </c>
    </row>
    <row r="55" spans="1:8" ht="15" x14ac:dyDescent="0.25">
      <c r="A55" s="3">
        <v>54</v>
      </c>
      <c r="B55" s="4">
        <v>23510250245</v>
      </c>
      <c r="C55" s="5" t="s">
        <v>149</v>
      </c>
      <c r="D55" s="5" t="s">
        <v>87</v>
      </c>
      <c r="E55" s="10">
        <v>38806</v>
      </c>
      <c r="F55" s="7" t="s">
        <v>91</v>
      </c>
      <c r="G55" s="8"/>
      <c r="H55" s="9">
        <v>6</v>
      </c>
    </row>
    <row r="56" spans="1:8" ht="15" x14ac:dyDescent="0.25">
      <c r="A56" s="3">
        <v>55</v>
      </c>
      <c r="B56" s="4">
        <v>23510250246</v>
      </c>
      <c r="C56" s="5" t="s">
        <v>150</v>
      </c>
      <c r="D56" s="5" t="s">
        <v>82</v>
      </c>
      <c r="E56" s="10">
        <v>39221</v>
      </c>
      <c r="F56" s="7" t="s">
        <v>85</v>
      </c>
      <c r="G56" s="8"/>
      <c r="H56" s="9">
        <v>30</v>
      </c>
    </row>
    <row r="57" spans="1:8" ht="15" x14ac:dyDescent="0.25">
      <c r="A57" s="3">
        <v>56</v>
      </c>
      <c r="B57" s="4">
        <v>23510250247</v>
      </c>
      <c r="C57" s="5" t="s">
        <v>151</v>
      </c>
      <c r="D57" s="5" t="s">
        <v>87</v>
      </c>
      <c r="E57" s="10">
        <v>39288</v>
      </c>
      <c r="F57" s="7" t="s">
        <v>85</v>
      </c>
      <c r="G57" s="12" t="s">
        <v>106</v>
      </c>
      <c r="H57" s="9">
        <v>30</v>
      </c>
    </row>
    <row r="58" spans="1:8" ht="15" x14ac:dyDescent="0.25">
      <c r="A58" s="3">
        <v>57</v>
      </c>
      <c r="B58" s="4">
        <v>23510250248</v>
      </c>
      <c r="C58" s="5" t="s">
        <v>152</v>
      </c>
      <c r="D58" s="5" t="s">
        <v>82</v>
      </c>
      <c r="E58" s="10">
        <v>38454</v>
      </c>
      <c r="F58" s="7" t="s">
        <v>85</v>
      </c>
      <c r="G58" s="8"/>
      <c r="H58" s="9">
        <v>29</v>
      </c>
    </row>
    <row r="59" spans="1:8" ht="15" x14ac:dyDescent="0.25">
      <c r="A59" s="3">
        <v>58</v>
      </c>
      <c r="B59" s="4">
        <v>23510250249</v>
      </c>
      <c r="C59" s="5" t="s">
        <v>153</v>
      </c>
      <c r="D59" s="5" t="s">
        <v>87</v>
      </c>
      <c r="E59" s="10">
        <v>39057</v>
      </c>
      <c r="F59" s="7" t="s">
        <v>85</v>
      </c>
      <c r="G59" s="13"/>
      <c r="H59" s="9">
        <v>19</v>
      </c>
    </row>
    <row r="60" spans="1:8" ht="15" x14ac:dyDescent="0.25">
      <c r="A60" s="3">
        <v>59</v>
      </c>
      <c r="B60" s="4">
        <v>23510250250</v>
      </c>
      <c r="C60" s="5" t="s">
        <v>154</v>
      </c>
      <c r="D60" s="5" t="s">
        <v>87</v>
      </c>
      <c r="E60" s="10">
        <v>39557</v>
      </c>
      <c r="F60" s="7" t="s">
        <v>85</v>
      </c>
      <c r="G60" s="11" t="s">
        <v>95</v>
      </c>
      <c r="H60" s="9">
        <v>30</v>
      </c>
    </row>
    <row r="61" spans="1:8" ht="15" x14ac:dyDescent="0.25">
      <c r="A61" s="3">
        <v>60</v>
      </c>
      <c r="B61" s="4">
        <v>23510250251</v>
      </c>
      <c r="C61" s="5" t="s">
        <v>155</v>
      </c>
      <c r="D61" s="5" t="s">
        <v>87</v>
      </c>
      <c r="E61" s="10">
        <v>39055</v>
      </c>
      <c r="F61" s="7" t="s">
        <v>85</v>
      </c>
      <c r="G61" s="8"/>
      <c r="H61" s="9">
        <v>30</v>
      </c>
    </row>
    <row r="62" spans="1:8" ht="15" x14ac:dyDescent="0.25">
      <c r="A62" s="3">
        <v>61</v>
      </c>
      <c r="B62" s="4">
        <v>23510250252</v>
      </c>
      <c r="C62" s="5" t="s">
        <v>156</v>
      </c>
      <c r="D62" s="5" t="s">
        <v>87</v>
      </c>
      <c r="E62" s="10">
        <v>39080</v>
      </c>
      <c r="F62" s="7" t="s">
        <v>85</v>
      </c>
      <c r="G62" s="12" t="s">
        <v>106</v>
      </c>
      <c r="H62" s="9">
        <v>21</v>
      </c>
    </row>
    <row r="63" spans="1:8" ht="15" x14ac:dyDescent="0.25">
      <c r="A63" s="3">
        <v>62</v>
      </c>
      <c r="B63" s="4">
        <v>23510250254</v>
      </c>
      <c r="C63" s="5" t="s">
        <v>157</v>
      </c>
      <c r="D63" s="5" t="s">
        <v>82</v>
      </c>
      <c r="E63" s="10">
        <v>39030</v>
      </c>
      <c r="F63" s="7" t="s">
        <v>85</v>
      </c>
      <c r="G63" s="8"/>
      <c r="H63" s="9">
        <v>27</v>
      </c>
    </row>
    <row r="64" spans="1:8" ht="15" x14ac:dyDescent="0.25">
      <c r="A64" s="3">
        <v>63</v>
      </c>
      <c r="B64" s="4">
        <v>23510250255</v>
      </c>
      <c r="C64" s="5" t="s">
        <v>158</v>
      </c>
      <c r="D64" s="5" t="s">
        <v>82</v>
      </c>
      <c r="E64" s="10">
        <v>39573</v>
      </c>
      <c r="F64" s="7" t="s">
        <v>85</v>
      </c>
      <c r="G64" s="8"/>
      <c r="H64" s="9">
        <v>23</v>
      </c>
    </row>
    <row r="65" spans="1:8" ht="15" x14ac:dyDescent="0.25">
      <c r="A65" s="3">
        <v>64</v>
      </c>
      <c r="B65" s="4">
        <v>23510250257</v>
      </c>
      <c r="C65" s="5" t="s">
        <v>159</v>
      </c>
      <c r="D65" s="5" t="s">
        <v>82</v>
      </c>
      <c r="E65" s="10">
        <v>39466</v>
      </c>
      <c r="F65" s="7" t="s">
        <v>83</v>
      </c>
      <c r="G65" s="8"/>
      <c r="H65" s="9">
        <v>16</v>
      </c>
    </row>
    <row r="66" spans="1:8" ht="15" x14ac:dyDescent="0.25">
      <c r="A66" s="3">
        <v>65</v>
      </c>
      <c r="B66" s="4">
        <v>23510250524</v>
      </c>
      <c r="C66" s="5" t="s">
        <v>160</v>
      </c>
      <c r="D66" s="5" t="s">
        <v>87</v>
      </c>
      <c r="E66" s="10">
        <v>39079</v>
      </c>
      <c r="F66" s="7" t="s">
        <v>91</v>
      </c>
      <c r="G66" s="14" t="s">
        <v>161</v>
      </c>
      <c r="H66" s="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UT1 DSU</vt:lpstr>
      <vt:lpstr>UT1 and UT2 Marks Manual Entry</vt:lpstr>
      <vt:lpstr>'UT1 DSU'!Print_Titles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GPO</dc:creator>
  <cp:lastModifiedBy>GPO</cp:lastModifiedBy>
  <cp:lastPrinted>2024-09-23T10:11:37Z</cp:lastPrinted>
  <dcterms:created xsi:type="dcterms:W3CDTF">2024-09-23T08:15:29Z</dcterms:created>
  <dcterms:modified xsi:type="dcterms:W3CDTF">2026-06-06T10:21:30Z</dcterms:modified>
</cp:coreProperties>
</file>