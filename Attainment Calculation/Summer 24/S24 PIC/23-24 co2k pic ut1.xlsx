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00" windowWidth="20775" windowHeight="9390"/>
  </bookViews>
  <sheets>
    <sheet name="UT1" sheetId="1" r:id="rId1"/>
    <sheet name="FA-PR" sheetId="2" r:id="rId2"/>
  </sheets>
  <definedNames>
    <definedName name="_xlnm.Print_Titles" localSheetId="0">'UT1'!$1:$6</definedName>
  </definedNames>
  <calcPr calcId="145621"/>
</workbook>
</file>

<file path=xl/calcChain.xml><?xml version="1.0" encoding="utf-8"?>
<calcChain xmlns="http://schemas.openxmlformats.org/spreadsheetml/2006/main">
  <c r="V84" i="2" l="1"/>
  <c r="AG70" i="2"/>
  <c r="AF70" i="2"/>
  <c r="AE70" i="2"/>
  <c r="AD70" i="2"/>
  <c r="AF69" i="2"/>
  <c r="AE69" i="2"/>
  <c r="AD69" i="2"/>
  <c r="AG69" i="2" s="1"/>
  <c r="AG68" i="2"/>
  <c r="AF68" i="2"/>
  <c r="AD68" i="2"/>
  <c r="AE68" i="2" s="1"/>
  <c r="AG67" i="2"/>
  <c r="AF67" i="2"/>
  <c r="AE67" i="2"/>
  <c r="AD67" i="2"/>
  <c r="AF66" i="2"/>
  <c r="AE66" i="2"/>
  <c r="AD66" i="2"/>
  <c r="AG66" i="2" s="1"/>
  <c r="AG65" i="2"/>
  <c r="AF65" i="2"/>
  <c r="AD65" i="2"/>
  <c r="AE65" i="2" s="1"/>
  <c r="AG64" i="2"/>
  <c r="AF64" i="2"/>
  <c r="AE64" i="2"/>
  <c r="AD64" i="2"/>
  <c r="AF63" i="2"/>
  <c r="AE63" i="2"/>
  <c r="AD63" i="2"/>
  <c r="AG63" i="2" s="1"/>
  <c r="AG62" i="2"/>
  <c r="AF62" i="2"/>
  <c r="AD62" i="2"/>
  <c r="AE62" i="2" s="1"/>
  <c r="AG61" i="2"/>
  <c r="AF61" i="2"/>
  <c r="AE61" i="2"/>
  <c r="AD61" i="2"/>
  <c r="AF60" i="2"/>
  <c r="AE60" i="2"/>
  <c r="AD60" i="2"/>
  <c r="AG60" i="2" s="1"/>
  <c r="AG59" i="2"/>
  <c r="AF59" i="2"/>
  <c r="AD59" i="2"/>
  <c r="AE59" i="2" s="1"/>
  <c r="AG58" i="2"/>
  <c r="AF58" i="2"/>
  <c r="AE58" i="2"/>
  <c r="AD58" i="2"/>
  <c r="AF57" i="2"/>
  <c r="AE57" i="2"/>
  <c r="AD57" i="2"/>
  <c r="AG57" i="2" s="1"/>
  <c r="AG56" i="2"/>
  <c r="AF56" i="2"/>
  <c r="AD56" i="2"/>
  <c r="AE56" i="2" s="1"/>
  <c r="AG55" i="2"/>
  <c r="AF55" i="2"/>
  <c r="AE55" i="2"/>
  <c r="AD55" i="2"/>
  <c r="AF54" i="2"/>
  <c r="AE54" i="2"/>
  <c r="AD54" i="2"/>
  <c r="AG54" i="2" s="1"/>
  <c r="AG53" i="2"/>
  <c r="AF53" i="2"/>
  <c r="AD53" i="2"/>
  <c r="AE53" i="2" s="1"/>
  <c r="AG52" i="2"/>
  <c r="AF52" i="2"/>
  <c r="AE52" i="2"/>
  <c r="AD52" i="2"/>
  <c r="AF51" i="2"/>
  <c r="AE51" i="2"/>
  <c r="AD51" i="2"/>
  <c r="AG51" i="2" s="1"/>
  <c r="AG50" i="2"/>
  <c r="AF50" i="2"/>
  <c r="AD50" i="2"/>
  <c r="AE50" i="2" s="1"/>
  <c r="AG49" i="2"/>
  <c r="AF49" i="2"/>
  <c r="AE49" i="2"/>
  <c r="AD49" i="2"/>
  <c r="AF48" i="2"/>
  <c r="AE48" i="2"/>
  <c r="AD48" i="2"/>
  <c r="AG48" i="2" s="1"/>
  <c r="AG47" i="2"/>
  <c r="AF47" i="2"/>
  <c r="AD47" i="2"/>
  <c r="AE47" i="2" s="1"/>
  <c r="AG46" i="2"/>
  <c r="AF46" i="2"/>
  <c r="AE46" i="2"/>
  <c r="AD46" i="2"/>
  <c r="AF45" i="2"/>
  <c r="AE45" i="2"/>
  <c r="AD45" i="2"/>
  <c r="AG45" i="2" s="1"/>
  <c r="AG44" i="2"/>
  <c r="AF44" i="2"/>
  <c r="AD44" i="2"/>
  <c r="AE44" i="2" s="1"/>
  <c r="AG43" i="2"/>
  <c r="AF43" i="2"/>
  <c r="AE43" i="2"/>
  <c r="AD43" i="2"/>
  <c r="AF42" i="2"/>
  <c r="AE42" i="2"/>
  <c r="AD42" i="2"/>
  <c r="AG42" i="2" s="1"/>
  <c r="AG41" i="2"/>
  <c r="AF41" i="2"/>
  <c r="AD41" i="2"/>
  <c r="AE41" i="2" s="1"/>
  <c r="AG40" i="2"/>
  <c r="AF40" i="2"/>
  <c r="AE40" i="2"/>
  <c r="AD40" i="2"/>
  <c r="AF39" i="2"/>
  <c r="AE39" i="2"/>
  <c r="AD39" i="2"/>
  <c r="AG39" i="2" s="1"/>
  <c r="AG38" i="2"/>
  <c r="AF38" i="2"/>
  <c r="AD38" i="2"/>
  <c r="AE38" i="2" s="1"/>
  <c r="AG37" i="2"/>
  <c r="AF37" i="2"/>
  <c r="AE37" i="2"/>
  <c r="AD37" i="2"/>
  <c r="AF36" i="2"/>
  <c r="AE36" i="2"/>
  <c r="AD36" i="2"/>
  <c r="AG36" i="2" s="1"/>
  <c r="AG35" i="2"/>
  <c r="AF35" i="2"/>
  <c r="AD35" i="2"/>
  <c r="AE35" i="2" s="1"/>
  <c r="AG34" i="2"/>
  <c r="AF34" i="2"/>
  <c r="AE34" i="2"/>
  <c r="AD34" i="2"/>
  <c r="AF33" i="2"/>
  <c r="AE33" i="2"/>
  <c r="AD33" i="2"/>
  <c r="AG33" i="2" s="1"/>
  <c r="AG32" i="2"/>
  <c r="AF32" i="2"/>
  <c r="AD32" i="2"/>
  <c r="AE32" i="2" s="1"/>
  <c r="AG31" i="2"/>
  <c r="AF31" i="2"/>
  <c r="AE31" i="2"/>
  <c r="AD31" i="2"/>
  <c r="AF30" i="2"/>
  <c r="AE30" i="2"/>
  <c r="AD30" i="2"/>
  <c r="AG30" i="2" s="1"/>
  <c r="AG29" i="2"/>
  <c r="AF29" i="2"/>
  <c r="AD29" i="2"/>
  <c r="AE29" i="2" s="1"/>
  <c r="AG28" i="2"/>
  <c r="AF28" i="2"/>
  <c r="AE28" i="2"/>
  <c r="AD28" i="2"/>
  <c r="AF27" i="2"/>
  <c r="AE27" i="2"/>
  <c r="AD27" i="2"/>
  <c r="AG27" i="2" s="1"/>
  <c r="AG26" i="2"/>
  <c r="AF26" i="2"/>
  <c r="AD26" i="2"/>
  <c r="AE26" i="2" s="1"/>
  <c r="AG25" i="2"/>
  <c r="AF25" i="2"/>
  <c r="AE25" i="2"/>
  <c r="AD25" i="2"/>
  <c r="AF24" i="2"/>
  <c r="AE24" i="2"/>
  <c r="AD24" i="2"/>
  <c r="AG24" i="2" s="1"/>
  <c r="AG23" i="2"/>
  <c r="AF23" i="2"/>
  <c r="AD23" i="2"/>
  <c r="AE23" i="2" s="1"/>
  <c r="AG22" i="2"/>
  <c r="AF22" i="2"/>
  <c r="AE22" i="2"/>
  <c r="AD22" i="2"/>
  <c r="AF21" i="2"/>
  <c r="AE21" i="2"/>
  <c r="AD21" i="2"/>
  <c r="AG21" i="2" s="1"/>
  <c r="AG20" i="2"/>
  <c r="AF20" i="2"/>
  <c r="AD20" i="2"/>
  <c r="AE20" i="2" s="1"/>
  <c r="AG19" i="2"/>
  <c r="AF19" i="2"/>
  <c r="AE19" i="2"/>
  <c r="AD19" i="2"/>
  <c r="AF18" i="2"/>
  <c r="AE18" i="2"/>
  <c r="AD18" i="2"/>
  <c r="AG18" i="2" s="1"/>
  <c r="AG17" i="2"/>
  <c r="AF17" i="2"/>
  <c r="AD17" i="2"/>
  <c r="AE17" i="2" s="1"/>
  <c r="AG16" i="2"/>
  <c r="AF16" i="2"/>
  <c r="AE16" i="2"/>
  <c r="AD16" i="2"/>
  <c r="AF15" i="2"/>
  <c r="AE15" i="2"/>
  <c r="AD15" i="2"/>
  <c r="AG15" i="2" s="1"/>
  <c r="AG14" i="2"/>
  <c r="AF14" i="2"/>
  <c r="AD14" i="2"/>
  <c r="AE14" i="2" s="1"/>
  <c r="AG13" i="2"/>
  <c r="AF13" i="2"/>
  <c r="AE13" i="2"/>
  <c r="AD13" i="2"/>
  <c r="AF12" i="2"/>
  <c r="AE12" i="2"/>
  <c r="AD12" i="2"/>
  <c r="AG12" i="2" s="1"/>
  <c r="AG11" i="2"/>
  <c r="AF11" i="2"/>
  <c r="AD11" i="2"/>
  <c r="AE11" i="2" s="1"/>
  <c r="AG10" i="2"/>
  <c r="AF10" i="2"/>
  <c r="AE10" i="2"/>
  <c r="AD10" i="2"/>
  <c r="AF9" i="2"/>
  <c r="AE9" i="2"/>
  <c r="AD9" i="2"/>
  <c r="AG9" i="2" s="1"/>
  <c r="AG8" i="2"/>
  <c r="AF8" i="2"/>
  <c r="AD8" i="2"/>
  <c r="AE8" i="2" s="1"/>
  <c r="AG7" i="2"/>
  <c r="AF7" i="2"/>
  <c r="AE7" i="2"/>
  <c r="AD7" i="2"/>
  <c r="AF6" i="2"/>
  <c r="AE6" i="2"/>
  <c r="AD6" i="2"/>
  <c r="AG6" i="2" s="1"/>
  <c r="AG5" i="2"/>
  <c r="AF5" i="2"/>
  <c r="AD5" i="2"/>
  <c r="AE5" i="2" s="1"/>
  <c r="AG4" i="2"/>
  <c r="AF4" i="2"/>
  <c r="AE4" i="2"/>
  <c r="AD4" i="2"/>
  <c r="AF3" i="2"/>
  <c r="AE3" i="2"/>
  <c r="AD3" i="2"/>
  <c r="AG3" i="2" s="1"/>
  <c r="AA73" i="1"/>
  <c r="Y73" i="1"/>
  <c r="Z73" i="1" s="1"/>
  <c r="AA72" i="1"/>
  <c r="Z72" i="1"/>
  <c r="Y72" i="1"/>
  <c r="AA71" i="1"/>
  <c r="Y71" i="1"/>
  <c r="Z71" i="1" s="1"/>
  <c r="AA70" i="1"/>
  <c r="Y70" i="1"/>
  <c r="Z70" i="1" s="1"/>
  <c r="AA69" i="1"/>
  <c r="Y69" i="1"/>
  <c r="Z69" i="1" s="1"/>
  <c r="AA68" i="1"/>
  <c r="Y68" i="1"/>
  <c r="Z68" i="1" s="1"/>
  <c r="AA67" i="1"/>
  <c r="Y67" i="1"/>
  <c r="Z67" i="1" s="1"/>
  <c r="AA66" i="1"/>
  <c r="Y66" i="1"/>
  <c r="Z66" i="1" s="1"/>
  <c r="AA65" i="1"/>
  <c r="Y65" i="1"/>
  <c r="Z65" i="1" s="1"/>
  <c r="AA64" i="1"/>
  <c r="Y64" i="1"/>
  <c r="Z64" i="1" s="1"/>
  <c r="AA63" i="1"/>
  <c r="Y63" i="1"/>
  <c r="Z63" i="1" s="1"/>
  <c r="AA62" i="1"/>
  <c r="Y62" i="1"/>
  <c r="Z62" i="1" s="1"/>
  <c r="AA61" i="1"/>
  <c r="Y61" i="1"/>
  <c r="Z61" i="1" s="1"/>
  <c r="AA60" i="1"/>
  <c r="Z60" i="1"/>
  <c r="Y60" i="1"/>
  <c r="AA59" i="1"/>
  <c r="Y59" i="1"/>
  <c r="Z59" i="1" s="1"/>
  <c r="AA58" i="1"/>
  <c r="Y58" i="1"/>
  <c r="Z58" i="1" s="1"/>
  <c r="AA57" i="1"/>
  <c r="Y57" i="1"/>
  <c r="Z57" i="1" s="1"/>
  <c r="AA56" i="1"/>
  <c r="Y56" i="1"/>
  <c r="Z56" i="1" s="1"/>
  <c r="AA55" i="1"/>
  <c r="Y55" i="1"/>
  <c r="Z55" i="1" s="1"/>
  <c r="AA54" i="1"/>
  <c r="Y54" i="1"/>
  <c r="Z54" i="1" s="1"/>
  <c r="AA53" i="1"/>
  <c r="Y53" i="1"/>
  <c r="Z53" i="1" s="1"/>
  <c r="AA52" i="1"/>
  <c r="Y52" i="1"/>
  <c r="Z52" i="1" s="1"/>
  <c r="AA51" i="1"/>
  <c r="Y51" i="1"/>
  <c r="Z51" i="1" s="1"/>
  <c r="AA50" i="1"/>
  <c r="Y50" i="1"/>
  <c r="Z50" i="1" s="1"/>
  <c r="AA49" i="1"/>
  <c r="Y49" i="1"/>
  <c r="Z49" i="1" s="1"/>
  <c r="AA48" i="1"/>
  <c r="Y48" i="1"/>
  <c r="Z48" i="1" s="1"/>
  <c r="AA47" i="1"/>
  <c r="Y47" i="1"/>
  <c r="Z47" i="1" s="1"/>
  <c r="AA46" i="1"/>
  <c r="Y46" i="1"/>
  <c r="Z46" i="1" s="1"/>
  <c r="AA45" i="1"/>
  <c r="Y45" i="1"/>
  <c r="Z45" i="1" s="1"/>
  <c r="AA44" i="1"/>
  <c r="Y44" i="1"/>
  <c r="Z44" i="1" s="1"/>
  <c r="AA43" i="1"/>
  <c r="Y43" i="1"/>
  <c r="Z43" i="1" s="1"/>
  <c r="AA42" i="1"/>
  <c r="Y42" i="1"/>
  <c r="Z42" i="1" s="1"/>
  <c r="AA41" i="1"/>
  <c r="Y41" i="1"/>
  <c r="Z41" i="1" s="1"/>
  <c r="AA40" i="1"/>
  <c r="Y40" i="1"/>
  <c r="Z40" i="1" s="1"/>
  <c r="AA39" i="1"/>
  <c r="Y39" i="1"/>
  <c r="Z39" i="1" s="1"/>
  <c r="AA38" i="1"/>
  <c r="Y38" i="1"/>
  <c r="Z38" i="1" s="1"/>
  <c r="AA37" i="1"/>
  <c r="Y37" i="1"/>
  <c r="Z37" i="1" s="1"/>
  <c r="AA36" i="1"/>
  <c r="Y36" i="1"/>
  <c r="Z36" i="1" s="1"/>
  <c r="AA35" i="1"/>
  <c r="Y35" i="1"/>
  <c r="Z35" i="1" s="1"/>
  <c r="AA34" i="1"/>
  <c r="Y34" i="1"/>
  <c r="Z34" i="1" s="1"/>
  <c r="AA33" i="1"/>
  <c r="Y33" i="1"/>
  <c r="Z33" i="1" s="1"/>
  <c r="AA32" i="1"/>
  <c r="Y32" i="1"/>
  <c r="Z32" i="1" s="1"/>
  <c r="AA31" i="1"/>
  <c r="Y31" i="1"/>
  <c r="Z31" i="1" s="1"/>
  <c r="AA30" i="1"/>
  <c r="Y30" i="1"/>
  <c r="Z30" i="1" s="1"/>
  <c r="AA29" i="1"/>
  <c r="Y29" i="1"/>
  <c r="Z29" i="1" s="1"/>
  <c r="AA28" i="1"/>
  <c r="Y28" i="1"/>
  <c r="Z28" i="1" s="1"/>
  <c r="AA27" i="1"/>
  <c r="Y27" i="1"/>
  <c r="Z27" i="1" s="1"/>
  <c r="AA26" i="1"/>
  <c r="Y26" i="1"/>
  <c r="Z26" i="1" s="1"/>
  <c r="AA25" i="1"/>
  <c r="Z25" i="1"/>
  <c r="Y25" i="1"/>
  <c r="AA24" i="1"/>
  <c r="Y24" i="1"/>
  <c r="Z24" i="1" s="1"/>
  <c r="AA23" i="1"/>
  <c r="Y23" i="1"/>
  <c r="Z23" i="1" s="1"/>
  <c r="AA22" i="1"/>
  <c r="Y22" i="1"/>
  <c r="Z22" i="1" s="1"/>
  <c r="AA21" i="1"/>
  <c r="Y21" i="1"/>
  <c r="Z21" i="1" s="1"/>
  <c r="AA20" i="1"/>
  <c r="Y20" i="1"/>
  <c r="Z20" i="1" s="1"/>
  <c r="AA19" i="1"/>
  <c r="Y19" i="1"/>
  <c r="Z19" i="1" s="1"/>
  <c r="AA18" i="1"/>
  <c r="Y18" i="1"/>
  <c r="Z18" i="1" s="1"/>
  <c r="AA17" i="1"/>
  <c r="Y17" i="1"/>
  <c r="Z17" i="1" s="1"/>
  <c r="AA16" i="1"/>
  <c r="Y16" i="1"/>
  <c r="Z16" i="1" s="1"/>
  <c r="AA15" i="1"/>
  <c r="Y15" i="1"/>
  <c r="Z15" i="1" s="1"/>
  <c r="AA14" i="1"/>
  <c r="Y14" i="1"/>
  <c r="Z14" i="1" s="1"/>
  <c r="AA13" i="1"/>
  <c r="Z13" i="1"/>
  <c r="Y13" i="1"/>
  <c r="AA12" i="1"/>
  <c r="Y12" i="1"/>
  <c r="Z12" i="1" s="1"/>
  <c r="AA11" i="1"/>
  <c r="Y11" i="1"/>
  <c r="Z11" i="1" s="1"/>
  <c r="AA10" i="1"/>
  <c r="Y10" i="1"/>
  <c r="Z10" i="1" s="1"/>
  <c r="AA9" i="1"/>
  <c r="Y9" i="1"/>
  <c r="Z9" i="1" s="1"/>
  <c r="AA8" i="1"/>
  <c r="Y8" i="1"/>
  <c r="Z8" i="1" s="1"/>
  <c r="AA7" i="1"/>
  <c r="Y7" i="1"/>
  <c r="Z7" i="1" s="1"/>
</calcChain>
</file>

<file path=xl/sharedStrings.xml><?xml version="1.0" encoding="utf-8"?>
<sst xmlns="http://schemas.openxmlformats.org/spreadsheetml/2006/main" count="276" uniqueCount="164">
  <si>
    <t>COMPUTER ENGINEERING DEPARTMENT : CO WISE MARKS OBTAINED BY STUDENTS : UNIT TEST 1 DATED : 13/02/2024</t>
  </si>
  <si>
    <t xml:space="preserve">Academic Year : - 2023-24                                                                                                                                                               Name of Faculty :- Mr. A. D. Ambure                                                                                                                                                                                                   </t>
  </si>
  <si>
    <t xml:space="preserve">Subject &amp; Code: -PIC (312303)                                                          Course &amp; Code :-CO2K                                                                                       Semester:- SECOND                                                                                                                                                                                </t>
  </si>
  <si>
    <t>Timestamp</t>
  </si>
  <si>
    <t>Email Address</t>
  </si>
  <si>
    <t>Full Name of Student :</t>
  </si>
  <si>
    <t>Enrollment No. of Student :</t>
  </si>
  <si>
    <t>Roll No. of Student :</t>
  </si>
  <si>
    <t>Mobile No. of Student :</t>
  </si>
  <si>
    <r>
      <rPr>
        <b/>
        <sz val="8"/>
        <color theme="1"/>
        <rFont val="Arial"/>
      </rPr>
      <t xml:space="preserve">Q1-A </t>
    </r>
    <r>
      <rPr>
        <sz val="8"/>
        <color theme="1"/>
        <rFont val="Arial"/>
      </rPr>
      <t>(</t>
    </r>
    <r>
      <rPr>
        <i/>
        <sz val="8"/>
        <color theme="1"/>
        <rFont val="Arial"/>
      </rPr>
      <t xml:space="preserve">ENTER MARKS OBTAINED </t>
    </r>
    <r>
      <rPr>
        <sz val="8"/>
        <color theme="1"/>
        <rFont val="Arial"/>
      </rPr>
      <t>)</t>
    </r>
  </si>
  <si>
    <r>
      <rPr>
        <b/>
        <sz val="8"/>
        <color theme="1"/>
        <rFont val="Arial"/>
      </rPr>
      <t xml:space="preserve">Q1-B </t>
    </r>
    <r>
      <rPr>
        <sz val="8"/>
        <color theme="1"/>
        <rFont val="Arial"/>
      </rPr>
      <t>(</t>
    </r>
    <r>
      <rPr>
        <i/>
        <sz val="8"/>
        <color theme="1"/>
        <rFont val="Arial"/>
      </rPr>
      <t xml:space="preserve">ENTER MARKS OBTAINED </t>
    </r>
    <r>
      <rPr>
        <sz val="8"/>
        <color theme="1"/>
        <rFont val="Arial"/>
      </rPr>
      <t>)</t>
    </r>
  </si>
  <si>
    <r>
      <rPr>
        <b/>
        <sz val="8"/>
        <color theme="1"/>
        <rFont val="Arial"/>
      </rPr>
      <t xml:space="preserve">Q1-C </t>
    </r>
    <r>
      <rPr>
        <sz val="8"/>
        <color theme="1"/>
        <rFont val="Arial"/>
      </rPr>
      <t>(</t>
    </r>
    <r>
      <rPr>
        <i/>
        <sz val="8"/>
        <color theme="1"/>
        <rFont val="Arial"/>
      </rPr>
      <t xml:space="preserve">ENTER MARKS OBTAINED </t>
    </r>
    <r>
      <rPr>
        <sz val="8"/>
        <color theme="1"/>
        <rFont val="Arial"/>
      </rPr>
      <t>)</t>
    </r>
  </si>
  <si>
    <r>
      <rPr>
        <b/>
        <sz val="8"/>
        <color theme="1"/>
        <rFont val="Arial"/>
      </rPr>
      <t xml:space="preserve">Q1-D </t>
    </r>
    <r>
      <rPr>
        <sz val="8"/>
        <color theme="1"/>
        <rFont val="Arial"/>
      </rPr>
      <t>(</t>
    </r>
    <r>
      <rPr>
        <i/>
        <sz val="8"/>
        <color theme="1"/>
        <rFont val="Arial"/>
      </rPr>
      <t xml:space="preserve">ENTER MARKS OBTAINED </t>
    </r>
    <r>
      <rPr>
        <sz val="8"/>
        <color theme="1"/>
        <rFont val="Arial"/>
      </rPr>
      <t>)</t>
    </r>
  </si>
  <si>
    <r>
      <rPr>
        <b/>
        <sz val="8"/>
        <color theme="1"/>
        <rFont val="Arial"/>
      </rPr>
      <t xml:space="preserve">Q1-E </t>
    </r>
    <r>
      <rPr>
        <sz val="8"/>
        <color theme="1"/>
        <rFont val="Arial"/>
      </rPr>
      <t>(</t>
    </r>
    <r>
      <rPr>
        <i/>
        <sz val="8"/>
        <color theme="1"/>
        <rFont val="Arial"/>
      </rPr>
      <t xml:space="preserve">ENTER MARKS OBTAINED </t>
    </r>
    <r>
      <rPr>
        <sz val="8"/>
        <color theme="1"/>
        <rFont val="Arial"/>
      </rPr>
      <t>)</t>
    </r>
  </si>
  <si>
    <r>
      <rPr>
        <b/>
        <sz val="8"/>
        <color theme="1"/>
        <rFont val="Arial"/>
      </rPr>
      <t xml:space="preserve">Q1-F </t>
    </r>
    <r>
      <rPr>
        <sz val="8"/>
        <color theme="1"/>
        <rFont val="Arial"/>
      </rPr>
      <t>(</t>
    </r>
    <r>
      <rPr>
        <i/>
        <sz val="8"/>
        <color theme="1"/>
        <rFont val="Arial"/>
      </rPr>
      <t xml:space="preserve">ENTER MARKS OBTAINED </t>
    </r>
    <r>
      <rPr>
        <sz val="8"/>
        <color theme="1"/>
        <rFont val="Arial"/>
      </rPr>
      <t>)</t>
    </r>
  </si>
  <si>
    <r>
      <rPr>
        <b/>
        <sz val="8"/>
        <color theme="1"/>
        <rFont val="Arial"/>
      </rPr>
      <t xml:space="preserve">Q1-G </t>
    </r>
    <r>
      <rPr>
        <sz val="8"/>
        <color theme="1"/>
        <rFont val="Arial"/>
      </rPr>
      <t>(</t>
    </r>
    <r>
      <rPr>
        <i/>
        <sz val="8"/>
        <color theme="1"/>
        <rFont val="Arial"/>
      </rPr>
      <t xml:space="preserve">ENTER MARKS OBTAINED </t>
    </r>
    <r>
      <rPr>
        <sz val="8"/>
        <color theme="1"/>
        <rFont val="Arial"/>
      </rPr>
      <t>)</t>
    </r>
  </si>
  <si>
    <r>
      <rPr>
        <b/>
        <sz val="8"/>
        <color theme="1"/>
        <rFont val="Arial"/>
      </rPr>
      <t xml:space="preserve">Q2-A </t>
    </r>
    <r>
      <rPr>
        <sz val="8"/>
        <color theme="1"/>
        <rFont val="Arial"/>
      </rPr>
      <t>(</t>
    </r>
    <r>
      <rPr>
        <i/>
        <sz val="8"/>
        <color theme="1"/>
        <rFont val="Arial"/>
      </rPr>
      <t xml:space="preserve">ENTER MARKS OBTAINED </t>
    </r>
    <r>
      <rPr>
        <sz val="8"/>
        <color theme="1"/>
        <rFont val="Arial"/>
      </rPr>
      <t>)</t>
    </r>
  </si>
  <si>
    <r>
      <rPr>
        <b/>
        <sz val="8"/>
        <color theme="1"/>
        <rFont val="Arial"/>
      </rPr>
      <t xml:space="preserve">Q2-B </t>
    </r>
    <r>
      <rPr>
        <sz val="8"/>
        <color theme="1"/>
        <rFont val="Arial"/>
      </rPr>
      <t>(</t>
    </r>
    <r>
      <rPr>
        <i/>
        <sz val="8"/>
        <color theme="1"/>
        <rFont val="Arial"/>
      </rPr>
      <t xml:space="preserve">ENTER MARKS OBTAINED </t>
    </r>
    <r>
      <rPr>
        <sz val="8"/>
        <color theme="1"/>
        <rFont val="Arial"/>
      </rPr>
      <t>)</t>
    </r>
  </si>
  <si>
    <r>
      <rPr>
        <b/>
        <sz val="8"/>
        <color theme="1"/>
        <rFont val="Arial"/>
      </rPr>
      <t xml:space="preserve">Q2-C </t>
    </r>
    <r>
      <rPr>
        <sz val="8"/>
        <color theme="1"/>
        <rFont val="Arial"/>
      </rPr>
      <t>(</t>
    </r>
    <r>
      <rPr>
        <i/>
        <sz val="8"/>
        <color theme="1"/>
        <rFont val="Arial"/>
      </rPr>
      <t xml:space="preserve">ENTER MARKS OBTAINED </t>
    </r>
    <r>
      <rPr>
        <sz val="8"/>
        <color theme="1"/>
        <rFont val="Arial"/>
      </rPr>
      <t>)</t>
    </r>
  </si>
  <si>
    <r>
      <rPr>
        <b/>
        <sz val="8"/>
        <color theme="1"/>
        <rFont val="Arial"/>
      </rPr>
      <t xml:space="preserve">Q2-D </t>
    </r>
    <r>
      <rPr>
        <sz val="8"/>
        <color theme="1"/>
        <rFont val="Arial"/>
      </rPr>
      <t>(</t>
    </r>
    <r>
      <rPr>
        <i/>
        <sz val="8"/>
        <color theme="1"/>
        <rFont val="Arial"/>
      </rPr>
      <t xml:space="preserve">ENTER MARKS OBTAINED </t>
    </r>
    <r>
      <rPr>
        <sz val="8"/>
        <color theme="1"/>
        <rFont val="Arial"/>
      </rPr>
      <t>)</t>
    </r>
  </si>
  <si>
    <r>
      <rPr>
        <b/>
        <sz val="8"/>
        <color theme="1"/>
        <rFont val="Arial"/>
      </rPr>
      <t xml:space="preserve">Q2-E </t>
    </r>
    <r>
      <rPr>
        <sz val="8"/>
        <color theme="1"/>
        <rFont val="Arial"/>
      </rPr>
      <t>(</t>
    </r>
    <r>
      <rPr>
        <i/>
        <sz val="8"/>
        <color theme="1"/>
        <rFont val="Arial"/>
      </rPr>
      <t xml:space="preserve">ENTER MARKS OBTAINED </t>
    </r>
    <r>
      <rPr>
        <sz val="8"/>
        <color theme="1"/>
        <rFont val="Arial"/>
      </rPr>
      <t>)</t>
    </r>
  </si>
  <si>
    <r>
      <rPr>
        <b/>
        <sz val="8"/>
        <color theme="1"/>
        <rFont val="Arial"/>
      </rPr>
      <t xml:space="preserve">Q2-F </t>
    </r>
    <r>
      <rPr>
        <sz val="8"/>
        <color theme="1"/>
        <rFont val="Arial"/>
      </rPr>
      <t>(</t>
    </r>
    <r>
      <rPr>
        <i/>
        <sz val="8"/>
        <color theme="1"/>
        <rFont val="Arial"/>
      </rPr>
      <t xml:space="preserve">ENTER MARKS OBTAINED </t>
    </r>
    <r>
      <rPr>
        <sz val="8"/>
        <color theme="1"/>
        <rFont val="Arial"/>
      </rPr>
      <t>)</t>
    </r>
  </si>
  <si>
    <r>
      <rPr>
        <b/>
        <sz val="8"/>
        <color theme="1"/>
        <rFont val="Arial"/>
      </rPr>
      <t xml:space="preserve">Q2-G </t>
    </r>
    <r>
      <rPr>
        <sz val="8"/>
        <color theme="1"/>
        <rFont val="Arial"/>
      </rPr>
      <t>(</t>
    </r>
    <r>
      <rPr>
        <i/>
        <sz val="8"/>
        <color theme="1"/>
        <rFont val="Arial"/>
      </rPr>
      <t xml:space="preserve">ENTER MARKS OBTAINED </t>
    </r>
    <r>
      <rPr>
        <sz val="8"/>
        <color theme="1"/>
        <rFont val="Arial"/>
      </rPr>
      <t>)</t>
    </r>
  </si>
  <si>
    <t>Score</t>
  </si>
  <si>
    <t>MARKS ENTERED MANUALLY OUT OF 30</t>
  </si>
  <si>
    <t>20/28</t>
  </si>
  <si>
    <t>TOTAL MARKS OUT OF 42</t>
  </si>
  <si>
    <t>DIFF</t>
  </si>
  <si>
    <t>shashwatiadsul22@gmail.com</t>
  </si>
  <si>
    <t xml:space="preserve">Shashwati Nitin Adsul </t>
  </si>
  <si>
    <t>avibhise2007@gmail.com</t>
  </si>
  <si>
    <t xml:space="preserve">Avishkar Babruwan Bhise </t>
  </si>
  <si>
    <t>maheswariawad@gmail.com</t>
  </si>
  <si>
    <t>Maheshwari Bhau Awad</t>
  </si>
  <si>
    <t>badvesharvani@gmail.com</t>
  </si>
  <si>
    <t xml:space="preserve">Badve Sharvani Dnyaneshwar </t>
  </si>
  <si>
    <t>manasibagade80@gmail.com</t>
  </si>
  <si>
    <t xml:space="preserve">Bagade Manasi Mukund </t>
  </si>
  <si>
    <t>bardearchana11@gmail.com</t>
  </si>
  <si>
    <t>Barde Archana Hanumant</t>
  </si>
  <si>
    <t>shrirambaramade@gmail.com</t>
  </si>
  <si>
    <t xml:space="preserve">Barmade shraddha sudhakar </t>
  </si>
  <si>
    <t>ankitabedke@gmail.com</t>
  </si>
  <si>
    <t>Bedke Ankita Shriram</t>
  </si>
  <si>
    <t>09022672472</t>
  </si>
  <si>
    <t>shravanibhad6@gmail.com</t>
  </si>
  <si>
    <t xml:space="preserve">Bhad Shravani Umakant </t>
  </si>
  <si>
    <t>nikitabhore528@gmail.com</t>
  </si>
  <si>
    <t xml:space="preserve">Bhore Nikita Shankar </t>
  </si>
  <si>
    <t>pradnyabhosale2007@gmail.com</t>
  </si>
  <si>
    <t xml:space="preserve">Pradnya Haridas Bhosale </t>
  </si>
  <si>
    <t>tejasbhosale3211@gmail.com</t>
  </si>
  <si>
    <t>Tejas gajanan bhosale</t>
  </si>
  <si>
    <t>birajdarprashant04@gmail.com</t>
  </si>
  <si>
    <t xml:space="preserve">Birajdar Prashant padmakar </t>
  </si>
  <si>
    <t>shravanichandane28@gmail.com</t>
  </si>
  <si>
    <t xml:space="preserve">Shravani Prashant Chandane </t>
  </si>
  <si>
    <t>nc1600674@gmail.com</t>
  </si>
  <si>
    <t xml:space="preserve">Chavan Nikita narayan </t>
  </si>
  <si>
    <t>Sanskrutid2007@gmail.com</t>
  </si>
  <si>
    <t>Dalve Sanskruti Amol</t>
  </si>
  <si>
    <t>abc@gmail.com</t>
  </si>
  <si>
    <t>Dane Sushant Vitthal</t>
  </si>
  <si>
    <t>_</t>
  </si>
  <si>
    <t>ravikirandemgunde24@gmail.com</t>
  </si>
  <si>
    <t xml:space="preserve">Ravikiran Dhondiram Demgunde </t>
  </si>
  <si>
    <t>anupamadhage28@gmail.com</t>
  </si>
  <si>
    <t>Anupama Nagesh Dhage</t>
  </si>
  <si>
    <t>_1</t>
  </si>
  <si>
    <t>sarthakfulmali1@gmail.com</t>
  </si>
  <si>
    <t xml:space="preserve">Sarthak santhosh fulmali </t>
  </si>
  <si>
    <t>gadedhanraj1@gmail.com</t>
  </si>
  <si>
    <t>Gade Payal Dhanraj</t>
  </si>
  <si>
    <t>monikagavali773@gmail.com</t>
  </si>
  <si>
    <t>Gavali Monika Dnyandeo</t>
  </si>
  <si>
    <t>krishnagurav104@gmail.com</t>
  </si>
  <si>
    <t>Krishna Pramod Gurav</t>
  </si>
  <si>
    <t>hajareamar72@gmail.com</t>
  </si>
  <si>
    <t>Amar Ajit Hajar</t>
  </si>
  <si>
    <t>pratikshaisake917@gmail.com</t>
  </si>
  <si>
    <t xml:space="preserve">Isake pratiksha Mahesh </t>
  </si>
  <si>
    <t>abc@123gmail.com</t>
  </si>
  <si>
    <t>Jagtap shreya shrirang</t>
  </si>
  <si>
    <t>joshitanuja826@gmail.com</t>
  </si>
  <si>
    <t>Tanja Gunderao Joshi</t>
  </si>
  <si>
    <t>prachikale60@gmail.com</t>
  </si>
  <si>
    <t>Prachi Kishor Kale</t>
  </si>
  <si>
    <t>kalevaishnavi78@gmail.com</t>
  </si>
  <si>
    <t xml:space="preserve">Vaishnavi Dhanraj Kale </t>
  </si>
  <si>
    <t>divyakamble801@gmail.com</t>
  </si>
  <si>
    <t xml:space="preserve">Divya Vijay Kamble </t>
  </si>
  <si>
    <t>Kamble Sonam Vilas</t>
  </si>
  <si>
    <t>tkendre28@gmail.com</t>
  </si>
  <si>
    <t xml:space="preserve">Kendre Mayuri Tukaram </t>
  </si>
  <si>
    <t>suhanikhandagale128@gmail.com</t>
  </si>
  <si>
    <t xml:space="preserve">Khandagale suhani vikram </t>
  </si>
  <si>
    <t>khunepramodprem@gmail.com</t>
  </si>
  <si>
    <t xml:space="preserve">Khune priyanka pramod </t>
  </si>
  <si>
    <t>ishwarikshirsagar1234@gmail.com</t>
  </si>
  <si>
    <t>Kshirsagar Ishwari Dattatray</t>
  </si>
  <si>
    <t>Londhe Pramila Chhatragun</t>
  </si>
  <si>
    <t>malikaran279@gmail.com</t>
  </si>
  <si>
    <t xml:space="preserve">Mali Karan Ashok </t>
  </si>
  <si>
    <t>mendhekarpriti96@gmail.com</t>
  </si>
  <si>
    <t xml:space="preserve">Mendhekar Priti Goroba </t>
  </si>
  <si>
    <t>More Gayatri Kisan</t>
  </si>
  <si>
    <t>Natke vedant vishnupant</t>
  </si>
  <si>
    <t>sachinnavvale499@gmail.com</t>
  </si>
  <si>
    <t xml:space="preserve">Sachin Nawale </t>
  </si>
  <si>
    <t>krantinikam2006@gmail.com</t>
  </si>
  <si>
    <t>Nikam kranti santosh</t>
  </si>
  <si>
    <t>asmitanimbalkar107@gmail.com</t>
  </si>
  <si>
    <t>Nimbalkar Asmita Bhujang</t>
  </si>
  <si>
    <t>panchalgayatri322@gmail.com</t>
  </si>
  <si>
    <t>Panchal Gayatri Dnyaneshwar</t>
  </si>
  <si>
    <t>firdauspathan46@gmail.com</t>
  </si>
  <si>
    <t xml:space="preserve">Pathan adiba firdos amjad khan </t>
  </si>
  <si>
    <t>patilamruta0000@gmail.com</t>
  </si>
  <si>
    <t xml:space="preserve">Patil Amruta Suresh </t>
  </si>
  <si>
    <t>dnyaneshwaripatil88@gmail.com</t>
  </si>
  <si>
    <t>Dnyaneshwari subhash patil</t>
  </si>
  <si>
    <t>pawaraarya10@gmail.com</t>
  </si>
  <si>
    <t xml:space="preserve">Pawar Arya Rajendra </t>
  </si>
  <si>
    <t>sarika7748@gmail.com</t>
  </si>
  <si>
    <t xml:space="preserve">Sarika Pandurang Pawar </t>
  </si>
  <si>
    <t>vaibhavipawar260607@gmail.com</t>
  </si>
  <si>
    <t>Vaibhavi Laxman Pawar</t>
  </si>
  <si>
    <t>gayatripichrute063@gmail.com</t>
  </si>
  <si>
    <t>Gayatri Ambadas Pichrute</t>
  </si>
  <si>
    <t>afreenpirjade77@gmail.com</t>
  </si>
  <si>
    <t xml:space="preserve">Pirjade Afreen Ubedulla </t>
  </si>
  <si>
    <t>abhaypuri726@gmail.com</t>
  </si>
  <si>
    <t xml:space="preserve">Abhay Laxman Puri </t>
  </si>
  <si>
    <t>Bhimsing umaraosing Rajput</t>
  </si>
  <si>
    <t>nageshsagar8888@gmail.com</t>
  </si>
  <si>
    <t xml:space="preserve">SAGAR NAGESH RAJKUMAR </t>
  </si>
  <si>
    <t>shravanisakharkar2007@gmail.com</t>
  </si>
  <si>
    <t>Shravani</t>
  </si>
  <si>
    <t>shindalkaraniket35@gmail.com</t>
  </si>
  <si>
    <t xml:space="preserve">Shindalkar Aniket Shesherao </t>
  </si>
  <si>
    <t>dipikashinde33801@gmail.com</t>
  </si>
  <si>
    <t xml:space="preserve">Shinde Dipika Dattatray </t>
  </si>
  <si>
    <t>rohanrshinde77@gmail.com</t>
  </si>
  <si>
    <t>Shinde Rohan Rajendra</t>
  </si>
  <si>
    <t>shindeshivampatil2008@gmail.com</t>
  </si>
  <si>
    <t xml:space="preserve">Shivam Sandeep Shinde </t>
  </si>
  <si>
    <t>ys1858489@gmail.com</t>
  </si>
  <si>
    <t xml:space="preserve">Shinde Yashraj Yuvraj </t>
  </si>
  <si>
    <t>abhishekbhai123321@gmail.com</t>
  </si>
  <si>
    <t>Abhishek shahaji sirsat</t>
  </si>
  <si>
    <t>Rohit Ramesh Sonwane</t>
  </si>
  <si>
    <t>umbardandshivlila@gmail.com</t>
  </si>
  <si>
    <t xml:space="preserve">Umbardand shivlila babasaheb </t>
  </si>
  <si>
    <t>anjaliware0505@gmail.com</t>
  </si>
  <si>
    <t xml:space="preserve">Anjali Ramdas vare </t>
  </si>
  <si>
    <t xml:space="preserve">Waghmare pallavi Dnyaneshwar </t>
  </si>
  <si>
    <t>uttkarshyadav18@gmail.com</t>
  </si>
  <si>
    <t>UTTKARSH MANOJ YADAV</t>
  </si>
  <si>
    <t>SUM (=23*50=1150)</t>
  </si>
  <si>
    <t>OUT OF 50</t>
  </si>
  <si>
    <t>Roll No.</t>
  </si>
  <si>
    <t>-</t>
  </si>
  <si>
    <t xml:space="preserve">GOVERNMENT POLYTECHNIC, DHARASHIV          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</si>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</sst>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"/>
    <numFmt numFmtId="165" formatCode="m/d/yyyy\ h:mm:ss"/>
  </numFmts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9"/>
      <color theme="1"/>
      <name val="Arial"/>
      <scheme val="minor"/>
    </font>
    <font>
      <sz val="8"/>
      <color theme="1"/>
      <name val="Arial"/>
      <scheme val="minor"/>
    </font>
    <font>
      <b/>
      <sz val="10"/>
      <color theme="1"/>
      <name val="Arial"/>
      <scheme val="minor"/>
    </font>
    <font>
      <sz val="12"/>
      <color theme="1"/>
      <name val="Arial"/>
      <scheme val="minor"/>
    </font>
    <font>
      <b/>
      <sz val="13"/>
      <color theme="1"/>
      <name val="Arial"/>
      <scheme val="minor"/>
    </font>
    <font>
      <sz val="10"/>
      <color theme="1"/>
      <name val="Verdana"/>
    </font>
    <font>
      <b/>
      <sz val="8"/>
      <color theme="1"/>
      <name val="Arial"/>
    </font>
    <font>
      <sz val="8"/>
      <color theme="1"/>
      <name val="Arial"/>
    </font>
    <font>
      <i/>
      <sz val="8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theme="7" tint="0.39997558519241921"/>
        <bgColor rgb="FFFFE59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1" fillId="3" borderId="2" xfId="0" applyFont="1" applyFill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172"/>
  <sheetViews>
    <sheetView tabSelected="1" view="pageBreakPreview" zoomScale="85" zoomScaleNormal="100" zoomScaleSheetLayoutView="85" workbookViewId="0">
      <pane ySplit="6" topLeftCell="A7" activePane="bottomLeft" state="frozen"/>
      <selection pane="bottomLeft" activeCell="M75" sqref="M75"/>
    </sheetView>
  </sheetViews>
  <sheetFormatPr defaultColWidth="12.5703125" defaultRowHeight="15.75" customHeight="1" x14ac:dyDescent="0.2"/>
  <cols>
    <col min="1" max="1" width="17.5703125" hidden="1" customWidth="1"/>
    <col min="2" max="2" width="26" hidden="1" customWidth="1"/>
    <col min="3" max="3" width="8.140625" customWidth="1"/>
    <col min="4" max="4" width="28.42578125" bestFit="1" customWidth="1"/>
    <col min="5" max="5" width="12.42578125" bestFit="1" customWidth="1"/>
    <col min="6" max="6" width="12" bestFit="1" customWidth="1"/>
    <col min="7" max="20" width="9" bestFit="1" customWidth="1"/>
    <col min="21" max="21" width="5.85546875" hidden="1" customWidth="1"/>
    <col min="22" max="22" width="10" customWidth="1"/>
    <col min="23" max="23" width="7.7109375" customWidth="1"/>
    <col min="24" max="24" width="5.42578125" bestFit="1" customWidth="1"/>
    <col min="25" max="25" width="9.42578125" customWidth="1"/>
    <col min="26" max="26" width="7.7109375" customWidth="1"/>
    <col min="27" max="27" width="7.5703125" customWidth="1"/>
  </cols>
  <sheetData>
    <row r="1" spans="1:27" ht="15.75" customHeight="1" x14ac:dyDescent="0.2">
      <c r="A1" s="45" t="s">
        <v>162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7"/>
    </row>
    <row r="2" spans="1:27" ht="15.75" customHeight="1" x14ac:dyDescent="0.2">
      <c r="A2" s="48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50"/>
    </row>
    <row r="3" spans="1:27" ht="15.75" customHeight="1" x14ac:dyDescent="0.2">
      <c r="A3" s="48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50"/>
    </row>
    <row r="4" spans="1:27" ht="15.75" customHeight="1" thickBot="1" x14ac:dyDescent="0.25">
      <c r="A4" s="51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3"/>
    </row>
    <row r="5" spans="1:27" x14ac:dyDescent="0.2">
      <c r="A5" s="3"/>
      <c r="B5" s="3"/>
      <c r="C5" s="39"/>
      <c r="D5" s="4"/>
      <c r="E5" s="4"/>
      <c r="F5" s="4"/>
      <c r="G5" s="41"/>
      <c r="H5" s="42"/>
      <c r="I5" s="42"/>
      <c r="J5" s="42"/>
      <c r="K5" s="42"/>
      <c r="L5" s="42"/>
      <c r="M5" s="43"/>
      <c r="N5" s="44"/>
      <c r="O5" s="42"/>
      <c r="P5" s="42"/>
      <c r="Q5" s="42"/>
      <c r="R5" s="42"/>
      <c r="S5" s="42"/>
      <c r="T5" s="43"/>
      <c r="U5" s="2"/>
      <c r="V5" s="1"/>
    </row>
    <row r="6" spans="1:27" ht="75.75" customHeight="1" x14ac:dyDescent="0.2">
      <c r="A6" s="6" t="s">
        <v>3</v>
      </c>
      <c r="B6" s="6" t="s">
        <v>4</v>
      </c>
      <c r="C6" s="7" t="s">
        <v>7</v>
      </c>
      <c r="D6" s="7" t="s">
        <v>5</v>
      </c>
      <c r="E6" s="8" t="s">
        <v>6</v>
      </c>
      <c r="F6" s="8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  <c r="N6" s="10" t="s">
        <v>16</v>
      </c>
      <c r="O6" s="10" t="s">
        <v>17</v>
      </c>
      <c r="P6" s="10" t="s">
        <v>18</v>
      </c>
      <c r="Q6" s="10" t="s">
        <v>19</v>
      </c>
      <c r="R6" s="10" t="s">
        <v>20</v>
      </c>
      <c r="S6" s="10" t="s">
        <v>21</v>
      </c>
      <c r="T6" s="10" t="s">
        <v>22</v>
      </c>
      <c r="U6" s="11" t="s">
        <v>23</v>
      </c>
      <c r="V6" s="12" t="s">
        <v>24</v>
      </c>
      <c r="W6" s="13">
        <v>45579</v>
      </c>
      <c r="X6" s="14" t="s">
        <v>25</v>
      </c>
      <c r="Y6" s="12" t="s">
        <v>26</v>
      </c>
      <c r="Z6" s="15" t="s">
        <v>27</v>
      </c>
      <c r="AA6" s="40" t="s">
        <v>163</v>
      </c>
    </row>
    <row r="7" spans="1:27" ht="21.75" customHeight="1" x14ac:dyDescent="0.2">
      <c r="A7" s="17">
        <v>45349.532371400463</v>
      </c>
      <c r="B7" s="18" t="s">
        <v>28</v>
      </c>
      <c r="C7" s="19">
        <v>1</v>
      </c>
      <c r="D7" s="19" t="s">
        <v>29</v>
      </c>
      <c r="E7" s="18">
        <v>23510250191</v>
      </c>
      <c r="F7" s="18">
        <v>8468985022</v>
      </c>
      <c r="G7" s="20">
        <v>1</v>
      </c>
      <c r="H7" s="20">
        <v>1</v>
      </c>
      <c r="I7" s="20">
        <v>2</v>
      </c>
      <c r="J7" s="20">
        <v>2</v>
      </c>
      <c r="K7" s="20">
        <v>0</v>
      </c>
      <c r="L7" s="20">
        <v>1</v>
      </c>
      <c r="M7" s="20">
        <v>-1</v>
      </c>
      <c r="N7" s="21">
        <v>-1</v>
      </c>
      <c r="O7" s="21">
        <v>3</v>
      </c>
      <c r="P7" s="21">
        <v>3</v>
      </c>
      <c r="Q7" s="21">
        <v>0</v>
      </c>
      <c r="R7" s="21">
        <v>4</v>
      </c>
      <c r="S7" s="21">
        <v>1</v>
      </c>
      <c r="T7" s="21">
        <v>3</v>
      </c>
      <c r="U7" s="22">
        <v>11</v>
      </c>
      <c r="V7" s="23">
        <v>21</v>
      </c>
      <c r="W7" s="24">
        <v>7</v>
      </c>
      <c r="X7" s="24">
        <v>14</v>
      </c>
      <c r="Y7" s="23">
        <f t="shared" ref="Y7:Y73" si="0">W7+X7</f>
        <v>21</v>
      </c>
      <c r="Z7" s="24">
        <f t="shared" ref="Z7:Z73" si="1">V7-Y7</f>
        <v>0</v>
      </c>
      <c r="AA7" s="24">
        <f t="shared" ref="AA7:AA38" si="2">C7</f>
        <v>1</v>
      </c>
    </row>
    <row r="8" spans="1:27" ht="21.75" customHeight="1" x14ac:dyDescent="0.2">
      <c r="A8" s="17">
        <v>45349.535684907409</v>
      </c>
      <c r="B8" s="18" t="s">
        <v>30</v>
      </c>
      <c r="C8" s="19">
        <v>2</v>
      </c>
      <c r="D8" s="19" t="s">
        <v>31</v>
      </c>
      <c r="E8" s="18">
        <v>23510250192</v>
      </c>
      <c r="F8" s="18">
        <v>9637998066</v>
      </c>
      <c r="G8" s="20">
        <v>2</v>
      </c>
      <c r="H8" s="20">
        <v>2</v>
      </c>
      <c r="I8" s="20">
        <v>0</v>
      </c>
      <c r="J8" s="20">
        <v>2</v>
      </c>
      <c r="K8" s="20">
        <v>1</v>
      </c>
      <c r="L8" s="20">
        <v>1</v>
      </c>
      <c r="M8" s="20">
        <v>0</v>
      </c>
      <c r="N8" s="21">
        <v>0</v>
      </c>
      <c r="O8" s="21">
        <v>4</v>
      </c>
      <c r="P8" s="21">
        <v>1</v>
      </c>
      <c r="Q8" s="21">
        <v>1</v>
      </c>
      <c r="R8" s="21">
        <v>0</v>
      </c>
      <c r="S8" s="21">
        <v>0</v>
      </c>
      <c r="T8" s="21">
        <v>0</v>
      </c>
      <c r="U8" s="22">
        <v>0</v>
      </c>
      <c r="V8" s="23">
        <v>14</v>
      </c>
      <c r="W8" s="24">
        <v>8</v>
      </c>
      <c r="X8" s="24">
        <v>6</v>
      </c>
      <c r="Y8" s="23">
        <f t="shared" si="0"/>
        <v>14</v>
      </c>
      <c r="Z8" s="24">
        <f t="shared" si="1"/>
        <v>0</v>
      </c>
      <c r="AA8" s="24">
        <f t="shared" si="2"/>
        <v>2</v>
      </c>
    </row>
    <row r="9" spans="1:27" ht="21.75" customHeight="1" x14ac:dyDescent="0.2">
      <c r="A9" s="17">
        <v>45350.674741226852</v>
      </c>
      <c r="B9" s="18" t="s">
        <v>32</v>
      </c>
      <c r="C9" s="19">
        <v>3</v>
      </c>
      <c r="D9" s="19" t="s">
        <v>33</v>
      </c>
      <c r="E9" s="18">
        <v>23510250193</v>
      </c>
      <c r="F9" s="18">
        <v>9209526986</v>
      </c>
      <c r="G9" s="20">
        <v>1</v>
      </c>
      <c r="H9" s="20">
        <v>2</v>
      </c>
      <c r="I9" s="20">
        <v>-1</v>
      </c>
      <c r="J9" s="20">
        <v>2</v>
      </c>
      <c r="K9" s="20">
        <v>1</v>
      </c>
      <c r="L9" s="20">
        <v>-1</v>
      </c>
      <c r="M9" s="20">
        <v>-1</v>
      </c>
      <c r="N9" s="21">
        <v>3</v>
      </c>
      <c r="O9" s="21">
        <v>-1</v>
      </c>
      <c r="P9" s="21">
        <v>1</v>
      </c>
      <c r="Q9" s="21">
        <v>0</v>
      </c>
      <c r="R9" s="21">
        <v>-1</v>
      </c>
      <c r="S9" s="21">
        <v>-1</v>
      </c>
      <c r="T9" s="21">
        <v>-1</v>
      </c>
      <c r="U9" s="25">
        <v>0</v>
      </c>
      <c r="V9" s="23">
        <v>10</v>
      </c>
      <c r="W9" s="24">
        <v>6</v>
      </c>
      <c r="X9" s="24">
        <v>4</v>
      </c>
      <c r="Y9" s="23">
        <f t="shared" si="0"/>
        <v>10</v>
      </c>
      <c r="Z9" s="24">
        <f t="shared" si="1"/>
        <v>0</v>
      </c>
      <c r="AA9" s="24">
        <f t="shared" si="2"/>
        <v>3</v>
      </c>
    </row>
    <row r="10" spans="1:27" ht="21.75" customHeight="1" x14ac:dyDescent="0.2">
      <c r="A10" s="17">
        <v>45349.536182233795</v>
      </c>
      <c r="B10" s="18" t="s">
        <v>34</v>
      </c>
      <c r="C10" s="19">
        <v>4</v>
      </c>
      <c r="D10" s="19" t="s">
        <v>35</v>
      </c>
      <c r="E10" s="18">
        <v>23510250194</v>
      </c>
      <c r="F10" s="18">
        <v>9322671442</v>
      </c>
      <c r="G10" s="20">
        <v>2</v>
      </c>
      <c r="H10" s="20">
        <v>2</v>
      </c>
      <c r="I10" s="20">
        <v>2</v>
      </c>
      <c r="J10" s="20">
        <v>2</v>
      </c>
      <c r="K10" s="20">
        <v>1</v>
      </c>
      <c r="L10" s="20">
        <v>2</v>
      </c>
      <c r="M10" s="20">
        <v>1</v>
      </c>
      <c r="N10" s="21">
        <v>2</v>
      </c>
      <c r="O10" s="21">
        <v>-1</v>
      </c>
      <c r="P10" s="21">
        <v>3</v>
      </c>
      <c r="Q10" s="21">
        <v>-1</v>
      </c>
      <c r="R10" s="21">
        <v>-1</v>
      </c>
      <c r="S10" s="21">
        <v>-1</v>
      </c>
      <c r="T10" s="21">
        <v>2</v>
      </c>
      <c r="U10" s="22">
        <v>0</v>
      </c>
      <c r="V10" s="23">
        <v>17</v>
      </c>
      <c r="W10" s="24">
        <v>10</v>
      </c>
      <c r="X10" s="24">
        <v>7</v>
      </c>
      <c r="Y10" s="23">
        <f t="shared" si="0"/>
        <v>17</v>
      </c>
      <c r="Z10" s="24">
        <f t="shared" si="1"/>
        <v>0</v>
      </c>
      <c r="AA10" s="24">
        <f t="shared" si="2"/>
        <v>4</v>
      </c>
    </row>
    <row r="11" spans="1:27" ht="21.75" customHeight="1" x14ac:dyDescent="0.2">
      <c r="A11" s="17">
        <v>45349.531653784725</v>
      </c>
      <c r="B11" s="18" t="s">
        <v>36</v>
      </c>
      <c r="C11" s="19">
        <v>5</v>
      </c>
      <c r="D11" s="19" t="s">
        <v>37</v>
      </c>
      <c r="E11" s="18">
        <v>23510250195</v>
      </c>
      <c r="F11" s="18">
        <v>9284904157</v>
      </c>
      <c r="G11" s="20">
        <v>2</v>
      </c>
      <c r="H11" s="20">
        <v>2</v>
      </c>
      <c r="I11" s="20">
        <v>2</v>
      </c>
      <c r="J11" s="20">
        <v>2</v>
      </c>
      <c r="K11" s="20">
        <v>2</v>
      </c>
      <c r="L11" s="20">
        <v>-1</v>
      </c>
      <c r="M11" s="20">
        <v>-1</v>
      </c>
      <c r="N11" s="21">
        <v>4</v>
      </c>
      <c r="O11" s="21">
        <v>4</v>
      </c>
      <c r="P11" s="21">
        <v>3</v>
      </c>
      <c r="Q11" s="21">
        <v>-1</v>
      </c>
      <c r="R11" s="21">
        <v>0</v>
      </c>
      <c r="S11" s="21">
        <v>2</v>
      </c>
      <c r="T11" s="21">
        <v>4</v>
      </c>
      <c r="U11" s="22">
        <v>0</v>
      </c>
      <c r="V11" s="23">
        <v>27</v>
      </c>
      <c r="W11" s="24">
        <v>10</v>
      </c>
      <c r="X11" s="24">
        <v>17</v>
      </c>
      <c r="Y11" s="23">
        <f t="shared" si="0"/>
        <v>27</v>
      </c>
      <c r="Z11" s="24">
        <f t="shared" si="1"/>
        <v>0</v>
      </c>
      <c r="AA11" s="24">
        <f t="shared" si="2"/>
        <v>5</v>
      </c>
    </row>
    <row r="12" spans="1:27" ht="21.75" customHeight="1" x14ac:dyDescent="0.2">
      <c r="A12" s="17">
        <v>45349.533349861114</v>
      </c>
      <c r="B12" s="18" t="s">
        <v>38</v>
      </c>
      <c r="C12" s="19">
        <v>6</v>
      </c>
      <c r="D12" s="19" t="s">
        <v>39</v>
      </c>
      <c r="E12" s="18">
        <v>23510250196</v>
      </c>
      <c r="F12" s="18">
        <v>9325260614</v>
      </c>
      <c r="G12" s="20">
        <v>2</v>
      </c>
      <c r="H12" s="20">
        <v>1</v>
      </c>
      <c r="I12" s="20">
        <v>-1</v>
      </c>
      <c r="J12" s="20">
        <v>-1</v>
      </c>
      <c r="K12" s="20">
        <v>2</v>
      </c>
      <c r="L12" s="20">
        <v>1</v>
      </c>
      <c r="M12" s="20">
        <v>-1</v>
      </c>
      <c r="N12" s="21">
        <v>3</v>
      </c>
      <c r="O12" s="21">
        <v>2</v>
      </c>
      <c r="P12" s="21">
        <v>0</v>
      </c>
      <c r="Q12" s="21">
        <v>1</v>
      </c>
      <c r="R12" s="21">
        <v>-1</v>
      </c>
      <c r="S12" s="21">
        <v>2</v>
      </c>
      <c r="T12" s="21">
        <v>2</v>
      </c>
      <c r="U12" s="22">
        <v>0</v>
      </c>
      <c r="V12" s="23">
        <v>16</v>
      </c>
      <c r="W12" s="24">
        <v>6</v>
      </c>
      <c r="X12" s="24">
        <v>10</v>
      </c>
      <c r="Y12" s="23">
        <f t="shared" si="0"/>
        <v>16</v>
      </c>
      <c r="Z12" s="24">
        <f t="shared" si="1"/>
        <v>0</v>
      </c>
      <c r="AA12" s="24">
        <f t="shared" si="2"/>
        <v>6</v>
      </c>
    </row>
    <row r="13" spans="1:27" ht="21.75" customHeight="1" x14ac:dyDescent="0.2">
      <c r="A13" s="17">
        <v>45349.534775856482</v>
      </c>
      <c r="B13" s="18" t="s">
        <v>40</v>
      </c>
      <c r="C13" s="19">
        <v>7</v>
      </c>
      <c r="D13" s="19" t="s">
        <v>41</v>
      </c>
      <c r="E13" s="18">
        <v>23510250197</v>
      </c>
      <c r="F13" s="18">
        <v>9022989193</v>
      </c>
      <c r="G13" s="20">
        <v>1</v>
      </c>
      <c r="H13" s="20">
        <v>2</v>
      </c>
      <c r="I13" s="20">
        <v>0</v>
      </c>
      <c r="J13" s="20">
        <v>2</v>
      </c>
      <c r="K13" s="20">
        <v>1</v>
      </c>
      <c r="L13" s="20">
        <v>1</v>
      </c>
      <c r="M13" s="20">
        <v>-1</v>
      </c>
      <c r="N13" s="21">
        <v>1</v>
      </c>
      <c r="O13" s="21">
        <v>2</v>
      </c>
      <c r="P13" s="21">
        <v>1</v>
      </c>
      <c r="Q13" s="21">
        <v>0</v>
      </c>
      <c r="R13" s="21">
        <v>0</v>
      </c>
      <c r="S13" s="21">
        <v>-1</v>
      </c>
      <c r="T13" s="21">
        <v>1</v>
      </c>
      <c r="U13" s="22">
        <v>0</v>
      </c>
      <c r="V13" s="23">
        <v>12</v>
      </c>
      <c r="W13" s="24">
        <v>7</v>
      </c>
      <c r="X13" s="24">
        <v>5</v>
      </c>
      <c r="Y13" s="23">
        <f t="shared" si="0"/>
        <v>12</v>
      </c>
      <c r="Z13" s="24">
        <f t="shared" si="1"/>
        <v>0</v>
      </c>
      <c r="AA13" s="24">
        <f t="shared" si="2"/>
        <v>7</v>
      </c>
    </row>
    <row r="14" spans="1:27" ht="21.75" customHeight="1" x14ac:dyDescent="0.2">
      <c r="A14" s="17">
        <v>45349.532367523148</v>
      </c>
      <c r="B14" s="18" t="s">
        <v>42</v>
      </c>
      <c r="C14" s="19">
        <v>8</v>
      </c>
      <c r="D14" s="19" t="s">
        <v>43</v>
      </c>
      <c r="E14" s="18">
        <v>23510250198</v>
      </c>
      <c r="F14" s="26" t="s">
        <v>44</v>
      </c>
      <c r="G14" s="20">
        <v>2</v>
      </c>
      <c r="H14" s="20">
        <v>2</v>
      </c>
      <c r="I14" s="20">
        <v>2</v>
      </c>
      <c r="J14" s="20">
        <v>2</v>
      </c>
      <c r="K14" s="20">
        <v>2</v>
      </c>
      <c r="L14" s="20">
        <v>2</v>
      </c>
      <c r="M14" s="20">
        <v>-1</v>
      </c>
      <c r="N14" s="21">
        <v>3</v>
      </c>
      <c r="O14" s="21">
        <v>2</v>
      </c>
      <c r="P14" s="21">
        <v>3</v>
      </c>
      <c r="Q14" s="21">
        <v>-1</v>
      </c>
      <c r="R14" s="21">
        <v>2</v>
      </c>
      <c r="S14" s="21">
        <v>1</v>
      </c>
      <c r="T14" s="21">
        <v>4</v>
      </c>
      <c r="U14" s="22">
        <v>0</v>
      </c>
      <c r="V14" s="23">
        <v>24</v>
      </c>
      <c r="W14" s="24">
        <v>10</v>
      </c>
      <c r="X14" s="24">
        <v>14</v>
      </c>
      <c r="Y14" s="23">
        <f t="shared" si="0"/>
        <v>24</v>
      </c>
      <c r="Z14" s="24">
        <f t="shared" si="1"/>
        <v>0</v>
      </c>
      <c r="AA14" s="24">
        <f t="shared" si="2"/>
        <v>8</v>
      </c>
    </row>
    <row r="15" spans="1:27" ht="21.75" customHeight="1" x14ac:dyDescent="0.2">
      <c r="A15" s="17">
        <v>45349.535730104166</v>
      </c>
      <c r="B15" s="18" t="s">
        <v>45</v>
      </c>
      <c r="C15" s="19">
        <v>9</v>
      </c>
      <c r="D15" s="19" t="s">
        <v>46</v>
      </c>
      <c r="E15" s="18">
        <v>23510250199</v>
      </c>
      <c r="F15" s="18">
        <v>7775900436</v>
      </c>
      <c r="G15" s="20">
        <v>2</v>
      </c>
      <c r="H15" s="20">
        <v>1</v>
      </c>
      <c r="I15" s="20">
        <v>1</v>
      </c>
      <c r="J15" s="20">
        <v>2</v>
      </c>
      <c r="K15" s="20">
        <v>2</v>
      </c>
      <c r="L15" s="20">
        <v>2</v>
      </c>
      <c r="M15" s="20">
        <v>1</v>
      </c>
      <c r="N15" s="21">
        <v>3</v>
      </c>
      <c r="O15" s="21">
        <v>2</v>
      </c>
      <c r="P15" s="21">
        <v>1</v>
      </c>
      <c r="Q15" s="21">
        <v>1</v>
      </c>
      <c r="R15" s="21">
        <v>-1</v>
      </c>
      <c r="S15" s="21">
        <v>1</v>
      </c>
      <c r="T15" s="21">
        <v>1</v>
      </c>
      <c r="U15" s="22">
        <v>0</v>
      </c>
      <c r="V15" s="23">
        <v>17</v>
      </c>
      <c r="W15" s="24">
        <v>9</v>
      </c>
      <c r="X15" s="24">
        <v>8</v>
      </c>
      <c r="Y15" s="23">
        <f t="shared" si="0"/>
        <v>17</v>
      </c>
      <c r="Z15" s="24">
        <f t="shared" si="1"/>
        <v>0</v>
      </c>
      <c r="AA15" s="24">
        <f t="shared" si="2"/>
        <v>9</v>
      </c>
    </row>
    <row r="16" spans="1:27" ht="21.75" customHeight="1" x14ac:dyDescent="0.2">
      <c r="A16" s="17">
        <v>45349.531640162037</v>
      </c>
      <c r="B16" s="18" t="s">
        <v>47</v>
      </c>
      <c r="C16" s="19">
        <v>10</v>
      </c>
      <c r="D16" s="19" t="s">
        <v>48</v>
      </c>
      <c r="E16" s="18">
        <v>23510250200</v>
      </c>
      <c r="F16" s="18">
        <v>8208065798</v>
      </c>
      <c r="G16" s="20">
        <v>2</v>
      </c>
      <c r="H16" s="20">
        <v>2</v>
      </c>
      <c r="I16" s="20">
        <v>2</v>
      </c>
      <c r="J16" s="20">
        <v>2</v>
      </c>
      <c r="K16" s="20">
        <v>1</v>
      </c>
      <c r="L16" s="20">
        <v>-1</v>
      </c>
      <c r="M16" s="20">
        <v>-1</v>
      </c>
      <c r="N16" s="21">
        <v>-1</v>
      </c>
      <c r="O16" s="21">
        <v>1</v>
      </c>
      <c r="P16" s="21">
        <v>1</v>
      </c>
      <c r="Q16" s="21">
        <v>-1</v>
      </c>
      <c r="R16" s="21">
        <v>1</v>
      </c>
      <c r="S16" s="21">
        <v>-1</v>
      </c>
      <c r="T16" s="21">
        <v>3</v>
      </c>
      <c r="U16" s="22">
        <v>0</v>
      </c>
      <c r="V16" s="23">
        <v>15</v>
      </c>
      <c r="W16" s="24">
        <v>9</v>
      </c>
      <c r="X16" s="24">
        <v>6</v>
      </c>
      <c r="Y16" s="23">
        <f t="shared" si="0"/>
        <v>15</v>
      </c>
      <c r="Z16" s="24">
        <f t="shared" si="1"/>
        <v>0</v>
      </c>
      <c r="AA16" s="24">
        <f t="shared" si="2"/>
        <v>10</v>
      </c>
    </row>
    <row r="17" spans="1:27" ht="21.75" customHeight="1" x14ac:dyDescent="0.2">
      <c r="A17" s="17">
        <v>45349.536415509254</v>
      </c>
      <c r="B17" s="18" t="s">
        <v>49</v>
      </c>
      <c r="C17" s="19">
        <v>11</v>
      </c>
      <c r="D17" s="19" t="s">
        <v>50</v>
      </c>
      <c r="E17" s="18">
        <v>23510250201</v>
      </c>
      <c r="F17" s="18">
        <v>9503988621</v>
      </c>
      <c r="G17" s="20">
        <v>2</v>
      </c>
      <c r="H17" s="20">
        <v>2</v>
      </c>
      <c r="I17" s="20">
        <v>2</v>
      </c>
      <c r="J17" s="20">
        <v>2</v>
      </c>
      <c r="K17" s="20">
        <v>1</v>
      </c>
      <c r="L17" s="20">
        <v>1</v>
      </c>
      <c r="M17" s="20">
        <v>1</v>
      </c>
      <c r="N17" s="21">
        <v>3</v>
      </c>
      <c r="O17" s="21">
        <v>4</v>
      </c>
      <c r="P17" s="21">
        <v>3</v>
      </c>
      <c r="Q17" s="21">
        <v>0</v>
      </c>
      <c r="R17" s="21">
        <v>1</v>
      </c>
      <c r="S17" s="21">
        <v>-1</v>
      </c>
      <c r="T17" s="21">
        <v>-1</v>
      </c>
      <c r="U17" s="22">
        <v>0</v>
      </c>
      <c r="V17" s="23">
        <v>20</v>
      </c>
      <c r="W17" s="24">
        <v>9</v>
      </c>
      <c r="X17" s="24">
        <v>11</v>
      </c>
      <c r="Y17" s="23">
        <f t="shared" si="0"/>
        <v>20</v>
      </c>
      <c r="Z17" s="24">
        <f t="shared" si="1"/>
        <v>0</v>
      </c>
      <c r="AA17" s="24">
        <f t="shared" si="2"/>
        <v>11</v>
      </c>
    </row>
    <row r="18" spans="1:27" ht="21.75" customHeight="1" x14ac:dyDescent="0.2">
      <c r="A18" s="17">
        <v>45350.676114120375</v>
      </c>
      <c r="B18" s="18" t="s">
        <v>51</v>
      </c>
      <c r="C18" s="19">
        <v>12</v>
      </c>
      <c r="D18" s="19" t="s">
        <v>52</v>
      </c>
      <c r="E18" s="18">
        <v>23510250202</v>
      </c>
      <c r="F18" s="18">
        <v>7798844407</v>
      </c>
      <c r="G18" s="20">
        <v>0</v>
      </c>
      <c r="H18" s="20">
        <v>2</v>
      </c>
      <c r="I18" s="20">
        <v>1</v>
      </c>
      <c r="J18" s="20">
        <v>2</v>
      </c>
      <c r="K18" s="20">
        <v>0</v>
      </c>
      <c r="L18" s="20">
        <v>-1</v>
      </c>
      <c r="M18" s="20">
        <v>-1</v>
      </c>
      <c r="N18" s="21">
        <v>0</v>
      </c>
      <c r="O18" s="21">
        <v>1</v>
      </c>
      <c r="P18" s="21">
        <v>2</v>
      </c>
      <c r="Q18" s="21">
        <v>0</v>
      </c>
      <c r="R18" s="21">
        <v>-1</v>
      </c>
      <c r="S18" s="21">
        <v>-1</v>
      </c>
      <c r="T18" s="21">
        <v>2</v>
      </c>
      <c r="U18" s="25">
        <v>0</v>
      </c>
      <c r="V18" s="23">
        <v>10</v>
      </c>
      <c r="W18" s="24">
        <v>5</v>
      </c>
      <c r="X18" s="24">
        <v>5</v>
      </c>
      <c r="Y18" s="23">
        <f t="shared" si="0"/>
        <v>10</v>
      </c>
      <c r="Z18" s="24">
        <f t="shared" si="1"/>
        <v>0</v>
      </c>
      <c r="AA18" s="24">
        <f t="shared" si="2"/>
        <v>12</v>
      </c>
    </row>
    <row r="19" spans="1:27" ht="21.75" customHeight="1" x14ac:dyDescent="0.2">
      <c r="A19" s="17">
        <v>45349.533736145837</v>
      </c>
      <c r="B19" s="18" t="s">
        <v>53</v>
      </c>
      <c r="C19" s="19">
        <v>13</v>
      </c>
      <c r="D19" s="19" t="s">
        <v>54</v>
      </c>
      <c r="E19" s="18">
        <v>23510250203</v>
      </c>
      <c r="F19" s="18">
        <v>8459607758</v>
      </c>
      <c r="G19" s="20">
        <v>2</v>
      </c>
      <c r="H19" s="20">
        <v>2</v>
      </c>
      <c r="I19" s="20">
        <v>1</v>
      </c>
      <c r="J19" s="20">
        <v>2</v>
      </c>
      <c r="K19" s="20">
        <v>1</v>
      </c>
      <c r="L19" s="20">
        <v>1</v>
      </c>
      <c r="M19" s="20">
        <v>-1</v>
      </c>
      <c r="N19" s="21">
        <v>4</v>
      </c>
      <c r="O19" s="21">
        <v>4</v>
      </c>
      <c r="P19" s="21">
        <v>4</v>
      </c>
      <c r="Q19" s="21">
        <v>1</v>
      </c>
      <c r="R19" s="21">
        <v>1</v>
      </c>
      <c r="S19" s="21">
        <v>-1</v>
      </c>
      <c r="T19" s="21">
        <v>4</v>
      </c>
      <c r="U19" s="22">
        <v>0</v>
      </c>
      <c r="V19" s="23">
        <v>25</v>
      </c>
      <c r="W19" s="24">
        <v>8</v>
      </c>
      <c r="X19" s="24">
        <v>17</v>
      </c>
      <c r="Y19" s="23">
        <f t="shared" si="0"/>
        <v>25</v>
      </c>
      <c r="Z19" s="24">
        <f t="shared" si="1"/>
        <v>0</v>
      </c>
      <c r="AA19" s="24">
        <f t="shared" si="2"/>
        <v>13</v>
      </c>
    </row>
    <row r="20" spans="1:27" ht="21.75" customHeight="1" x14ac:dyDescent="0.2">
      <c r="A20" s="17">
        <v>45349.532522476853</v>
      </c>
      <c r="B20" s="18" t="s">
        <v>55</v>
      </c>
      <c r="C20" s="19">
        <v>14</v>
      </c>
      <c r="D20" s="19" t="s">
        <v>56</v>
      </c>
      <c r="E20" s="18">
        <v>23510250204</v>
      </c>
      <c r="F20" s="18">
        <v>9529368030</v>
      </c>
      <c r="G20" s="20">
        <v>1</v>
      </c>
      <c r="H20" s="20">
        <v>0</v>
      </c>
      <c r="I20" s="20">
        <v>1</v>
      </c>
      <c r="J20" s="20">
        <v>2</v>
      </c>
      <c r="K20" s="20">
        <v>2</v>
      </c>
      <c r="L20" s="20">
        <v>2</v>
      </c>
      <c r="M20" s="20">
        <v>0</v>
      </c>
      <c r="N20" s="21">
        <v>4</v>
      </c>
      <c r="O20" s="21">
        <v>-1</v>
      </c>
      <c r="P20" s="21">
        <v>4</v>
      </c>
      <c r="Q20" s="21">
        <v>-1</v>
      </c>
      <c r="R20" s="21">
        <v>0</v>
      </c>
      <c r="S20" s="21">
        <v>-1</v>
      </c>
      <c r="T20" s="21">
        <v>0</v>
      </c>
      <c r="U20" s="22">
        <v>0</v>
      </c>
      <c r="V20" s="23">
        <v>16</v>
      </c>
      <c r="W20" s="24">
        <v>8</v>
      </c>
      <c r="X20" s="24">
        <v>8</v>
      </c>
      <c r="Y20" s="23">
        <f t="shared" si="0"/>
        <v>16</v>
      </c>
      <c r="Z20" s="24">
        <f t="shared" si="1"/>
        <v>0</v>
      </c>
      <c r="AA20" s="24">
        <f t="shared" si="2"/>
        <v>14</v>
      </c>
    </row>
    <row r="21" spans="1:27" ht="21.75" customHeight="1" x14ac:dyDescent="0.2">
      <c r="A21" s="17">
        <v>45349.532150162035</v>
      </c>
      <c r="B21" s="18" t="s">
        <v>57</v>
      </c>
      <c r="C21" s="19">
        <v>15</v>
      </c>
      <c r="D21" s="19" t="s">
        <v>58</v>
      </c>
      <c r="E21" s="18">
        <v>23510250205</v>
      </c>
      <c r="F21" s="18">
        <v>8208523557</v>
      </c>
      <c r="G21" s="20">
        <v>0</v>
      </c>
      <c r="H21" s="20">
        <v>0</v>
      </c>
      <c r="I21" s="20">
        <v>2</v>
      </c>
      <c r="J21" s="20">
        <v>2</v>
      </c>
      <c r="K21" s="20">
        <v>2</v>
      </c>
      <c r="L21" s="20">
        <v>1</v>
      </c>
      <c r="M21" s="20">
        <v>-1</v>
      </c>
      <c r="N21" s="21">
        <v>3</v>
      </c>
      <c r="O21" s="21">
        <v>0</v>
      </c>
      <c r="P21" s="21">
        <v>2</v>
      </c>
      <c r="Q21" s="21">
        <v>-1</v>
      </c>
      <c r="R21" s="21">
        <v>2</v>
      </c>
      <c r="S21" s="21">
        <v>1</v>
      </c>
      <c r="T21" s="21">
        <v>-1</v>
      </c>
      <c r="U21" s="22">
        <v>0</v>
      </c>
      <c r="V21" s="23">
        <v>15</v>
      </c>
      <c r="W21" s="24">
        <v>7</v>
      </c>
      <c r="X21" s="24">
        <v>8</v>
      </c>
      <c r="Y21" s="23">
        <f t="shared" si="0"/>
        <v>15</v>
      </c>
      <c r="Z21" s="24">
        <f t="shared" si="1"/>
        <v>0</v>
      </c>
      <c r="AA21" s="24">
        <f t="shared" si="2"/>
        <v>15</v>
      </c>
    </row>
    <row r="22" spans="1:27" ht="21.75" customHeight="1" x14ac:dyDescent="0.2">
      <c r="A22" s="17">
        <v>45349.532670057873</v>
      </c>
      <c r="B22" s="18" t="s">
        <v>59</v>
      </c>
      <c r="C22" s="19">
        <v>16</v>
      </c>
      <c r="D22" s="19" t="s">
        <v>60</v>
      </c>
      <c r="E22" s="18">
        <v>23510250206</v>
      </c>
      <c r="F22" s="18">
        <v>8788861068</v>
      </c>
      <c r="G22" s="20">
        <v>2</v>
      </c>
      <c r="H22" s="20">
        <v>1</v>
      </c>
      <c r="I22" s="20">
        <v>2</v>
      </c>
      <c r="J22" s="20">
        <v>2</v>
      </c>
      <c r="K22" s="20">
        <v>2</v>
      </c>
      <c r="L22" s="20">
        <v>-1</v>
      </c>
      <c r="M22" s="20">
        <v>-1</v>
      </c>
      <c r="N22" s="21">
        <v>1</v>
      </c>
      <c r="O22" s="21">
        <v>0</v>
      </c>
      <c r="P22" s="21">
        <v>-1</v>
      </c>
      <c r="Q22" s="21">
        <v>0</v>
      </c>
      <c r="R22" s="21">
        <v>-1</v>
      </c>
      <c r="S22" s="21">
        <v>3</v>
      </c>
      <c r="T22" s="21">
        <v>1</v>
      </c>
      <c r="U22" s="22">
        <v>0</v>
      </c>
      <c r="V22" s="23">
        <v>14</v>
      </c>
      <c r="W22" s="24">
        <v>9</v>
      </c>
      <c r="X22" s="24">
        <v>5</v>
      </c>
      <c r="Y22" s="23">
        <f t="shared" si="0"/>
        <v>14</v>
      </c>
      <c r="Z22" s="24">
        <f t="shared" si="1"/>
        <v>0</v>
      </c>
      <c r="AA22" s="24">
        <f t="shared" si="2"/>
        <v>16</v>
      </c>
    </row>
    <row r="23" spans="1:27" ht="21.75" customHeight="1" x14ac:dyDescent="0.2">
      <c r="A23" s="17">
        <v>45350.697984189814</v>
      </c>
      <c r="B23" s="18" t="s">
        <v>61</v>
      </c>
      <c r="C23" s="19">
        <v>17</v>
      </c>
      <c r="D23" s="19" t="s">
        <v>62</v>
      </c>
      <c r="E23" s="18" t="s">
        <v>63</v>
      </c>
      <c r="F23" s="18" t="s">
        <v>63</v>
      </c>
      <c r="G23" s="20">
        <v>2</v>
      </c>
      <c r="H23" s="20">
        <v>2</v>
      </c>
      <c r="I23" s="20">
        <v>2</v>
      </c>
      <c r="J23" s="20">
        <v>2</v>
      </c>
      <c r="K23" s="20">
        <v>0</v>
      </c>
      <c r="L23" s="20">
        <v>2</v>
      </c>
      <c r="M23" s="20">
        <v>2</v>
      </c>
      <c r="N23" s="21">
        <v>0</v>
      </c>
      <c r="O23" s="21">
        <v>1</v>
      </c>
      <c r="P23" s="21">
        <v>1</v>
      </c>
      <c r="Q23" s="21">
        <v>1</v>
      </c>
      <c r="R23" s="21">
        <v>0</v>
      </c>
      <c r="S23" s="21">
        <v>0</v>
      </c>
      <c r="T23" s="21">
        <v>0</v>
      </c>
      <c r="U23" s="22">
        <v>0</v>
      </c>
      <c r="V23" s="23">
        <v>13</v>
      </c>
      <c r="W23" s="24">
        <v>10</v>
      </c>
      <c r="X23" s="24">
        <v>3</v>
      </c>
      <c r="Y23" s="23">
        <f t="shared" si="0"/>
        <v>13</v>
      </c>
      <c r="Z23" s="24">
        <f t="shared" si="1"/>
        <v>0</v>
      </c>
      <c r="AA23" s="24">
        <f t="shared" si="2"/>
        <v>17</v>
      </c>
    </row>
    <row r="24" spans="1:27" ht="21.75" customHeight="1" x14ac:dyDescent="0.2">
      <c r="A24" s="17">
        <v>45349.533537372685</v>
      </c>
      <c r="B24" s="18" t="s">
        <v>64</v>
      </c>
      <c r="C24" s="19">
        <v>18</v>
      </c>
      <c r="D24" s="19" t="s">
        <v>65</v>
      </c>
      <c r="E24" s="18">
        <v>23510250208</v>
      </c>
      <c r="F24" s="18">
        <v>8459743131</v>
      </c>
      <c r="G24" s="20">
        <v>1</v>
      </c>
      <c r="H24" s="20">
        <v>2</v>
      </c>
      <c r="I24" s="20">
        <v>2</v>
      </c>
      <c r="J24" s="20">
        <v>2</v>
      </c>
      <c r="K24" s="20">
        <v>2</v>
      </c>
      <c r="L24" s="20">
        <v>2</v>
      </c>
      <c r="M24" s="20">
        <v>0</v>
      </c>
      <c r="N24" s="21">
        <v>4</v>
      </c>
      <c r="O24" s="21">
        <v>4</v>
      </c>
      <c r="P24" s="21">
        <v>0</v>
      </c>
      <c r="Q24" s="21">
        <v>0</v>
      </c>
      <c r="R24" s="21">
        <v>4</v>
      </c>
      <c r="S24" s="21">
        <v>-1</v>
      </c>
      <c r="T24" s="21">
        <v>4</v>
      </c>
      <c r="U24" s="22">
        <v>0</v>
      </c>
      <c r="V24" s="23">
        <v>26</v>
      </c>
      <c r="W24" s="24">
        <v>10</v>
      </c>
      <c r="X24" s="24">
        <v>16</v>
      </c>
      <c r="Y24" s="23">
        <f t="shared" si="0"/>
        <v>26</v>
      </c>
      <c r="Z24" s="24">
        <f t="shared" si="1"/>
        <v>0</v>
      </c>
      <c r="AA24" s="24">
        <f t="shared" si="2"/>
        <v>18</v>
      </c>
    </row>
    <row r="25" spans="1:27" ht="21.75" customHeight="1" x14ac:dyDescent="0.2">
      <c r="A25" s="17">
        <v>45349.531106226852</v>
      </c>
      <c r="B25" s="18" t="s">
        <v>66</v>
      </c>
      <c r="C25" s="19">
        <v>19</v>
      </c>
      <c r="D25" s="19" t="s">
        <v>67</v>
      </c>
      <c r="E25" s="18">
        <v>23510250209</v>
      </c>
      <c r="F25" s="18">
        <v>9579022694</v>
      </c>
      <c r="G25" s="20">
        <v>2</v>
      </c>
      <c r="H25" s="20">
        <v>2</v>
      </c>
      <c r="I25" s="20">
        <v>2</v>
      </c>
      <c r="J25" s="20">
        <v>2</v>
      </c>
      <c r="K25" s="20">
        <v>2</v>
      </c>
      <c r="L25" s="20">
        <v>2</v>
      </c>
      <c r="M25" s="20" t="s">
        <v>68</v>
      </c>
      <c r="N25" s="21">
        <v>3</v>
      </c>
      <c r="O25" s="21">
        <v>3</v>
      </c>
      <c r="P25" s="21">
        <v>2</v>
      </c>
      <c r="Q25" s="21">
        <v>0</v>
      </c>
      <c r="R25" s="21">
        <v>-1</v>
      </c>
      <c r="S25" s="21">
        <v>-1</v>
      </c>
      <c r="T25" s="21">
        <v>4</v>
      </c>
      <c r="U25" s="22">
        <v>0</v>
      </c>
      <c r="V25" s="23">
        <v>22</v>
      </c>
      <c r="W25" s="24">
        <v>10</v>
      </c>
      <c r="X25" s="24">
        <v>12</v>
      </c>
      <c r="Y25" s="23">
        <f t="shared" si="0"/>
        <v>22</v>
      </c>
      <c r="Z25" s="24">
        <f t="shared" si="1"/>
        <v>0</v>
      </c>
      <c r="AA25" s="24">
        <f t="shared" si="2"/>
        <v>19</v>
      </c>
    </row>
    <row r="26" spans="1:27" ht="21.75" customHeight="1" x14ac:dyDescent="0.2">
      <c r="A26" s="17">
        <v>45349.534977916672</v>
      </c>
      <c r="B26" s="18" t="s">
        <v>69</v>
      </c>
      <c r="C26" s="19">
        <v>20</v>
      </c>
      <c r="D26" s="19" t="s">
        <v>70</v>
      </c>
      <c r="E26" s="18">
        <v>23510250210</v>
      </c>
      <c r="F26" s="18">
        <v>9665352298</v>
      </c>
      <c r="G26" s="20">
        <v>2</v>
      </c>
      <c r="H26" s="20">
        <v>1</v>
      </c>
      <c r="I26" s="20">
        <v>0</v>
      </c>
      <c r="J26" s="20">
        <v>1</v>
      </c>
      <c r="K26" s="20">
        <v>-1</v>
      </c>
      <c r="L26" s="20">
        <v>-1</v>
      </c>
      <c r="M26" s="20">
        <v>-1</v>
      </c>
      <c r="N26" s="21">
        <v>2</v>
      </c>
      <c r="O26" s="21">
        <v>-1</v>
      </c>
      <c r="P26" s="21">
        <v>-1</v>
      </c>
      <c r="Q26" s="21">
        <v>-1</v>
      </c>
      <c r="R26" s="21">
        <v>-1</v>
      </c>
      <c r="S26" s="21">
        <v>-1</v>
      </c>
      <c r="T26" s="21">
        <v>1</v>
      </c>
      <c r="U26" s="22">
        <v>0</v>
      </c>
      <c r="V26" s="23">
        <v>7</v>
      </c>
      <c r="W26" s="24">
        <v>4</v>
      </c>
      <c r="X26" s="24">
        <v>3</v>
      </c>
      <c r="Y26" s="23">
        <f t="shared" si="0"/>
        <v>7</v>
      </c>
      <c r="Z26" s="24">
        <f t="shared" si="1"/>
        <v>0</v>
      </c>
      <c r="AA26" s="24">
        <f t="shared" si="2"/>
        <v>20</v>
      </c>
    </row>
    <row r="27" spans="1:27" ht="21.75" customHeight="1" x14ac:dyDescent="0.2">
      <c r="A27" s="17">
        <v>45349.614237905094</v>
      </c>
      <c r="B27" s="18" t="s">
        <v>71</v>
      </c>
      <c r="C27" s="19">
        <v>21</v>
      </c>
      <c r="D27" s="19" t="s">
        <v>72</v>
      </c>
      <c r="E27" s="18">
        <v>23510250211</v>
      </c>
      <c r="F27" s="18">
        <v>7499011021</v>
      </c>
      <c r="G27" s="20">
        <v>2</v>
      </c>
      <c r="H27" s="20">
        <v>2</v>
      </c>
      <c r="I27" s="20">
        <v>1</v>
      </c>
      <c r="J27" s="20">
        <v>1</v>
      </c>
      <c r="K27" s="20">
        <v>0</v>
      </c>
      <c r="L27" s="20">
        <v>0</v>
      </c>
      <c r="M27" s="20">
        <v>0</v>
      </c>
      <c r="N27" s="21">
        <v>1</v>
      </c>
      <c r="O27" s="21">
        <v>-1</v>
      </c>
      <c r="P27" s="21">
        <v>-1</v>
      </c>
      <c r="Q27" s="21">
        <v>-1</v>
      </c>
      <c r="R27" s="21">
        <v>-1</v>
      </c>
      <c r="S27" s="21">
        <v>-1</v>
      </c>
      <c r="T27" s="21">
        <v>-1</v>
      </c>
      <c r="U27" s="22">
        <v>0</v>
      </c>
      <c r="V27" s="23">
        <v>7</v>
      </c>
      <c r="W27" s="24">
        <v>6</v>
      </c>
      <c r="X27" s="24">
        <v>1</v>
      </c>
      <c r="Y27" s="23">
        <f t="shared" si="0"/>
        <v>7</v>
      </c>
      <c r="Z27" s="24">
        <f t="shared" si="1"/>
        <v>0</v>
      </c>
      <c r="AA27" s="24">
        <f t="shared" si="2"/>
        <v>21</v>
      </c>
    </row>
    <row r="28" spans="1:27" ht="21.75" customHeight="1" x14ac:dyDescent="0.2">
      <c r="A28" s="17">
        <v>45349.534756793983</v>
      </c>
      <c r="B28" s="18" t="s">
        <v>73</v>
      </c>
      <c r="C28" s="19">
        <v>22</v>
      </c>
      <c r="D28" s="19" t="s">
        <v>74</v>
      </c>
      <c r="E28" s="18">
        <v>23510250212</v>
      </c>
      <c r="F28" s="18">
        <v>9309712354</v>
      </c>
      <c r="G28" s="20">
        <v>2</v>
      </c>
      <c r="H28" s="20">
        <v>2</v>
      </c>
      <c r="I28" s="20">
        <v>1</v>
      </c>
      <c r="J28" s="20">
        <v>2</v>
      </c>
      <c r="K28" s="20">
        <v>2</v>
      </c>
      <c r="L28" s="20">
        <v>2</v>
      </c>
      <c r="M28" s="20">
        <v>2</v>
      </c>
      <c r="N28" s="21">
        <v>4</v>
      </c>
      <c r="O28" s="21">
        <v>1</v>
      </c>
      <c r="P28" s="21">
        <v>2</v>
      </c>
      <c r="Q28" s="21">
        <v>-1</v>
      </c>
      <c r="R28" s="21">
        <v>-1</v>
      </c>
      <c r="S28" s="21">
        <v>-1</v>
      </c>
      <c r="T28" s="21">
        <v>2</v>
      </c>
      <c r="U28" s="22">
        <v>0</v>
      </c>
      <c r="V28" s="23">
        <v>19</v>
      </c>
      <c r="W28" s="24">
        <v>10</v>
      </c>
      <c r="X28" s="24">
        <v>9</v>
      </c>
      <c r="Y28" s="23">
        <f t="shared" si="0"/>
        <v>19</v>
      </c>
      <c r="Z28" s="24">
        <f t="shared" si="1"/>
        <v>0</v>
      </c>
      <c r="AA28" s="24">
        <f t="shared" si="2"/>
        <v>22</v>
      </c>
    </row>
    <row r="29" spans="1:27" ht="21.75" customHeight="1" x14ac:dyDescent="0.2">
      <c r="A29" s="17">
        <v>45350.676098055555</v>
      </c>
      <c r="B29" s="18" t="s">
        <v>75</v>
      </c>
      <c r="C29" s="19">
        <v>23</v>
      </c>
      <c r="D29" s="19" t="s">
        <v>76</v>
      </c>
      <c r="E29" s="18">
        <v>23510250213</v>
      </c>
      <c r="F29" s="18">
        <v>8262935973</v>
      </c>
      <c r="G29" s="20">
        <v>2</v>
      </c>
      <c r="H29" s="20">
        <v>1</v>
      </c>
      <c r="I29" s="20">
        <v>1</v>
      </c>
      <c r="J29" s="20">
        <v>1</v>
      </c>
      <c r="K29" s="20">
        <v>0</v>
      </c>
      <c r="L29" s="20">
        <v>1</v>
      </c>
      <c r="M29" s="20">
        <v>-1</v>
      </c>
      <c r="N29" s="21">
        <v>2</v>
      </c>
      <c r="O29" s="21">
        <v>1</v>
      </c>
      <c r="P29" s="21">
        <v>1</v>
      </c>
      <c r="Q29" s="21">
        <v>1</v>
      </c>
      <c r="R29" s="21">
        <v>0</v>
      </c>
      <c r="S29" s="21">
        <v>2</v>
      </c>
      <c r="T29" s="21">
        <v>1</v>
      </c>
      <c r="U29" s="22">
        <v>0</v>
      </c>
      <c r="V29" s="23">
        <v>13</v>
      </c>
      <c r="W29" s="24">
        <v>6</v>
      </c>
      <c r="X29" s="24">
        <v>7</v>
      </c>
      <c r="Y29" s="23">
        <f t="shared" si="0"/>
        <v>13</v>
      </c>
      <c r="Z29" s="24">
        <f t="shared" si="1"/>
        <v>0</v>
      </c>
      <c r="AA29" s="24">
        <f t="shared" si="2"/>
        <v>23</v>
      </c>
    </row>
    <row r="30" spans="1:27" ht="21.75" customHeight="1" x14ac:dyDescent="0.2">
      <c r="A30" s="17">
        <v>45349.533016597226</v>
      </c>
      <c r="B30" s="18" t="s">
        <v>77</v>
      </c>
      <c r="C30" s="19">
        <v>24</v>
      </c>
      <c r="D30" s="19" t="s">
        <v>78</v>
      </c>
      <c r="E30" s="18">
        <v>23510250214</v>
      </c>
      <c r="F30" s="18">
        <v>9284536775</v>
      </c>
      <c r="G30" s="20">
        <v>2</v>
      </c>
      <c r="H30" s="20">
        <v>1</v>
      </c>
      <c r="I30" s="20">
        <v>2</v>
      </c>
      <c r="J30" s="20">
        <v>2</v>
      </c>
      <c r="K30" s="20">
        <v>2</v>
      </c>
      <c r="L30" s="20">
        <v>-1</v>
      </c>
      <c r="M30" s="20">
        <v>-1</v>
      </c>
      <c r="N30" s="21">
        <v>4</v>
      </c>
      <c r="O30" s="21">
        <v>3</v>
      </c>
      <c r="P30" s="21">
        <v>3</v>
      </c>
      <c r="Q30" s="21">
        <v>-1</v>
      </c>
      <c r="R30" s="21">
        <v>-1</v>
      </c>
      <c r="S30" s="21">
        <v>-1</v>
      </c>
      <c r="T30" s="21">
        <v>-1</v>
      </c>
      <c r="U30" s="22">
        <v>0</v>
      </c>
      <c r="V30" s="23">
        <v>19</v>
      </c>
      <c r="W30" s="24">
        <v>9</v>
      </c>
      <c r="X30" s="24">
        <v>10</v>
      </c>
      <c r="Y30" s="23">
        <f t="shared" si="0"/>
        <v>19</v>
      </c>
      <c r="Z30" s="24">
        <f t="shared" si="1"/>
        <v>0</v>
      </c>
      <c r="AA30" s="24">
        <f t="shared" si="2"/>
        <v>24</v>
      </c>
    </row>
    <row r="31" spans="1:27" ht="21.75" customHeight="1" x14ac:dyDescent="0.2">
      <c r="A31" s="17">
        <v>45349.535082245369</v>
      </c>
      <c r="B31" s="18" t="s">
        <v>79</v>
      </c>
      <c r="C31" s="19">
        <v>25</v>
      </c>
      <c r="D31" s="19" t="s">
        <v>80</v>
      </c>
      <c r="E31" s="18">
        <v>23510250215</v>
      </c>
      <c r="F31" s="18">
        <v>9834105241</v>
      </c>
      <c r="G31" s="20">
        <v>2</v>
      </c>
      <c r="H31" s="20">
        <v>2</v>
      </c>
      <c r="I31" s="20">
        <v>1</v>
      </c>
      <c r="J31" s="20">
        <v>-1</v>
      </c>
      <c r="K31" s="20">
        <v>0</v>
      </c>
      <c r="L31" s="20">
        <v>-1</v>
      </c>
      <c r="M31" s="20">
        <v>-1</v>
      </c>
      <c r="N31" s="21">
        <v>2</v>
      </c>
      <c r="O31" s="21">
        <v>0</v>
      </c>
      <c r="P31" s="21">
        <v>3</v>
      </c>
      <c r="Q31" s="21">
        <v>-1</v>
      </c>
      <c r="R31" s="21">
        <v>-1</v>
      </c>
      <c r="S31" s="21">
        <v>2</v>
      </c>
      <c r="T31" s="21">
        <v>3</v>
      </c>
      <c r="U31" s="22">
        <v>0</v>
      </c>
      <c r="V31" s="23">
        <v>15</v>
      </c>
      <c r="W31" s="24">
        <v>5</v>
      </c>
      <c r="X31" s="24">
        <v>10</v>
      </c>
      <c r="Y31" s="23">
        <f t="shared" si="0"/>
        <v>15</v>
      </c>
      <c r="Z31" s="24">
        <f t="shared" si="1"/>
        <v>0</v>
      </c>
      <c r="AA31" s="24">
        <f t="shared" si="2"/>
        <v>25</v>
      </c>
    </row>
    <row r="32" spans="1:27" ht="21.75" customHeight="1" x14ac:dyDescent="0.2">
      <c r="A32" s="17">
        <v>45350.700129178236</v>
      </c>
      <c r="B32" s="18" t="s">
        <v>81</v>
      </c>
      <c r="C32" s="19">
        <v>26</v>
      </c>
      <c r="D32" s="19" t="s">
        <v>82</v>
      </c>
      <c r="E32" s="18" t="s">
        <v>63</v>
      </c>
      <c r="F32" s="18" t="s">
        <v>63</v>
      </c>
      <c r="G32" s="20">
        <v>0</v>
      </c>
      <c r="H32" s="20">
        <v>2</v>
      </c>
      <c r="I32" s="20">
        <v>1</v>
      </c>
      <c r="J32" s="20">
        <v>2</v>
      </c>
      <c r="K32" s="20">
        <v>2</v>
      </c>
      <c r="L32" s="20">
        <v>2</v>
      </c>
      <c r="M32" s="20">
        <v>2</v>
      </c>
      <c r="N32" s="21">
        <v>4</v>
      </c>
      <c r="O32" s="21">
        <v>2</v>
      </c>
      <c r="P32" s="21">
        <v>4</v>
      </c>
      <c r="Q32" s="21">
        <v>1</v>
      </c>
      <c r="R32" s="21">
        <v>-1</v>
      </c>
      <c r="S32" s="21">
        <v>2</v>
      </c>
      <c r="T32" s="21">
        <v>-1</v>
      </c>
      <c r="U32" s="22">
        <v>0</v>
      </c>
      <c r="V32" s="23">
        <v>23</v>
      </c>
      <c r="W32" s="24">
        <v>10</v>
      </c>
      <c r="X32" s="24">
        <v>13</v>
      </c>
      <c r="Y32" s="23">
        <f t="shared" si="0"/>
        <v>23</v>
      </c>
      <c r="Z32" s="24">
        <f t="shared" si="1"/>
        <v>0</v>
      </c>
      <c r="AA32" s="24">
        <f t="shared" si="2"/>
        <v>26</v>
      </c>
    </row>
    <row r="33" spans="1:27" ht="21.75" customHeight="1" x14ac:dyDescent="0.2">
      <c r="A33" s="17">
        <v>45349.533080289351</v>
      </c>
      <c r="B33" s="18" t="s">
        <v>83</v>
      </c>
      <c r="C33" s="19">
        <v>27</v>
      </c>
      <c r="D33" s="19" t="s">
        <v>84</v>
      </c>
      <c r="E33" s="18">
        <v>23510250217</v>
      </c>
      <c r="F33" s="18">
        <v>9422591511</v>
      </c>
      <c r="G33" s="20">
        <v>2</v>
      </c>
      <c r="H33" s="20">
        <v>2</v>
      </c>
      <c r="I33" s="20">
        <v>2</v>
      </c>
      <c r="J33" s="20">
        <v>2</v>
      </c>
      <c r="K33" s="20">
        <v>2</v>
      </c>
      <c r="L33" s="20">
        <v>2</v>
      </c>
      <c r="M33" s="20">
        <v>2</v>
      </c>
      <c r="N33" s="21">
        <v>2</v>
      </c>
      <c r="O33" s="21">
        <v>4</v>
      </c>
      <c r="P33" s="21">
        <v>4</v>
      </c>
      <c r="Q33" s="21">
        <v>0</v>
      </c>
      <c r="R33" s="21">
        <v>-1</v>
      </c>
      <c r="S33" s="21">
        <v>3</v>
      </c>
      <c r="T33" s="21">
        <v>4</v>
      </c>
      <c r="U33" s="22">
        <v>0</v>
      </c>
      <c r="V33" s="23">
        <v>27</v>
      </c>
      <c r="W33" s="24">
        <v>10</v>
      </c>
      <c r="X33" s="24">
        <v>17</v>
      </c>
      <c r="Y33" s="23">
        <f t="shared" si="0"/>
        <v>27</v>
      </c>
      <c r="Z33" s="24">
        <f t="shared" si="1"/>
        <v>0</v>
      </c>
      <c r="AA33" s="24">
        <f t="shared" si="2"/>
        <v>27</v>
      </c>
    </row>
    <row r="34" spans="1:27" ht="21.75" customHeight="1" x14ac:dyDescent="0.2">
      <c r="A34" s="17">
        <v>45349.535911157407</v>
      </c>
      <c r="B34" s="18" t="s">
        <v>85</v>
      </c>
      <c r="C34" s="19">
        <v>28</v>
      </c>
      <c r="D34" s="19" t="s">
        <v>86</v>
      </c>
      <c r="E34" s="18">
        <v>23510250218</v>
      </c>
      <c r="F34" s="18">
        <v>9307938007</v>
      </c>
      <c r="G34" s="20">
        <v>2</v>
      </c>
      <c r="H34" s="20">
        <v>-1</v>
      </c>
      <c r="I34" s="20">
        <v>2</v>
      </c>
      <c r="J34" s="20">
        <v>2</v>
      </c>
      <c r="K34" s="20">
        <v>1</v>
      </c>
      <c r="L34" s="20">
        <v>2</v>
      </c>
      <c r="M34" s="20">
        <v>-1</v>
      </c>
      <c r="N34" s="21">
        <v>4</v>
      </c>
      <c r="O34" s="21">
        <v>0</v>
      </c>
      <c r="P34" s="21">
        <v>3</v>
      </c>
      <c r="Q34" s="21">
        <v>1</v>
      </c>
      <c r="R34" s="21">
        <v>-1</v>
      </c>
      <c r="S34" s="21">
        <v>2</v>
      </c>
      <c r="T34" s="21">
        <v>2</v>
      </c>
      <c r="U34" s="22">
        <v>0</v>
      </c>
      <c r="V34" s="23">
        <v>21</v>
      </c>
      <c r="W34" s="24">
        <v>9</v>
      </c>
      <c r="X34" s="24">
        <v>12</v>
      </c>
      <c r="Y34" s="23">
        <f t="shared" si="0"/>
        <v>21</v>
      </c>
      <c r="Z34" s="24">
        <f t="shared" si="1"/>
        <v>0</v>
      </c>
      <c r="AA34" s="24">
        <f t="shared" si="2"/>
        <v>28</v>
      </c>
    </row>
    <row r="35" spans="1:27" ht="21.75" customHeight="1" x14ac:dyDescent="0.2">
      <c r="A35" s="17">
        <v>45349.534563229172</v>
      </c>
      <c r="B35" s="18" t="s">
        <v>87</v>
      </c>
      <c r="C35" s="19">
        <v>29</v>
      </c>
      <c r="D35" s="19" t="s">
        <v>88</v>
      </c>
      <c r="E35" s="18">
        <v>23510250219</v>
      </c>
      <c r="F35" s="18">
        <v>7875100878</v>
      </c>
      <c r="G35" s="20">
        <v>2</v>
      </c>
      <c r="H35" s="20">
        <v>0</v>
      </c>
      <c r="I35" s="20">
        <v>2</v>
      </c>
      <c r="J35" s="20">
        <v>2</v>
      </c>
      <c r="K35" s="20">
        <v>-1</v>
      </c>
      <c r="L35" s="20">
        <v>2</v>
      </c>
      <c r="M35" s="20">
        <v>-1</v>
      </c>
      <c r="N35" s="21">
        <v>4</v>
      </c>
      <c r="O35" s="21">
        <v>-1</v>
      </c>
      <c r="P35" s="21">
        <v>4</v>
      </c>
      <c r="Q35" s="21">
        <v>1</v>
      </c>
      <c r="R35" s="21">
        <v>4</v>
      </c>
      <c r="S35" s="21">
        <v>-1</v>
      </c>
      <c r="T35" s="21">
        <v>3</v>
      </c>
      <c r="U35" s="22">
        <v>0</v>
      </c>
      <c r="V35" s="23">
        <v>24</v>
      </c>
      <c r="W35" s="24">
        <v>8</v>
      </c>
      <c r="X35" s="24">
        <v>16</v>
      </c>
      <c r="Y35" s="23">
        <f t="shared" si="0"/>
        <v>24</v>
      </c>
      <c r="Z35" s="24">
        <f t="shared" si="1"/>
        <v>0</v>
      </c>
      <c r="AA35" s="24">
        <f t="shared" si="2"/>
        <v>29</v>
      </c>
    </row>
    <row r="36" spans="1:27" ht="21.75" customHeight="1" x14ac:dyDescent="0.2">
      <c r="A36" s="17">
        <v>45349.536513564817</v>
      </c>
      <c r="B36" s="18" t="s">
        <v>89</v>
      </c>
      <c r="C36" s="19">
        <v>30</v>
      </c>
      <c r="D36" s="19" t="s">
        <v>90</v>
      </c>
      <c r="E36" s="18">
        <v>23510250220</v>
      </c>
      <c r="F36" s="18">
        <v>8010655836</v>
      </c>
      <c r="G36" s="20">
        <v>1</v>
      </c>
      <c r="H36" s="20">
        <v>2</v>
      </c>
      <c r="I36" s="20">
        <v>2</v>
      </c>
      <c r="J36" s="20">
        <v>1</v>
      </c>
      <c r="K36" s="20">
        <v>1</v>
      </c>
      <c r="L36" s="20">
        <v>-1</v>
      </c>
      <c r="M36" s="20">
        <v>-1</v>
      </c>
      <c r="N36" s="21">
        <v>2</v>
      </c>
      <c r="O36" s="21">
        <v>-1</v>
      </c>
      <c r="P36" s="21">
        <v>-1</v>
      </c>
      <c r="Q36" s="21">
        <v>-1</v>
      </c>
      <c r="R36" s="21">
        <v>-1</v>
      </c>
      <c r="S36" s="21">
        <v>-1</v>
      </c>
      <c r="T36" s="21">
        <v>2</v>
      </c>
      <c r="U36" s="22">
        <v>0</v>
      </c>
      <c r="V36" s="23">
        <v>11</v>
      </c>
      <c r="W36" s="24">
        <v>7</v>
      </c>
      <c r="X36" s="24">
        <v>4</v>
      </c>
      <c r="Y36" s="23">
        <f t="shared" si="0"/>
        <v>11</v>
      </c>
      <c r="Z36" s="24">
        <f t="shared" si="1"/>
        <v>0</v>
      </c>
      <c r="AA36" s="24">
        <f t="shared" si="2"/>
        <v>30</v>
      </c>
    </row>
    <row r="37" spans="1:27" ht="21.75" customHeight="1" x14ac:dyDescent="0.2">
      <c r="A37" s="17">
        <v>45350.698575983799</v>
      </c>
      <c r="B37" s="18" t="s">
        <v>61</v>
      </c>
      <c r="C37" s="19">
        <v>31</v>
      </c>
      <c r="D37" s="19" t="s">
        <v>91</v>
      </c>
      <c r="E37" s="18" t="s">
        <v>63</v>
      </c>
      <c r="F37" s="18" t="s">
        <v>63</v>
      </c>
      <c r="G37" s="20">
        <v>2</v>
      </c>
      <c r="H37" s="20">
        <v>1</v>
      </c>
      <c r="I37" s="20">
        <v>2</v>
      </c>
      <c r="J37" s="20">
        <v>2</v>
      </c>
      <c r="K37" s="20">
        <v>1</v>
      </c>
      <c r="L37" s="20">
        <v>-1</v>
      </c>
      <c r="M37" s="20">
        <v>-1</v>
      </c>
      <c r="N37" s="21">
        <v>2</v>
      </c>
      <c r="O37" s="21">
        <v>-1</v>
      </c>
      <c r="P37" s="21">
        <v>2</v>
      </c>
      <c r="Q37" s="21">
        <v>-1</v>
      </c>
      <c r="R37" s="21">
        <v>-1</v>
      </c>
      <c r="S37" s="21">
        <v>-1</v>
      </c>
      <c r="T37" s="21">
        <v>3</v>
      </c>
      <c r="U37" s="22">
        <v>0</v>
      </c>
      <c r="V37" s="23">
        <v>15</v>
      </c>
      <c r="W37" s="24">
        <v>8</v>
      </c>
      <c r="X37" s="24">
        <v>7</v>
      </c>
      <c r="Y37" s="23">
        <f t="shared" si="0"/>
        <v>15</v>
      </c>
      <c r="Z37" s="24">
        <f t="shared" si="1"/>
        <v>0</v>
      </c>
      <c r="AA37" s="24">
        <f t="shared" si="2"/>
        <v>31</v>
      </c>
    </row>
    <row r="38" spans="1:27" ht="21.75" customHeight="1" x14ac:dyDescent="0.2">
      <c r="A38" s="17">
        <v>45349.532525023147</v>
      </c>
      <c r="B38" s="18" t="s">
        <v>92</v>
      </c>
      <c r="C38" s="19">
        <v>32</v>
      </c>
      <c r="D38" s="19" t="s">
        <v>93</v>
      </c>
      <c r="E38" s="18">
        <v>23510250222</v>
      </c>
      <c r="F38" s="18">
        <v>8767023429</v>
      </c>
      <c r="G38" s="20">
        <v>2</v>
      </c>
      <c r="H38" s="20">
        <v>2</v>
      </c>
      <c r="I38" s="20">
        <v>2</v>
      </c>
      <c r="J38" s="20">
        <v>2</v>
      </c>
      <c r="K38" s="20">
        <v>2</v>
      </c>
      <c r="L38" s="20">
        <v>2</v>
      </c>
      <c r="M38" s="20">
        <v>1</v>
      </c>
      <c r="N38" s="21">
        <v>4</v>
      </c>
      <c r="O38" s="21">
        <v>4</v>
      </c>
      <c r="P38" s="21">
        <v>4</v>
      </c>
      <c r="Q38" s="21">
        <v>3</v>
      </c>
      <c r="R38" s="21">
        <v>-1</v>
      </c>
      <c r="S38" s="21">
        <v>4</v>
      </c>
      <c r="T38" s="21">
        <v>4</v>
      </c>
      <c r="U38" s="22">
        <v>0</v>
      </c>
      <c r="V38" s="23">
        <v>30</v>
      </c>
      <c r="W38" s="24">
        <v>10</v>
      </c>
      <c r="X38" s="24">
        <v>20</v>
      </c>
      <c r="Y38" s="23">
        <f t="shared" si="0"/>
        <v>30</v>
      </c>
      <c r="Z38" s="24">
        <f t="shared" si="1"/>
        <v>0</v>
      </c>
      <c r="AA38" s="24">
        <f t="shared" si="2"/>
        <v>32</v>
      </c>
    </row>
    <row r="39" spans="1:27" ht="21.75" customHeight="1" x14ac:dyDescent="0.2">
      <c r="A39" s="17">
        <v>45349.534664421299</v>
      </c>
      <c r="B39" s="18" t="s">
        <v>94</v>
      </c>
      <c r="C39" s="19">
        <v>33</v>
      </c>
      <c r="D39" s="19" t="s">
        <v>95</v>
      </c>
      <c r="E39" s="18">
        <v>23510250223</v>
      </c>
      <c r="F39" s="18">
        <v>9834812237</v>
      </c>
      <c r="G39" s="20">
        <v>0</v>
      </c>
      <c r="H39" s="20">
        <v>2</v>
      </c>
      <c r="I39" s="20">
        <v>2</v>
      </c>
      <c r="J39" s="20">
        <v>-1</v>
      </c>
      <c r="K39" s="20">
        <v>-1</v>
      </c>
      <c r="L39" s="20">
        <v>0</v>
      </c>
      <c r="M39" s="20">
        <v>-1</v>
      </c>
      <c r="N39" s="21">
        <v>3</v>
      </c>
      <c r="O39" s="21">
        <v>-1</v>
      </c>
      <c r="P39" s="21">
        <v>2</v>
      </c>
      <c r="Q39" s="21">
        <v>-1</v>
      </c>
      <c r="R39" s="21">
        <v>0</v>
      </c>
      <c r="S39" s="21">
        <v>1</v>
      </c>
      <c r="T39" s="21">
        <v>2</v>
      </c>
      <c r="U39" s="22">
        <v>0</v>
      </c>
      <c r="V39" s="23">
        <v>12</v>
      </c>
      <c r="W39" s="24">
        <v>4</v>
      </c>
      <c r="X39" s="24">
        <v>8</v>
      </c>
      <c r="Y39" s="23">
        <f t="shared" si="0"/>
        <v>12</v>
      </c>
      <c r="Z39" s="24">
        <f t="shared" si="1"/>
        <v>0</v>
      </c>
      <c r="AA39" s="24">
        <f t="shared" ref="AA39:AA73" si="3">C39</f>
        <v>33</v>
      </c>
    </row>
    <row r="40" spans="1:27" ht="21.75" customHeight="1" x14ac:dyDescent="0.2">
      <c r="A40" s="17">
        <v>45349.895086828707</v>
      </c>
      <c r="B40" s="18" t="s">
        <v>96</v>
      </c>
      <c r="C40" s="19">
        <v>34</v>
      </c>
      <c r="D40" s="19" t="s">
        <v>97</v>
      </c>
      <c r="E40" s="18">
        <v>23510250224</v>
      </c>
      <c r="F40" s="18">
        <v>9881426783</v>
      </c>
      <c r="G40" s="20">
        <v>2</v>
      </c>
      <c r="H40" s="20">
        <v>2</v>
      </c>
      <c r="I40" s="20">
        <v>0</v>
      </c>
      <c r="J40" s="20">
        <v>-1</v>
      </c>
      <c r="K40" s="20">
        <v>-1</v>
      </c>
      <c r="L40" s="20">
        <v>0</v>
      </c>
      <c r="M40" s="20">
        <v>0</v>
      </c>
      <c r="N40" s="21">
        <v>-1</v>
      </c>
      <c r="O40" s="21">
        <v>-1</v>
      </c>
      <c r="P40" s="21">
        <v>2</v>
      </c>
      <c r="Q40" s="21">
        <v>-1</v>
      </c>
      <c r="R40" s="21">
        <v>-1</v>
      </c>
      <c r="S40" s="21">
        <v>1</v>
      </c>
      <c r="T40" s="21">
        <v>1</v>
      </c>
      <c r="U40" s="22">
        <v>0</v>
      </c>
      <c r="V40" s="23">
        <v>8</v>
      </c>
      <c r="W40" s="24">
        <v>4</v>
      </c>
      <c r="X40" s="24">
        <v>4</v>
      </c>
      <c r="Y40" s="23">
        <f t="shared" si="0"/>
        <v>8</v>
      </c>
      <c r="Z40" s="24">
        <f t="shared" si="1"/>
        <v>0</v>
      </c>
      <c r="AA40" s="24">
        <f t="shared" si="3"/>
        <v>34</v>
      </c>
    </row>
    <row r="41" spans="1:27" ht="21.75" customHeight="1" x14ac:dyDescent="0.2">
      <c r="A41" s="17">
        <v>45349.535524918982</v>
      </c>
      <c r="B41" s="18" t="s">
        <v>98</v>
      </c>
      <c r="C41" s="19">
        <v>35</v>
      </c>
      <c r="D41" s="19" t="s">
        <v>99</v>
      </c>
      <c r="E41" s="18">
        <v>23510250225</v>
      </c>
      <c r="F41" s="18">
        <v>9209547440</v>
      </c>
      <c r="G41" s="20">
        <v>2</v>
      </c>
      <c r="H41" s="20">
        <v>2</v>
      </c>
      <c r="I41" s="20">
        <v>2</v>
      </c>
      <c r="J41" s="20">
        <v>2</v>
      </c>
      <c r="K41" s="20">
        <v>2</v>
      </c>
      <c r="L41" s="20">
        <v>2</v>
      </c>
      <c r="M41" s="20">
        <v>2</v>
      </c>
      <c r="N41" s="21">
        <v>4</v>
      </c>
      <c r="O41" s="21">
        <v>2</v>
      </c>
      <c r="P41" s="21">
        <v>3</v>
      </c>
      <c r="Q41" s="21">
        <v>3</v>
      </c>
      <c r="R41" s="21">
        <v>-1</v>
      </c>
      <c r="S41" s="21">
        <v>2</v>
      </c>
      <c r="T41" s="21">
        <v>2</v>
      </c>
      <c r="U41" s="22">
        <v>0</v>
      </c>
      <c r="V41" s="23">
        <v>24</v>
      </c>
      <c r="W41" s="24">
        <v>10</v>
      </c>
      <c r="X41" s="24">
        <v>14</v>
      </c>
      <c r="Y41" s="23">
        <f t="shared" si="0"/>
        <v>24</v>
      </c>
      <c r="Z41" s="24">
        <f t="shared" si="1"/>
        <v>0</v>
      </c>
      <c r="AA41" s="24">
        <f t="shared" si="3"/>
        <v>35</v>
      </c>
    </row>
    <row r="42" spans="1:27" ht="21.75" customHeight="1" x14ac:dyDescent="0.2">
      <c r="A42" s="17">
        <v>45350.70100987269</v>
      </c>
      <c r="B42" s="18" t="s">
        <v>61</v>
      </c>
      <c r="C42" s="19">
        <v>36</v>
      </c>
      <c r="D42" s="19" t="s">
        <v>100</v>
      </c>
      <c r="E42" s="18" t="s">
        <v>63</v>
      </c>
      <c r="F42" s="18" t="s">
        <v>63</v>
      </c>
      <c r="G42" s="20">
        <v>2</v>
      </c>
      <c r="H42" s="20">
        <v>2</v>
      </c>
      <c r="I42" s="20">
        <v>2</v>
      </c>
      <c r="J42" s="20">
        <v>2</v>
      </c>
      <c r="K42" s="20">
        <v>2</v>
      </c>
      <c r="L42" s="20">
        <v>2</v>
      </c>
      <c r="M42" s="20">
        <v>-1</v>
      </c>
      <c r="N42" s="21">
        <v>3</v>
      </c>
      <c r="O42" s="21">
        <v>2</v>
      </c>
      <c r="P42" s="21">
        <v>4</v>
      </c>
      <c r="Q42" s="21">
        <v>-1</v>
      </c>
      <c r="R42" s="21">
        <v>2</v>
      </c>
      <c r="S42" s="21">
        <v>-1</v>
      </c>
      <c r="T42" s="21">
        <v>3</v>
      </c>
      <c r="U42" s="22">
        <v>0</v>
      </c>
      <c r="V42" s="23">
        <v>24</v>
      </c>
      <c r="W42" s="24">
        <v>10</v>
      </c>
      <c r="X42" s="24">
        <v>14</v>
      </c>
      <c r="Y42" s="23">
        <f t="shared" si="0"/>
        <v>24</v>
      </c>
      <c r="Z42" s="24">
        <f t="shared" si="1"/>
        <v>0</v>
      </c>
      <c r="AA42" s="24">
        <f t="shared" si="3"/>
        <v>36</v>
      </c>
    </row>
    <row r="43" spans="1:27" ht="21.75" customHeight="1" x14ac:dyDescent="0.2">
      <c r="A43" s="17">
        <v>45349.534224907409</v>
      </c>
      <c r="B43" s="18" t="s">
        <v>101</v>
      </c>
      <c r="C43" s="19">
        <v>37</v>
      </c>
      <c r="D43" s="19" t="s">
        <v>102</v>
      </c>
      <c r="E43" s="18">
        <v>23510250227</v>
      </c>
      <c r="F43" s="18">
        <v>9359262384</v>
      </c>
      <c r="G43" s="20">
        <v>2</v>
      </c>
      <c r="H43" s="20">
        <v>2</v>
      </c>
      <c r="I43" s="20">
        <v>2</v>
      </c>
      <c r="J43" s="20">
        <v>2</v>
      </c>
      <c r="K43" s="20">
        <v>2</v>
      </c>
      <c r="L43" s="20">
        <v>2</v>
      </c>
      <c r="M43" s="20">
        <v>-1</v>
      </c>
      <c r="N43" s="21">
        <v>4</v>
      </c>
      <c r="O43" s="21">
        <v>4</v>
      </c>
      <c r="P43" s="21">
        <v>4</v>
      </c>
      <c r="Q43" s="21">
        <v>4</v>
      </c>
      <c r="R43" s="21">
        <v>4</v>
      </c>
      <c r="S43" s="21">
        <v>-1</v>
      </c>
      <c r="T43" s="21">
        <v>4</v>
      </c>
      <c r="U43" s="22">
        <v>0</v>
      </c>
      <c r="V43" s="23">
        <v>30</v>
      </c>
      <c r="W43" s="24">
        <v>10</v>
      </c>
      <c r="X43" s="24">
        <v>20</v>
      </c>
      <c r="Y43" s="23">
        <f t="shared" si="0"/>
        <v>30</v>
      </c>
      <c r="Z43" s="24">
        <f t="shared" si="1"/>
        <v>0</v>
      </c>
      <c r="AA43" s="24">
        <f t="shared" si="3"/>
        <v>37</v>
      </c>
    </row>
    <row r="44" spans="1:27" ht="21.75" customHeight="1" x14ac:dyDescent="0.2">
      <c r="A44" s="17">
        <v>45349.563839756942</v>
      </c>
      <c r="B44" s="18" t="s">
        <v>103</v>
      </c>
      <c r="C44" s="19">
        <v>38</v>
      </c>
      <c r="D44" s="19" t="s">
        <v>104</v>
      </c>
      <c r="E44" s="18">
        <v>23510250228</v>
      </c>
      <c r="F44" s="18">
        <v>9022490291</v>
      </c>
      <c r="G44" s="20">
        <v>2</v>
      </c>
      <c r="H44" s="20">
        <v>2</v>
      </c>
      <c r="I44" s="20">
        <v>2</v>
      </c>
      <c r="J44" s="20">
        <v>2</v>
      </c>
      <c r="K44" s="20">
        <v>1</v>
      </c>
      <c r="L44" s="20">
        <v>-1</v>
      </c>
      <c r="M44" s="20">
        <v>-1</v>
      </c>
      <c r="N44" s="21">
        <v>4</v>
      </c>
      <c r="O44" s="21">
        <v>2</v>
      </c>
      <c r="P44" s="21">
        <v>3</v>
      </c>
      <c r="Q44" s="21">
        <v>2</v>
      </c>
      <c r="R44" s="21">
        <v>-1</v>
      </c>
      <c r="S44" s="21">
        <v>3</v>
      </c>
      <c r="T44" s="21">
        <v>4</v>
      </c>
      <c r="U44" s="22">
        <v>0</v>
      </c>
      <c r="V44" s="23">
        <v>25</v>
      </c>
      <c r="W44" s="24">
        <v>9</v>
      </c>
      <c r="X44" s="24">
        <v>16</v>
      </c>
      <c r="Y44" s="23">
        <f t="shared" si="0"/>
        <v>25</v>
      </c>
      <c r="Z44" s="24">
        <f t="shared" si="1"/>
        <v>0</v>
      </c>
      <c r="AA44" s="24">
        <f t="shared" si="3"/>
        <v>38</v>
      </c>
    </row>
    <row r="45" spans="1:27" ht="21.75" customHeight="1" x14ac:dyDescent="0.2">
      <c r="A45" s="17">
        <v>45350.702982847222</v>
      </c>
      <c r="B45" s="18" t="s">
        <v>61</v>
      </c>
      <c r="C45" s="19">
        <v>39</v>
      </c>
      <c r="D45" s="19" t="s">
        <v>105</v>
      </c>
      <c r="E45" s="18" t="s">
        <v>63</v>
      </c>
      <c r="F45" s="18" t="s">
        <v>63</v>
      </c>
      <c r="G45" s="20">
        <v>2</v>
      </c>
      <c r="H45" s="20">
        <v>2</v>
      </c>
      <c r="I45" s="20">
        <v>2</v>
      </c>
      <c r="J45" s="20">
        <v>2</v>
      </c>
      <c r="K45" s="20">
        <v>2</v>
      </c>
      <c r="L45" s="20">
        <v>2</v>
      </c>
      <c r="M45" s="20">
        <v>-1</v>
      </c>
      <c r="N45" s="21">
        <v>4</v>
      </c>
      <c r="O45" s="21">
        <v>2</v>
      </c>
      <c r="P45" s="21">
        <v>3</v>
      </c>
      <c r="Q45" s="21">
        <v>1</v>
      </c>
      <c r="R45" s="21">
        <v>-1</v>
      </c>
      <c r="S45" s="21">
        <v>1</v>
      </c>
      <c r="T45" s="21">
        <v>3</v>
      </c>
      <c r="U45" s="22">
        <v>0</v>
      </c>
      <c r="V45" s="23">
        <v>23</v>
      </c>
      <c r="W45" s="24">
        <v>10</v>
      </c>
      <c r="X45" s="24">
        <v>13</v>
      </c>
      <c r="Y45" s="23">
        <f t="shared" si="0"/>
        <v>23</v>
      </c>
      <c r="Z45" s="24">
        <f t="shared" si="1"/>
        <v>0</v>
      </c>
      <c r="AA45" s="24">
        <f t="shared" si="3"/>
        <v>39</v>
      </c>
    </row>
    <row r="46" spans="1:27" ht="21.75" customHeight="1" x14ac:dyDescent="0.2">
      <c r="A46" s="17">
        <v>45350.701998136574</v>
      </c>
      <c r="B46" s="18" t="s">
        <v>61</v>
      </c>
      <c r="C46" s="19">
        <v>40</v>
      </c>
      <c r="D46" s="19" t="s">
        <v>106</v>
      </c>
      <c r="E46" s="18" t="s">
        <v>63</v>
      </c>
      <c r="F46" s="18" t="s">
        <v>63</v>
      </c>
      <c r="G46" s="20">
        <v>-1</v>
      </c>
      <c r="H46" s="20">
        <v>-1</v>
      </c>
      <c r="I46" s="20">
        <v>-1</v>
      </c>
      <c r="J46" s="20">
        <v>2</v>
      </c>
      <c r="K46" s="20">
        <v>-1</v>
      </c>
      <c r="L46" s="20">
        <v>-1</v>
      </c>
      <c r="M46" s="20">
        <v>-1</v>
      </c>
      <c r="N46" s="21">
        <v>-1</v>
      </c>
      <c r="O46" s="21">
        <v>-1</v>
      </c>
      <c r="P46" s="21">
        <v>-1</v>
      </c>
      <c r="Q46" s="21">
        <v>-1</v>
      </c>
      <c r="R46" s="21">
        <v>-1</v>
      </c>
      <c r="S46" s="21">
        <v>-1</v>
      </c>
      <c r="T46" s="21">
        <v>-1</v>
      </c>
      <c r="U46" s="22">
        <v>0</v>
      </c>
      <c r="V46" s="23">
        <v>2</v>
      </c>
      <c r="W46" s="24">
        <v>2</v>
      </c>
      <c r="X46" s="24">
        <v>0</v>
      </c>
      <c r="Y46" s="23">
        <f t="shared" si="0"/>
        <v>2</v>
      </c>
      <c r="Z46" s="24">
        <f t="shared" si="1"/>
        <v>0</v>
      </c>
      <c r="AA46" s="24">
        <f t="shared" si="3"/>
        <v>40</v>
      </c>
    </row>
    <row r="47" spans="1:27" ht="21.75" customHeight="1" x14ac:dyDescent="0.2">
      <c r="A47" s="17">
        <v>45349.534725729165</v>
      </c>
      <c r="B47" s="18" t="s">
        <v>107</v>
      </c>
      <c r="C47" s="19">
        <v>41</v>
      </c>
      <c r="D47" s="19" t="s">
        <v>108</v>
      </c>
      <c r="E47" s="18">
        <v>2351025031</v>
      </c>
      <c r="F47" s="18">
        <v>7385336830</v>
      </c>
      <c r="G47" s="20">
        <v>-1</v>
      </c>
      <c r="H47" s="20">
        <v>-1</v>
      </c>
      <c r="I47" s="20">
        <v>-1</v>
      </c>
      <c r="J47" s="20">
        <v>-1</v>
      </c>
      <c r="K47" s="20">
        <v>-1</v>
      </c>
      <c r="L47" s="20">
        <v>-1</v>
      </c>
      <c r="M47" s="20">
        <v>-1</v>
      </c>
      <c r="N47" s="21">
        <v>-1</v>
      </c>
      <c r="O47" s="21">
        <v>-1</v>
      </c>
      <c r="P47" s="21">
        <v>-1</v>
      </c>
      <c r="Q47" s="21">
        <v>-1</v>
      </c>
      <c r="R47" s="21">
        <v>-1</v>
      </c>
      <c r="S47" s="21">
        <v>-1</v>
      </c>
      <c r="T47" s="21">
        <v>-1</v>
      </c>
      <c r="U47" s="22">
        <v>0</v>
      </c>
      <c r="V47" s="23">
        <v>0</v>
      </c>
      <c r="W47" s="24">
        <v>0</v>
      </c>
      <c r="X47" s="24">
        <v>0</v>
      </c>
      <c r="Y47" s="23">
        <f t="shared" si="0"/>
        <v>0</v>
      </c>
      <c r="Z47" s="24">
        <f t="shared" si="1"/>
        <v>0</v>
      </c>
      <c r="AA47" s="24">
        <f t="shared" si="3"/>
        <v>41</v>
      </c>
    </row>
    <row r="48" spans="1:27" ht="21.75" customHeight="1" x14ac:dyDescent="0.2">
      <c r="A48" s="17">
        <v>45349.534362511578</v>
      </c>
      <c r="B48" s="18" t="s">
        <v>109</v>
      </c>
      <c r="C48" s="19">
        <v>42</v>
      </c>
      <c r="D48" s="19" t="s">
        <v>110</v>
      </c>
      <c r="E48" s="18">
        <v>2323510250232</v>
      </c>
      <c r="F48" s="18">
        <v>9356088762</v>
      </c>
      <c r="G48" s="20">
        <v>2</v>
      </c>
      <c r="H48" s="20">
        <v>2</v>
      </c>
      <c r="I48" s="20">
        <v>1</v>
      </c>
      <c r="J48" s="20">
        <v>2</v>
      </c>
      <c r="K48" s="20">
        <v>0</v>
      </c>
      <c r="L48" s="20">
        <v>1</v>
      </c>
      <c r="M48" s="20">
        <v>1</v>
      </c>
      <c r="N48" s="21">
        <v>4</v>
      </c>
      <c r="O48" s="21">
        <v>-1</v>
      </c>
      <c r="P48" s="21">
        <v>3</v>
      </c>
      <c r="Q48" s="21">
        <v>1</v>
      </c>
      <c r="R48" s="21">
        <v>2</v>
      </c>
      <c r="S48" s="21">
        <v>-1</v>
      </c>
      <c r="T48" s="21">
        <v>3</v>
      </c>
      <c r="U48" s="22">
        <v>0</v>
      </c>
      <c r="V48" s="23">
        <v>21</v>
      </c>
      <c r="W48" s="24">
        <v>8</v>
      </c>
      <c r="X48" s="24">
        <v>13</v>
      </c>
      <c r="Y48" s="23">
        <f t="shared" si="0"/>
        <v>21</v>
      </c>
      <c r="Z48" s="24">
        <f t="shared" si="1"/>
        <v>0</v>
      </c>
      <c r="AA48" s="24">
        <f t="shared" si="3"/>
        <v>42</v>
      </c>
    </row>
    <row r="49" spans="1:27" ht="21.75" customHeight="1" x14ac:dyDescent="0.2">
      <c r="A49" s="17">
        <v>45349.532808310185</v>
      </c>
      <c r="B49" s="18" t="s">
        <v>111</v>
      </c>
      <c r="C49" s="19">
        <v>43</v>
      </c>
      <c r="D49" s="19" t="s">
        <v>112</v>
      </c>
      <c r="E49" s="18">
        <v>23510250216</v>
      </c>
      <c r="F49" s="18">
        <v>9373356613</v>
      </c>
      <c r="G49" s="20">
        <v>2</v>
      </c>
      <c r="H49" s="20">
        <v>2</v>
      </c>
      <c r="I49" s="20">
        <v>-1</v>
      </c>
      <c r="J49" s="20">
        <v>2</v>
      </c>
      <c r="K49" s="20">
        <v>2</v>
      </c>
      <c r="L49" s="20">
        <v>2</v>
      </c>
      <c r="M49" s="20">
        <v>-1</v>
      </c>
      <c r="N49" s="21">
        <v>4</v>
      </c>
      <c r="O49" s="21">
        <v>4</v>
      </c>
      <c r="P49" s="21">
        <v>4</v>
      </c>
      <c r="Q49" s="21">
        <v>-1</v>
      </c>
      <c r="R49" s="21">
        <v>-1</v>
      </c>
      <c r="S49" s="21">
        <v>4</v>
      </c>
      <c r="T49" s="21">
        <v>4</v>
      </c>
      <c r="U49" s="22">
        <v>0</v>
      </c>
      <c r="V49" s="23">
        <v>30</v>
      </c>
      <c r="W49" s="24">
        <v>10</v>
      </c>
      <c r="X49" s="24">
        <v>20</v>
      </c>
      <c r="Y49" s="23">
        <f t="shared" si="0"/>
        <v>30</v>
      </c>
      <c r="Z49" s="24">
        <f t="shared" si="1"/>
        <v>0</v>
      </c>
      <c r="AA49" s="24">
        <f t="shared" si="3"/>
        <v>43</v>
      </c>
    </row>
    <row r="50" spans="1:27" ht="21.75" customHeight="1" x14ac:dyDescent="0.2">
      <c r="A50" s="17">
        <v>45349.535516597221</v>
      </c>
      <c r="B50" s="18" t="s">
        <v>113</v>
      </c>
      <c r="C50" s="19">
        <v>44</v>
      </c>
      <c r="D50" s="19" t="s">
        <v>114</v>
      </c>
      <c r="E50" s="18">
        <v>23510250234</v>
      </c>
      <c r="F50" s="18">
        <v>9325236826</v>
      </c>
      <c r="G50" s="20">
        <v>2</v>
      </c>
      <c r="H50" s="20">
        <v>2</v>
      </c>
      <c r="I50" s="20">
        <v>1</v>
      </c>
      <c r="J50" s="20">
        <v>1</v>
      </c>
      <c r="K50" s="20">
        <v>1</v>
      </c>
      <c r="L50" s="20">
        <v>2</v>
      </c>
      <c r="M50" s="20">
        <v>0</v>
      </c>
      <c r="N50" s="21">
        <v>0</v>
      </c>
      <c r="O50" s="21">
        <v>2</v>
      </c>
      <c r="P50" s="21">
        <v>2</v>
      </c>
      <c r="Q50" s="21">
        <v>-1</v>
      </c>
      <c r="R50" s="21">
        <v>-1</v>
      </c>
      <c r="S50" s="21">
        <v>2</v>
      </c>
      <c r="T50" s="21">
        <v>4</v>
      </c>
      <c r="U50" s="22">
        <v>0</v>
      </c>
      <c r="V50" s="23">
        <v>18</v>
      </c>
      <c r="W50" s="24">
        <v>8</v>
      </c>
      <c r="X50" s="24">
        <v>10</v>
      </c>
      <c r="Y50" s="23">
        <f t="shared" si="0"/>
        <v>18</v>
      </c>
      <c r="Z50" s="24">
        <f t="shared" si="1"/>
        <v>0</v>
      </c>
      <c r="AA50" s="24">
        <f t="shared" si="3"/>
        <v>44</v>
      </c>
    </row>
    <row r="51" spans="1:27" ht="21.75" customHeight="1" x14ac:dyDescent="0.2">
      <c r="A51" s="17">
        <v>45349.534503518516</v>
      </c>
      <c r="B51" s="18" t="s">
        <v>115</v>
      </c>
      <c r="C51" s="19">
        <v>45</v>
      </c>
      <c r="D51" s="19" t="s">
        <v>116</v>
      </c>
      <c r="E51" s="18">
        <v>23510250235</v>
      </c>
      <c r="F51" s="18">
        <v>7249274145</v>
      </c>
      <c r="G51" s="20">
        <v>2</v>
      </c>
      <c r="H51" s="20">
        <v>2</v>
      </c>
      <c r="I51" s="20">
        <v>1</v>
      </c>
      <c r="J51" s="20">
        <v>2</v>
      </c>
      <c r="K51" s="20">
        <v>2</v>
      </c>
      <c r="L51" s="20">
        <v>2</v>
      </c>
      <c r="M51" s="20">
        <v>-1</v>
      </c>
      <c r="N51" s="21">
        <v>1</v>
      </c>
      <c r="O51" s="21">
        <v>3</v>
      </c>
      <c r="P51" s="21">
        <v>2</v>
      </c>
      <c r="Q51" s="21">
        <v>-1</v>
      </c>
      <c r="R51" s="21">
        <v>-1</v>
      </c>
      <c r="S51" s="21">
        <v>2</v>
      </c>
      <c r="T51" s="21">
        <v>4</v>
      </c>
      <c r="U51" s="22">
        <v>0</v>
      </c>
      <c r="V51" s="23">
        <v>22</v>
      </c>
      <c r="W51" s="24">
        <v>10</v>
      </c>
      <c r="X51" s="24">
        <v>12</v>
      </c>
      <c r="Y51" s="23">
        <f t="shared" si="0"/>
        <v>22</v>
      </c>
      <c r="Z51" s="24">
        <f t="shared" si="1"/>
        <v>0</v>
      </c>
      <c r="AA51" s="24">
        <f t="shared" si="3"/>
        <v>45</v>
      </c>
    </row>
    <row r="52" spans="1:27" ht="21.75" customHeight="1" x14ac:dyDescent="0.2">
      <c r="A52" s="17">
        <v>45349.534413518515</v>
      </c>
      <c r="B52" s="18" t="s">
        <v>117</v>
      </c>
      <c r="C52" s="19">
        <v>46</v>
      </c>
      <c r="D52" s="19" t="s">
        <v>118</v>
      </c>
      <c r="E52" s="18">
        <v>23510250236</v>
      </c>
      <c r="F52" s="18">
        <v>8669164306</v>
      </c>
      <c r="G52" s="20">
        <v>2</v>
      </c>
      <c r="H52" s="20">
        <v>2</v>
      </c>
      <c r="I52" s="20">
        <v>2</v>
      </c>
      <c r="J52" s="20">
        <v>2</v>
      </c>
      <c r="K52" s="20">
        <v>2</v>
      </c>
      <c r="L52" s="20">
        <v>2</v>
      </c>
      <c r="M52" s="20">
        <v>-1</v>
      </c>
      <c r="N52" s="21">
        <v>4</v>
      </c>
      <c r="O52" s="21">
        <v>4</v>
      </c>
      <c r="P52" s="21">
        <v>4</v>
      </c>
      <c r="Q52" s="21">
        <v>1</v>
      </c>
      <c r="R52" s="21">
        <v>-1</v>
      </c>
      <c r="S52" s="21">
        <v>-1</v>
      </c>
      <c r="T52" s="21">
        <v>3</v>
      </c>
      <c r="U52" s="22">
        <v>0</v>
      </c>
      <c r="V52" s="23">
        <v>26</v>
      </c>
      <c r="W52" s="24">
        <v>10</v>
      </c>
      <c r="X52" s="24">
        <v>16</v>
      </c>
      <c r="Y52" s="23">
        <f t="shared" si="0"/>
        <v>26</v>
      </c>
      <c r="Z52" s="24">
        <f t="shared" si="1"/>
        <v>0</v>
      </c>
      <c r="AA52" s="24">
        <f t="shared" si="3"/>
        <v>46</v>
      </c>
    </row>
    <row r="53" spans="1:27" ht="21.75" customHeight="1" x14ac:dyDescent="0.2">
      <c r="A53" s="17">
        <v>45349.534524988427</v>
      </c>
      <c r="B53" s="18" t="s">
        <v>119</v>
      </c>
      <c r="C53" s="19">
        <v>47</v>
      </c>
      <c r="D53" s="19" t="s">
        <v>120</v>
      </c>
      <c r="E53" s="18">
        <v>23510250237</v>
      </c>
      <c r="F53" s="18">
        <v>7499731975</v>
      </c>
      <c r="G53" s="20">
        <v>2</v>
      </c>
      <c r="H53" s="20">
        <v>2</v>
      </c>
      <c r="I53" s="20">
        <v>2</v>
      </c>
      <c r="J53" s="20">
        <v>2</v>
      </c>
      <c r="K53" s="20">
        <v>1</v>
      </c>
      <c r="L53" s="20">
        <v>2</v>
      </c>
      <c r="M53" s="20">
        <v>1</v>
      </c>
      <c r="N53" s="21">
        <v>4</v>
      </c>
      <c r="O53" s="21">
        <v>4</v>
      </c>
      <c r="P53" s="21">
        <v>4</v>
      </c>
      <c r="Q53" s="21">
        <v>2</v>
      </c>
      <c r="R53" s="21">
        <v>2</v>
      </c>
      <c r="S53" s="21">
        <v>3</v>
      </c>
      <c r="T53" s="21">
        <v>4</v>
      </c>
      <c r="U53" s="22">
        <v>0</v>
      </c>
      <c r="V53" s="23">
        <v>29</v>
      </c>
      <c r="W53" s="24">
        <v>10</v>
      </c>
      <c r="X53" s="24">
        <v>19</v>
      </c>
      <c r="Y53" s="23">
        <f t="shared" si="0"/>
        <v>29</v>
      </c>
      <c r="Z53" s="24">
        <f t="shared" si="1"/>
        <v>0</v>
      </c>
      <c r="AA53" s="24">
        <f t="shared" si="3"/>
        <v>47</v>
      </c>
    </row>
    <row r="54" spans="1:27" ht="21.75" customHeight="1" x14ac:dyDescent="0.2">
      <c r="A54" s="17">
        <v>45349.530887534725</v>
      </c>
      <c r="B54" s="18" t="s">
        <v>121</v>
      </c>
      <c r="C54" s="19">
        <v>48</v>
      </c>
      <c r="D54" s="19" t="s">
        <v>122</v>
      </c>
      <c r="E54" s="18">
        <v>23510250238</v>
      </c>
      <c r="F54" s="18">
        <v>9421353713</v>
      </c>
      <c r="G54" s="20">
        <v>2</v>
      </c>
      <c r="H54" s="20">
        <v>2</v>
      </c>
      <c r="I54" s="20">
        <v>2</v>
      </c>
      <c r="J54" s="20">
        <v>2</v>
      </c>
      <c r="K54" s="20">
        <v>2</v>
      </c>
      <c r="L54" s="20">
        <v>-1</v>
      </c>
      <c r="M54" s="20">
        <v>-1</v>
      </c>
      <c r="N54" s="21">
        <v>4</v>
      </c>
      <c r="O54" s="21">
        <v>4</v>
      </c>
      <c r="P54" s="21">
        <v>4</v>
      </c>
      <c r="Q54" s="21">
        <v>1</v>
      </c>
      <c r="R54" s="21">
        <v>-1</v>
      </c>
      <c r="S54" s="21">
        <v>4</v>
      </c>
      <c r="T54" s="21">
        <v>4</v>
      </c>
      <c r="U54" s="22">
        <v>0</v>
      </c>
      <c r="V54" s="23">
        <v>30</v>
      </c>
      <c r="W54" s="24">
        <v>10</v>
      </c>
      <c r="X54" s="24">
        <v>20</v>
      </c>
      <c r="Y54" s="23">
        <f t="shared" si="0"/>
        <v>30</v>
      </c>
      <c r="Z54" s="24">
        <f t="shared" si="1"/>
        <v>0</v>
      </c>
      <c r="AA54" s="24">
        <f t="shared" si="3"/>
        <v>48</v>
      </c>
    </row>
    <row r="55" spans="1:27" ht="21.75" customHeight="1" x14ac:dyDescent="0.2">
      <c r="A55" s="17">
        <v>45349.533078391207</v>
      </c>
      <c r="B55" s="18" t="s">
        <v>123</v>
      </c>
      <c r="C55" s="19">
        <v>49</v>
      </c>
      <c r="D55" s="19" t="s">
        <v>124</v>
      </c>
      <c r="E55" s="18">
        <v>23510250239</v>
      </c>
      <c r="F55" s="18">
        <v>8605110798</v>
      </c>
      <c r="G55" s="20">
        <v>2</v>
      </c>
      <c r="H55" s="20">
        <v>2</v>
      </c>
      <c r="I55" s="20">
        <v>2</v>
      </c>
      <c r="J55" s="20">
        <v>2</v>
      </c>
      <c r="K55" s="20">
        <v>2</v>
      </c>
      <c r="L55" s="20">
        <v>2</v>
      </c>
      <c r="M55" s="20">
        <v>-1</v>
      </c>
      <c r="N55" s="21">
        <v>4</v>
      </c>
      <c r="O55" s="21">
        <v>2</v>
      </c>
      <c r="P55" s="21">
        <v>4</v>
      </c>
      <c r="Q55" s="21">
        <v>-1</v>
      </c>
      <c r="R55" s="21">
        <v>-1</v>
      </c>
      <c r="S55" s="21">
        <v>-1</v>
      </c>
      <c r="T55" s="21">
        <v>4</v>
      </c>
      <c r="U55" s="22">
        <v>0</v>
      </c>
      <c r="V55" s="23">
        <v>24</v>
      </c>
      <c r="W55" s="24">
        <v>10</v>
      </c>
      <c r="X55" s="24">
        <v>14</v>
      </c>
      <c r="Y55" s="23">
        <f t="shared" si="0"/>
        <v>24</v>
      </c>
      <c r="Z55" s="24">
        <f t="shared" si="1"/>
        <v>0</v>
      </c>
      <c r="AA55" s="24">
        <f t="shared" si="3"/>
        <v>49</v>
      </c>
    </row>
    <row r="56" spans="1:27" ht="21.75" customHeight="1" x14ac:dyDescent="0.2">
      <c r="A56" s="17">
        <v>45349.533058483794</v>
      </c>
      <c r="B56" s="18" t="s">
        <v>125</v>
      </c>
      <c r="C56" s="19">
        <v>50</v>
      </c>
      <c r="D56" s="19" t="s">
        <v>126</v>
      </c>
      <c r="E56" s="18">
        <v>23510250240</v>
      </c>
      <c r="F56" s="18">
        <v>8830451252</v>
      </c>
      <c r="G56" s="20">
        <v>2</v>
      </c>
      <c r="H56" s="20">
        <v>2</v>
      </c>
      <c r="I56" s="20">
        <v>2</v>
      </c>
      <c r="J56" s="20">
        <v>2</v>
      </c>
      <c r="K56" s="20">
        <v>2</v>
      </c>
      <c r="L56" s="20">
        <v>2</v>
      </c>
      <c r="M56" s="20">
        <v>-1</v>
      </c>
      <c r="N56" s="21">
        <v>4</v>
      </c>
      <c r="O56" s="21">
        <v>4</v>
      </c>
      <c r="P56" s="21">
        <v>2</v>
      </c>
      <c r="Q56" s="21">
        <v>1</v>
      </c>
      <c r="R56" s="21">
        <v>4</v>
      </c>
      <c r="S56" s="21">
        <v>-1</v>
      </c>
      <c r="T56" s="21">
        <v>4</v>
      </c>
      <c r="U56" s="22">
        <v>0</v>
      </c>
      <c r="V56" s="23">
        <v>28</v>
      </c>
      <c r="W56" s="24">
        <v>10</v>
      </c>
      <c r="X56" s="24">
        <v>18</v>
      </c>
      <c r="Y56" s="23">
        <f t="shared" si="0"/>
        <v>28</v>
      </c>
      <c r="Z56" s="24">
        <f t="shared" si="1"/>
        <v>0</v>
      </c>
      <c r="AA56" s="24">
        <f t="shared" si="3"/>
        <v>50</v>
      </c>
    </row>
    <row r="57" spans="1:27" ht="21.75" customHeight="1" x14ac:dyDescent="0.2">
      <c r="A57" s="17">
        <v>45349.5357500463</v>
      </c>
      <c r="B57" s="18" t="s">
        <v>127</v>
      </c>
      <c r="C57" s="19">
        <v>51</v>
      </c>
      <c r="D57" s="19" t="s">
        <v>128</v>
      </c>
      <c r="E57" s="18">
        <v>23510250241</v>
      </c>
      <c r="F57" s="18">
        <v>9359642250</v>
      </c>
      <c r="G57" s="20">
        <v>2</v>
      </c>
      <c r="H57" s="20">
        <v>2</v>
      </c>
      <c r="I57" s="20">
        <v>2</v>
      </c>
      <c r="J57" s="20">
        <v>-1</v>
      </c>
      <c r="K57" s="20">
        <v>2</v>
      </c>
      <c r="L57" s="20">
        <v>2</v>
      </c>
      <c r="M57" s="20">
        <v>-1</v>
      </c>
      <c r="N57" s="21">
        <v>4</v>
      </c>
      <c r="O57" s="21">
        <v>4</v>
      </c>
      <c r="P57" s="21">
        <v>1</v>
      </c>
      <c r="Q57" s="21">
        <v>1</v>
      </c>
      <c r="R57" s="21">
        <v>2</v>
      </c>
      <c r="S57" s="21">
        <v>2</v>
      </c>
      <c r="T57" s="21">
        <v>4</v>
      </c>
      <c r="U57" s="22">
        <v>0</v>
      </c>
      <c r="V57" s="23">
        <v>26</v>
      </c>
      <c r="W57" s="24">
        <v>10</v>
      </c>
      <c r="X57" s="24">
        <v>16</v>
      </c>
      <c r="Y57" s="23">
        <f t="shared" si="0"/>
        <v>26</v>
      </c>
      <c r="Z57" s="24">
        <f t="shared" si="1"/>
        <v>0</v>
      </c>
      <c r="AA57" s="24">
        <f t="shared" si="3"/>
        <v>51</v>
      </c>
    </row>
    <row r="58" spans="1:27" ht="21.75" customHeight="1" x14ac:dyDescent="0.2">
      <c r="A58" s="17">
        <v>45349.533758645834</v>
      </c>
      <c r="B58" s="18" t="s">
        <v>129</v>
      </c>
      <c r="C58" s="19">
        <v>52</v>
      </c>
      <c r="D58" s="19" t="s">
        <v>130</v>
      </c>
      <c r="E58" s="18">
        <v>23510250242</v>
      </c>
      <c r="F58" s="18">
        <v>9767339080</v>
      </c>
      <c r="G58" s="20">
        <v>2</v>
      </c>
      <c r="H58" s="20">
        <v>2</v>
      </c>
      <c r="I58" s="20">
        <v>1</v>
      </c>
      <c r="J58" s="20">
        <v>2</v>
      </c>
      <c r="K58" s="20">
        <v>2</v>
      </c>
      <c r="L58" s="20">
        <v>2</v>
      </c>
      <c r="M58" s="20">
        <v>2</v>
      </c>
      <c r="N58" s="21">
        <v>4</v>
      </c>
      <c r="O58" s="21">
        <v>4</v>
      </c>
      <c r="P58" s="21">
        <v>4</v>
      </c>
      <c r="Q58" s="21">
        <v>1</v>
      </c>
      <c r="R58" s="21">
        <v>3</v>
      </c>
      <c r="S58" s="21">
        <v>-1</v>
      </c>
      <c r="T58" s="21">
        <v>2</v>
      </c>
      <c r="U58" s="22">
        <v>0</v>
      </c>
      <c r="V58" s="23">
        <v>27</v>
      </c>
      <c r="W58" s="24">
        <v>10</v>
      </c>
      <c r="X58" s="24">
        <v>17</v>
      </c>
      <c r="Y58" s="23">
        <f t="shared" si="0"/>
        <v>27</v>
      </c>
      <c r="Z58" s="24">
        <f t="shared" si="1"/>
        <v>0</v>
      </c>
      <c r="AA58" s="24">
        <f t="shared" si="3"/>
        <v>52</v>
      </c>
    </row>
    <row r="59" spans="1:27" ht="21.75" customHeight="1" x14ac:dyDescent="0.2">
      <c r="A59" s="17">
        <v>45349.532422164353</v>
      </c>
      <c r="B59" s="18" t="s">
        <v>131</v>
      </c>
      <c r="C59" s="19">
        <v>53</v>
      </c>
      <c r="D59" s="19" t="s">
        <v>132</v>
      </c>
      <c r="E59" s="18">
        <v>23510250243</v>
      </c>
      <c r="F59" s="18">
        <v>9699787099</v>
      </c>
      <c r="G59" s="20">
        <v>2</v>
      </c>
      <c r="H59" s="20">
        <v>-1</v>
      </c>
      <c r="I59" s="20">
        <v>2</v>
      </c>
      <c r="J59" s="20">
        <v>2</v>
      </c>
      <c r="K59" s="20">
        <v>1</v>
      </c>
      <c r="L59" s="20">
        <v>1</v>
      </c>
      <c r="M59" s="20">
        <v>2</v>
      </c>
      <c r="N59" s="21">
        <v>-1</v>
      </c>
      <c r="O59" s="21">
        <v>3</v>
      </c>
      <c r="P59" s="21">
        <v>2</v>
      </c>
      <c r="Q59" s="21">
        <v>-1</v>
      </c>
      <c r="R59" s="21">
        <v>-1</v>
      </c>
      <c r="S59" s="21">
        <v>-1</v>
      </c>
      <c r="T59" s="21">
        <v>3</v>
      </c>
      <c r="U59" s="22">
        <v>0</v>
      </c>
      <c r="V59" s="23">
        <v>17</v>
      </c>
      <c r="W59" s="24">
        <v>9</v>
      </c>
      <c r="X59" s="24">
        <v>8</v>
      </c>
      <c r="Y59" s="23">
        <f t="shared" si="0"/>
        <v>17</v>
      </c>
      <c r="Z59" s="24">
        <f t="shared" si="1"/>
        <v>0</v>
      </c>
      <c r="AA59" s="24">
        <f t="shared" si="3"/>
        <v>53</v>
      </c>
    </row>
    <row r="60" spans="1:27" ht="21.75" customHeight="1" x14ac:dyDescent="0.2">
      <c r="A60" s="17">
        <v>45350.703551863422</v>
      </c>
      <c r="B60" s="18" t="s">
        <v>61</v>
      </c>
      <c r="C60" s="19">
        <v>54</v>
      </c>
      <c r="D60" s="19" t="s">
        <v>133</v>
      </c>
      <c r="E60" s="18" t="s">
        <v>63</v>
      </c>
      <c r="F60" s="18" t="s">
        <v>63</v>
      </c>
      <c r="G60" s="20">
        <v>2</v>
      </c>
      <c r="H60" s="20">
        <v>2</v>
      </c>
      <c r="I60" s="20">
        <v>2</v>
      </c>
      <c r="J60" s="20">
        <v>2</v>
      </c>
      <c r="K60" s="20">
        <v>2</v>
      </c>
      <c r="L60" s="20">
        <v>2</v>
      </c>
      <c r="M60" s="20">
        <v>2</v>
      </c>
      <c r="N60" s="21">
        <v>4</v>
      </c>
      <c r="O60" s="21">
        <v>4</v>
      </c>
      <c r="P60" s="21">
        <v>4</v>
      </c>
      <c r="Q60" s="21">
        <v>2</v>
      </c>
      <c r="R60" s="21">
        <v>-1</v>
      </c>
      <c r="S60" s="21">
        <v>4</v>
      </c>
      <c r="T60" s="21">
        <v>4</v>
      </c>
      <c r="U60" s="22">
        <v>0</v>
      </c>
      <c r="V60" s="23">
        <v>30</v>
      </c>
      <c r="W60" s="24">
        <v>10</v>
      </c>
      <c r="X60" s="24">
        <v>20</v>
      </c>
      <c r="Y60" s="23">
        <f t="shared" si="0"/>
        <v>30</v>
      </c>
      <c r="Z60" s="24">
        <f t="shared" si="1"/>
        <v>0</v>
      </c>
      <c r="AA60" s="24">
        <f t="shared" si="3"/>
        <v>54</v>
      </c>
    </row>
    <row r="61" spans="1:27" ht="21.75" customHeight="1" x14ac:dyDescent="0.2">
      <c r="A61" s="17">
        <v>45349.531681053239</v>
      </c>
      <c r="B61" s="18" t="s">
        <v>134</v>
      </c>
      <c r="C61" s="19">
        <v>55</v>
      </c>
      <c r="D61" s="19" t="s">
        <v>135</v>
      </c>
      <c r="E61" s="18">
        <v>23510250245</v>
      </c>
      <c r="F61" s="18">
        <v>7666835834</v>
      </c>
      <c r="G61" s="20">
        <v>0</v>
      </c>
      <c r="H61" s="20">
        <v>0</v>
      </c>
      <c r="I61" s="20">
        <v>0</v>
      </c>
      <c r="J61" s="20">
        <v>-1</v>
      </c>
      <c r="K61" s="20">
        <v>-1</v>
      </c>
      <c r="L61" s="20">
        <v>-1</v>
      </c>
      <c r="M61" s="20">
        <v>-1</v>
      </c>
      <c r="N61" s="21">
        <v>0</v>
      </c>
      <c r="O61" s="21">
        <v>0</v>
      </c>
      <c r="P61" s="21">
        <v>0</v>
      </c>
      <c r="Q61" s="21">
        <v>-1</v>
      </c>
      <c r="R61" s="21">
        <v>-1</v>
      </c>
      <c r="S61" s="21">
        <v>-1</v>
      </c>
      <c r="T61" s="21">
        <v>-1</v>
      </c>
      <c r="U61" s="22">
        <v>0</v>
      </c>
      <c r="V61" s="23">
        <v>0</v>
      </c>
      <c r="W61" s="24">
        <v>0</v>
      </c>
      <c r="X61" s="24">
        <v>0</v>
      </c>
      <c r="Y61" s="23">
        <f t="shared" si="0"/>
        <v>0</v>
      </c>
      <c r="Z61" s="24">
        <f t="shared" si="1"/>
        <v>0</v>
      </c>
      <c r="AA61" s="24">
        <f t="shared" si="3"/>
        <v>55</v>
      </c>
    </row>
    <row r="62" spans="1:27" ht="21.75" customHeight="1" x14ac:dyDescent="0.2">
      <c r="A62" s="17">
        <v>45349.53363873843</v>
      </c>
      <c r="B62" s="18" t="s">
        <v>136</v>
      </c>
      <c r="C62" s="19">
        <v>56</v>
      </c>
      <c r="D62" s="19" t="s">
        <v>137</v>
      </c>
      <c r="E62" s="18">
        <v>23510250246</v>
      </c>
      <c r="F62" s="18">
        <v>8262089018</v>
      </c>
      <c r="G62" s="20">
        <v>2</v>
      </c>
      <c r="H62" s="20">
        <v>-1</v>
      </c>
      <c r="I62" s="20">
        <v>2</v>
      </c>
      <c r="J62" s="20">
        <v>2</v>
      </c>
      <c r="K62" s="20">
        <v>2</v>
      </c>
      <c r="L62" s="20">
        <v>2</v>
      </c>
      <c r="M62" s="20">
        <v>2</v>
      </c>
      <c r="N62" s="21">
        <v>4</v>
      </c>
      <c r="O62" s="21">
        <v>-1</v>
      </c>
      <c r="P62" s="21">
        <v>4</v>
      </c>
      <c r="Q62" s="21">
        <v>1</v>
      </c>
      <c r="R62" s="21">
        <v>4</v>
      </c>
      <c r="S62" s="21">
        <v>4</v>
      </c>
      <c r="T62" s="21">
        <v>3</v>
      </c>
      <c r="U62" s="22">
        <v>0</v>
      </c>
      <c r="V62" s="23">
        <v>29</v>
      </c>
      <c r="W62" s="24">
        <v>10</v>
      </c>
      <c r="X62" s="24">
        <v>19</v>
      </c>
      <c r="Y62" s="23">
        <f t="shared" si="0"/>
        <v>29</v>
      </c>
      <c r="Z62" s="24">
        <f t="shared" si="1"/>
        <v>0</v>
      </c>
      <c r="AA62" s="24">
        <f t="shared" si="3"/>
        <v>56</v>
      </c>
    </row>
    <row r="63" spans="1:27" ht="21.75" customHeight="1" x14ac:dyDescent="0.2">
      <c r="A63" s="17">
        <v>45349.533982719906</v>
      </c>
      <c r="B63" s="18" t="s">
        <v>138</v>
      </c>
      <c r="C63" s="19">
        <v>57</v>
      </c>
      <c r="D63" s="54" t="s">
        <v>139</v>
      </c>
      <c r="E63" s="18">
        <v>23510250247</v>
      </c>
      <c r="F63" s="18">
        <v>9588662815</v>
      </c>
      <c r="G63" s="20">
        <v>2</v>
      </c>
      <c r="H63" s="20">
        <v>2</v>
      </c>
      <c r="I63" s="20">
        <v>2</v>
      </c>
      <c r="J63" s="20">
        <v>2</v>
      </c>
      <c r="K63" s="20">
        <v>2</v>
      </c>
      <c r="L63" s="20">
        <v>2</v>
      </c>
      <c r="M63" s="20">
        <v>1</v>
      </c>
      <c r="N63" s="21">
        <v>4</v>
      </c>
      <c r="O63" s="21">
        <v>4</v>
      </c>
      <c r="P63" s="21">
        <v>4</v>
      </c>
      <c r="Q63" s="21">
        <v>2</v>
      </c>
      <c r="R63" s="21">
        <v>4</v>
      </c>
      <c r="S63" s="21">
        <v>2</v>
      </c>
      <c r="T63" s="21">
        <v>4</v>
      </c>
      <c r="U63" s="22">
        <v>0</v>
      </c>
      <c r="V63" s="23">
        <v>30</v>
      </c>
      <c r="W63" s="24">
        <v>10</v>
      </c>
      <c r="X63" s="24">
        <v>20</v>
      </c>
      <c r="Y63" s="23">
        <f t="shared" si="0"/>
        <v>30</v>
      </c>
      <c r="Z63" s="24">
        <f t="shared" si="1"/>
        <v>0</v>
      </c>
      <c r="AA63" s="24">
        <f t="shared" si="3"/>
        <v>57</v>
      </c>
    </row>
    <row r="64" spans="1:27" ht="21.75" customHeight="1" x14ac:dyDescent="0.2">
      <c r="A64" s="17">
        <v>45349.535766585643</v>
      </c>
      <c r="B64" s="18" t="s">
        <v>140</v>
      </c>
      <c r="C64" s="19">
        <v>58</v>
      </c>
      <c r="D64" s="19" t="s">
        <v>141</v>
      </c>
      <c r="E64" s="18">
        <v>23510250248</v>
      </c>
      <c r="F64" s="18">
        <v>9922391446</v>
      </c>
      <c r="G64" s="20">
        <v>2</v>
      </c>
      <c r="H64" s="20">
        <v>2</v>
      </c>
      <c r="I64" s="20">
        <v>2</v>
      </c>
      <c r="J64" s="20">
        <v>2</v>
      </c>
      <c r="K64" s="20">
        <v>2</v>
      </c>
      <c r="L64" s="20">
        <v>-1</v>
      </c>
      <c r="M64" s="20">
        <v>-1</v>
      </c>
      <c r="N64" s="21">
        <v>4</v>
      </c>
      <c r="O64" s="21">
        <v>4</v>
      </c>
      <c r="P64" s="21">
        <v>4</v>
      </c>
      <c r="Q64" s="21">
        <v>-1</v>
      </c>
      <c r="R64" s="21">
        <v>-1</v>
      </c>
      <c r="S64" s="21">
        <v>4</v>
      </c>
      <c r="T64" s="21">
        <v>4</v>
      </c>
      <c r="U64" s="22">
        <v>0</v>
      </c>
      <c r="V64" s="23">
        <v>30</v>
      </c>
      <c r="W64" s="24">
        <v>10</v>
      </c>
      <c r="X64" s="24">
        <v>20</v>
      </c>
      <c r="Y64" s="23">
        <f t="shared" si="0"/>
        <v>30</v>
      </c>
      <c r="Z64" s="24">
        <f t="shared" si="1"/>
        <v>0</v>
      </c>
      <c r="AA64" s="24">
        <f t="shared" si="3"/>
        <v>58</v>
      </c>
    </row>
    <row r="65" spans="1:27" ht="21.75" customHeight="1" x14ac:dyDescent="0.2">
      <c r="A65" s="17">
        <v>45349.532793726852</v>
      </c>
      <c r="B65" s="18" t="s">
        <v>142</v>
      </c>
      <c r="C65" s="19">
        <v>59</v>
      </c>
      <c r="D65" s="19" t="s">
        <v>143</v>
      </c>
      <c r="E65" s="18">
        <v>23510250249</v>
      </c>
      <c r="F65" s="18">
        <v>9518544072</v>
      </c>
      <c r="G65" s="20">
        <v>-1</v>
      </c>
      <c r="H65" s="20">
        <v>2</v>
      </c>
      <c r="I65" s="20">
        <v>2</v>
      </c>
      <c r="J65" s="20">
        <v>2</v>
      </c>
      <c r="K65" s="20">
        <v>2</v>
      </c>
      <c r="L65" s="20">
        <v>2</v>
      </c>
      <c r="M65" s="20">
        <v>2</v>
      </c>
      <c r="N65" s="21">
        <v>4</v>
      </c>
      <c r="O65" s="21">
        <v>4</v>
      </c>
      <c r="P65" s="21">
        <v>4</v>
      </c>
      <c r="Q65" s="21">
        <v>0</v>
      </c>
      <c r="R65" s="21">
        <v>3</v>
      </c>
      <c r="S65" s="21">
        <v>1</v>
      </c>
      <c r="T65" s="21">
        <v>4</v>
      </c>
      <c r="U65" s="22">
        <v>0</v>
      </c>
      <c r="V65" s="23">
        <v>29</v>
      </c>
      <c r="W65" s="24">
        <v>10</v>
      </c>
      <c r="X65" s="24">
        <v>19</v>
      </c>
      <c r="Y65" s="23">
        <f t="shared" si="0"/>
        <v>29</v>
      </c>
      <c r="Z65" s="24">
        <f t="shared" si="1"/>
        <v>0</v>
      </c>
      <c r="AA65" s="24">
        <f t="shared" si="3"/>
        <v>59</v>
      </c>
    </row>
    <row r="66" spans="1:27" ht="21.75" customHeight="1" x14ac:dyDescent="0.2">
      <c r="A66" s="17">
        <v>45349.534555590275</v>
      </c>
      <c r="B66" s="18" t="s">
        <v>144</v>
      </c>
      <c r="C66" s="19">
        <v>60</v>
      </c>
      <c r="D66" s="19" t="s">
        <v>145</v>
      </c>
      <c r="E66" s="18">
        <v>23510250250</v>
      </c>
      <c r="F66" s="18">
        <v>9309314034</v>
      </c>
      <c r="G66" s="20">
        <v>-1</v>
      </c>
      <c r="H66" s="20">
        <v>2</v>
      </c>
      <c r="I66" s="20">
        <v>2</v>
      </c>
      <c r="J66" s="20">
        <v>2</v>
      </c>
      <c r="K66" s="20">
        <v>2</v>
      </c>
      <c r="L66" s="20">
        <v>2</v>
      </c>
      <c r="M66" s="20">
        <v>2</v>
      </c>
      <c r="N66" s="21">
        <v>4</v>
      </c>
      <c r="O66" s="21">
        <v>4</v>
      </c>
      <c r="P66" s="21">
        <v>-1</v>
      </c>
      <c r="Q66" s="21">
        <v>-1</v>
      </c>
      <c r="R66" s="21">
        <v>4</v>
      </c>
      <c r="S66" s="21">
        <v>2</v>
      </c>
      <c r="T66" s="21">
        <v>3</v>
      </c>
      <c r="U66" s="22">
        <v>0</v>
      </c>
      <c r="V66" s="23">
        <v>27</v>
      </c>
      <c r="W66" s="24">
        <v>10</v>
      </c>
      <c r="X66" s="24">
        <v>17</v>
      </c>
      <c r="Y66" s="23">
        <f t="shared" si="0"/>
        <v>27</v>
      </c>
      <c r="Z66" s="24">
        <f t="shared" si="1"/>
        <v>0</v>
      </c>
      <c r="AA66" s="24">
        <f t="shared" si="3"/>
        <v>60</v>
      </c>
    </row>
    <row r="67" spans="1:27" ht="21.75" customHeight="1" x14ac:dyDescent="0.2">
      <c r="A67" s="17">
        <v>45349.530340347221</v>
      </c>
      <c r="B67" s="18" t="s">
        <v>146</v>
      </c>
      <c r="C67" s="19">
        <v>61</v>
      </c>
      <c r="D67" s="19" t="s">
        <v>147</v>
      </c>
      <c r="E67" s="18">
        <v>23510250251</v>
      </c>
      <c r="F67" s="18">
        <v>9561453906</v>
      </c>
      <c r="G67" s="20">
        <v>2</v>
      </c>
      <c r="H67" s="20">
        <v>2</v>
      </c>
      <c r="I67" s="20">
        <v>2</v>
      </c>
      <c r="J67" s="20">
        <v>2</v>
      </c>
      <c r="K67" s="20">
        <v>2</v>
      </c>
      <c r="L67" s="20">
        <v>2</v>
      </c>
      <c r="M67" s="20">
        <v>2</v>
      </c>
      <c r="N67" s="21">
        <v>4</v>
      </c>
      <c r="O67" s="21">
        <v>4</v>
      </c>
      <c r="P67" s="21">
        <v>-1</v>
      </c>
      <c r="Q67" s="21">
        <v>-1</v>
      </c>
      <c r="R67" s="21">
        <v>4</v>
      </c>
      <c r="S67" s="21">
        <v>3</v>
      </c>
      <c r="T67" s="21">
        <v>4</v>
      </c>
      <c r="U67" s="22">
        <v>0</v>
      </c>
      <c r="V67" s="23">
        <v>29</v>
      </c>
      <c r="W67" s="24">
        <v>10</v>
      </c>
      <c r="X67" s="24">
        <v>19</v>
      </c>
      <c r="Y67" s="23">
        <f t="shared" si="0"/>
        <v>29</v>
      </c>
      <c r="Z67" s="24">
        <f t="shared" si="1"/>
        <v>0</v>
      </c>
      <c r="AA67" s="24">
        <f t="shared" si="3"/>
        <v>61</v>
      </c>
    </row>
    <row r="68" spans="1:27" ht="21.75" customHeight="1" x14ac:dyDescent="0.2">
      <c r="A68" s="17">
        <v>45349.532443379634</v>
      </c>
      <c r="B68" s="18" t="s">
        <v>148</v>
      </c>
      <c r="C68" s="19">
        <v>62</v>
      </c>
      <c r="D68" s="19" t="s">
        <v>149</v>
      </c>
      <c r="E68" s="18">
        <v>23510250252</v>
      </c>
      <c r="F68" s="18">
        <v>7820892736</v>
      </c>
      <c r="G68" s="20">
        <v>-1</v>
      </c>
      <c r="H68" s="20">
        <v>-1</v>
      </c>
      <c r="I68" s="20">
        <v>-1</v>
      </c>
      <c r="J68" s="20">
        <v>-1</v>
      </c>
      <c r="K68" s="20">
        <v>-1</v>
      </c>
      <c r="L68" s="20">
        <v>-1</v>
      </c>
      <c r="M68" s="20">
        <v>-1</v>
      </c>
      <c r="N68" s="21">
        <v>-1</v>
      </c>
      <c r="O68" s="21">
        <v>-1</v>
      </c>
      <c r="P68" s="21">
        <v>-1</v>
      </c>
      <c r="Q68" s="21">
        <v>-1</v>
      </c>
      <c r="R68" s="21">
        <v>-1</v>
      </c>
      <c r="S68" s="21">
        <v>-1</v>
      </c>
      <c r="T68" s="21">
        <v>-1</v>
      </c>
      <c r="U68" s="22">
        <v>0</v>
      </c>
      <c r="V68" s="23">
        <v>0</v>
      </c>
      <c r="W68" s="24">
        <v>0</v>
      </c>
      <c r="X68" s="24">
        <v>0</v>
      </c>
      <c r="Y68" s="23">
        <f t="shared" si="0"/>
        <v>0</v>
      </c>
      <c r="Z68" s="24">
        <f t="shared" si="1"/>
        <v>0</v>
      </c>
      <c r="AA68" s="24">
        <f t="shared" si="3"/>
        <v>62</v>
      </c>
    </row>
    <row r="69" spans="1:27" ht="21.75" customHeight="1" x14ac:dyDescent="0.2">
      <c r="A69" s="17">
        <v>45350.705924201393</v>
      </c>
      <c r="B69" s="18" t="s">
        <v>61</v>
      </c>
      <c r="C69" s="19">
        <v>63</v>
      </c>
      <c r="D69" s="19" t="s">
        <v>150</v>
      </c>
      <c r="E69" s="18" t="s">
        <v>63</v>
      </c>
      <c r="F69" s="18" t="s">
        <v>63</v>
      </c>
      <c r="G69" s="20">
        <v>0</v>
      </c>
      <c r="H69" s="20">
        <v>-1</v>
      </c>
      <c r="I69" s="20">
        <v>1</v>
      </c>
      <c r="J69" s="20">
        <v>0</v>
      </c>
      <c r="K69" s="20">
        <v>0</v>
      </c>
      <c r="L69" s="20">
        <v>-1</v>
      </c>
      <c r="M69" s="20">
        <v>0</v>
      </c>
      <c r="N69" s="21">
        <v>1</v>
      </c>
      <c r="O69" s="21">
        <v>-1</v>
      </c>
      <c r="P69" s="21">
        <v>1</v>
      </c>
      <c r="Q69" s="21">
        <v>-1</v>
      </c>
      <c r="R69" s="21">
        <v>-1</v>
      </c>
      <c r="S69" s="21">
        <v>-1</v>
      </c>
      <c r="T69" s="21">
        <v>-1</v>
      </c>
      <c r="U69" s="22">
        <v>0</v>
      </c>
      <c r="V69" s="23">
        <v>3</v>
      </c>
      <c r="W69" s="24">
        <v>1</v>
      </c>
      <c r="X69" s="24">
        <v>2</v>
      </c>
      <c r="Y69" s="23">
        <f t="shared" si="0"/>
        <v>3</v>
      </c>
      <c r="Z69" s="24">
        <f t="shared" si="1"/>
        <v>0</v>
      </c>
      <c r="AA69" s="24">
        <f t="shared" si="3"/>
        <v>63</v>
      </c>
    </row>
    <row r="70" spans="1:27" ht="21.75" customHeight="1" x14ac:dyDescent="0.2">
      <c r="A70" s="17">
        <v>45349.533052650462</v>
      </c>
      <c r="B70" s="18" t="s">
        <v>151</v>
      </c>
      <c r="C70" s="19">
        <v>64</v>
      </c>
      <c r="D70" s="19" t="s">
        <v>152</v>
      </c>
      <c r="E70" s="18">
        <v>23510250254</v>
      </c>
      <c r="F70" s="18">
        <v>9518369835</v>
      </c>
      <c r="G70" s="20">
        <v>-1</v>
      </c>
      <c r="H70" s="20">
        <v>1</v>
      </c>
      <c r="I70" s="20">
        <v>2</v>
      </c>
      <c r="J70" s="20">
        <v>2</v>
      </c>
      <c r="K70" s="20">
        <v>2</v>
      </c>
      <c r="L70" s="20">
        <v>2</v>
      </c>
      <c r="M70" s="20">
        <v>-1</v>
      </c>
      <c r="N70" s="21">
        <v>-1</v>
      </c>
      <c r="O70" s="21">
        <v>1</v>
      </c>
      <c r="P70" s="21">
        <v>3</v>
      </c>
      <c r="Q70" s="21">
        <v>0</v>
      </c>
      <c r="R70" s="21">
        <v>1</v>
      </c>
      <c r="S70" s="21">
        <v>2</v>
      </c>
      <c r="T70" s="21">
        <v>-1</v>
      </c>
      <c r="U70" s="22">
        <v>0</v>
      </c>
      <c r="V70" s="23">
        <v>16</v>
      </c>
      <c r="W70" s="24">
        <v>9</v>
      </c>
      <c r="X70" s="24">
        <v>7</v>
      </c>
      <c r="Y70" s="23">
        <f t="shared" si="0"/>
        <v>16</v>
      </c>
      <c r="Z70" s="24">
        <f t="shared" si="1"/>
        <v>0</v>
      </c>
      <c r="AA70" s="24">
        <f t="shared" si="3"/>
        <v>64</v>
      </c>
    </row>
    <row r="71" spans="1:27" ht="21.75" customHeight="1" x14ac:dyDescent="0.2">
      <c r="A71" s="17">
        <v>45349.536199004629</v>
      </c>
      <c r="B71" s="18" t="s">
        <v>153</v>
      </c>
      <c r="C71" s="19">
        <v>65</v>
      </c>
      <c r="D71" s="19" t="s">
        <v>154</v>
      </c>
      <c r="E71" s="18">
        <v>23510250255</v>
      </c>
      <c r="F71" s="18">
        <v>8080446594</v>
      </c>
      <c r="G71" s="20">
        <v>-1</v>
      </c>
      <c r="H71" s="20">
        <v>2</v>
      </c>
      <c r="I71" s="20">
        <v>2</v>
      </c>
      <c r="J71" s="20">
        <v>2</v>
      </c>
      <c r="K71" s="20">
        <v>2</v>
      </c>
      <c r="L71" s="20">
        <v>2</v>
      </c>
      <c r="M71" s="20">
        <v>-1</v>
      </c>
      <c r="N71" s="21">
        <v>-1</v>
      </c>
      <c r="O71" s="21">
        <v>3</v>
      </c>
      <c r="P71" s="21">
        <v>4</v>
      </c>
      <c r="Q71" s="21">
        <v>0</v>
      </c>
      <c r="R71" s="21">
        <v>0</v>
      </c>
      <c r="S71" s="21">
        <v>3</v>
      </c>
      <c r="T71" s="21">
        <v>2</v>
      </c>
      <c r="U71" s="22">
        <v>0</v>
      </c>
      <c r="V71" s="23">
        <v>22</v>
      </c>
      <c r="W71" s="24">
        <v>10</v>
      </c>
      <c r="X71" s="24">
        <v>12</v>
      </c>
      <c r="Y71" s="23">
        <f t="shared" si="0"/>
        <v>22</v>
      </c>
      <c r="Z71" s="24">
        <f t="shared" si="1"/>
        <v>0</v>
      </c>
      <c r="AA71" s="24">
        <f t="shared" si="3"/>
        <v>65</v>
      </c>
    </row>
    <row r="72" spans="1:27" ht="21.75" customHeight="1" x14ac:dyDescent="0.2">
      <c r="A72" s="17">
        <v>45349.537756527774</v>
      </c>
      <c r="B72" s="18" t="s">
        <v>79</v>
      </c>
      <c r="C72" s="19">
        <v>67</v>
      </c>
      <c r="D72" s="19" t="s">
        <v>155</v>
      </c>
      <c r="E72" s="18">
        <v>23510250257</v>
      </c>
      <c r="F72" s="18">
        <v>9834105241</v>
      </c>
      <c r="G72" s="20">
        <v>2</v>
      </c>
      <c r="H72" s="20">
        <v>1</v>
      </c>
      <c r="I72" s="20">
        <v>1</v>
      </c>
      <c r="J72" s="20">
        <v>2</v>
      </c>
      <c r="K72" s="20">
        <v>2</v>
      </c>
      <c r="L72" s="20">
        <v>2</v>
      </c>
      <c r="M72" s="20">
        <v>1</v>
      </c>
      <c r="N72" s="21">
        <v>2</v>
      </c>
      <c r="O72" s="21">
        <v>-1</v>
      </c>
      <c r="P72" s="21">
        <v>1</v>
      </c>
      <c r="Q72" s="21">
        <v>-1</v>
      </c>
      <c r="R72" s="21">
        <v>-1</v>
      </c>
      <c r="S72" s="21">
        <v>2</v>
      </c>
      <c r="T72" s="21">
        <v>3</v>
      </c>
      <c r="U72" s="22">
        <v>0</v>
      </c>
      <c r="V72" s="23">
        <v>17</v>
      </c>
      <c r="W72" s="24">
        <v>9</v>
      </c>
      <c r="X72" s="24">
        <v>8</v>
      </c>
      <c r="Y72" s="23">
        <f t="shared" si="0"/>
        <v>17</v>
      </c>
      <c r="Z72" s="24">
        <f t="shared" si="1"/>
        <v>0</v>
      </c>
      <c r="AA72" s="24">
        <f t="shared" si="3"/>
        <v>67</v>
      </c>
    </row>
    <row r="73" spans="1:27" ht="21.75" customHeight="1" x14ac:dyDescent="0.2">
      <c r="A73" s="17">
        <v>45349.532089120374</v>
      </c>
      <c r="B73" s="18" t="s">
        <v>156</v>
      </c>
      <c r="C73" s="19">
        <v>68</v>
      </c>
      <c r="D73" s="19" t="s">
        <v>157</v>
      </c>
      <c r="E73" s="18">
        <v>23510250258</v>
      </c>
      <c r="F73" s="18">
        <v>8799932668</v>
      </c>
      <c r="G73" s="20">
        <v>-1</v>
      </c>
      <c r="H73" s="20">
        <v>-1</v>
      </c>
      <c r="I73" s="20">
        <v>0</v>
      </c>
      <c r="J73" s="20">
        <v>2</v>
      </c>
      <c r="K73" s="20">
        <v>2</v>
      </c>
      <c r="L73" s="20">
        <v>2</v>
      </c>
      <c r="M73" s="20">
        <v>0</v>
      </c>
      <c r="N73" s="21">
        <v>0</v>
      </c>
      <c r="O73" s="21">
        <v>0</v>
      </c>
      <c r="P73" s="21">
        <v>-1</v>
      </c>
      <c r="Q73" s="21">
        <v>-1</v>
      </c>
      <c r="R73" s="21">
        <v>-1</v>
      </c>
      <c r="S73" s="21">
        <v>-1</v>
      </c>
      <c r="T73" s="21">
        <v>-1</v>
      </c>
      <c r="U73" s="22">
        <v>0</v>
      </c>
      <c r="V73" s="23">
        <v>6</v>
      </c>
      <c r="W73" s="24">
        <v>6</v>
      </c>
      <c r="X73" s="24">
        <v>0</v>
      </c>
      <c r="Y73" s="23">
        <f t="shared" si="0"/>
        <v>6</v>
      </c>
      <c r="Z73" s="24">
        <f t="shared" si="1"/>
        <v>0</v>
      </c>
      <c r="AA73" s="24">
        <f t="shared" si="3"/>
        <v>68</v>
      </c>
    </row>
    <row r="74" spans="1:27" ht="21.75" customHeight="1" x14ac:dyDescent="0.2">
      <c r="V74" s="1"/>
      <c r="Z74" s="24"/>
    </row>
    <row r="75" spans="1:27" ht="21.75" customHeight="1" x14ac:dyDescent="0.2">
      <c r="V75" s="1"/>
      <c r="Z75" s="24"/>
    </row>
    <row r="76" spans="1:27" ht="21.75" customHeight="1" x14ac:dyDescent="0.2">
      <c r="V76" s="1"/>
      <c r="Z76" s="24"/>
    </row>
    <row r="77" spans="1:27" x14ac:dyDescent="0.2">
      <c r="V77" s="1"/>
    </row>
    <row r="78" spans="1:27" x14ac:dyDescent="0.2">
      <c r="V78" s="1"/>
    </row>
    <row r="79" spans="1:27" x14ac:dyDescent="0.2">
      <c r="V79" s="1"/>
    </row>
    <row r="80" spans="1:27" x14ac:dyDescent="0.2">
      <c r="V80" s="1"/>
    </row>
    <row r="81" spans="22:22" x14ac:dyDescent="0.2">
      <c r="V81" s="1"/>
    </row>
    <row r="82" spans="22:22" x14ac:dyDescent="0.2">
      <c r="V82" s="1"/>
    </row>
    <row r="83" spans="22:22" x14ac:dyDescent="0.2">
      <c r="V83" s="1"/>
    </row>
    <row r="84" spans="22:22" x14ac:dyDescent="0.2">
      <c r="V84" s="1"/>
    </row>
    <row r="85" spans="22:22" x14ac:dyDescent="0.2">
      <c r="V85" s="1"/>
    </row>
    <row r="86" spans="22:22" x14ac:dyDescent="0.2">
      <c r="V86" s="1"/>
    </row>
    <row r="87" spans="22:22" x14ac:dyDescent="0.2">
      <c r="V87" s="1"/>
    </row>
    <row r="88" spans="22:22" x14ac:dyDescent="0.2">
      <c r="V88" s="1"/>
    </row>
    <row r="89" spans="22:22" x14ac:dyDescent="0.2">
      <c r="V89" s="1"/>
    </row>
    <row r="90" spans="22:22" x14ac:dyDescent="0.2">
      <c r="V90" s="1"/>
    </row>
    <row r="91" spans="22:22" x14ac:dyDescent="0.2">
      <c r="V91" s="1"/>
    </row>
    <row r="92" spans="22:22" x14ac:dyDescent="0.2">
      <c r="V92" s="1"/>
    </row>
    <row r="93" spans="22:22" x14ac:dyDescent="0.2">
      <c r="V93" s="1"/>
    </row>
    <row r="94" spans="22:22" x14ac:dyDescent="0.2">
      <c r="V94" s="1"/>
    </row>
    <row r="95" spans="22:22" x14ac:dyDescent="0.2">
      <c r="V95" s="1"/>
    </row>
    <row r="96" spans="22:22" x14ac:dyDescent="0.2">
      <c r="V96" s="1"/>
    </row>
    <row r="97" spans="22:22" x14ac:dyDescent="0.2">
      <c r="V97" s="1"/>
    </row>
    <row r="98" spans="22:22" x14ac:dyDescent="0.2">
      <c r="V98" s="1"/>
    </row>
    <row r="99" spans="22:22" x14ac:dyDescent="0.2">
      <c r="V99" s="1"/>
    </row>
    <row r="100" spans="22:22" x14ac:dyDescent="0.2">
      <c r="V100" s="1"/>
    </row>
    <row r="101" spans="22:22" x14ac:dyDescent="0.2">
      <c r="V101" s="1"/>
    </row>
    <row r="102" spans="22:22" x14ac:dyDescent="0.2">
      <c r="V102" s="1"/>
    </row>
    <row r="103" spans="22:22" x14ac:dyDescent="0.2">
      <c r="V103" s="1"/>
    </row>
    <row r="104" spans="22:22" x14ac:dyDescent="0.2">
      <c r="V104" s="1"/>
    </row>
    <row r="105" spans="22:22" x14ac:dyDescent="0.2">
      <c r="V105" s="1"/>
    </row>
    <row r="106" spans="22:22" x14ac:dyDescent="0.2">
      <c r="V106" s="1"/>
    </row>
    <row r="107" spans="22:22" x14ac:dyDescent="0.2">
      <c r="V107" s="1"/>
    </row>
    <row r="108" spans="22:22" x14ac:dyDescent="0.2">
      <c r="V108" s="1"/>
    </row>
    <row r="109" spans="22:22" x14ac:dyDescent="0.2">
      <c r="V109" s="1"/>
    </row>
    <row r="110" spans="22:22" x14ac:dyDescent="0.2">
      <c r="V110" s="1"/>
    </row>
    <row r="111" spans="22:22" x14ac:dyDescent="0.2">
      <c r="V111" s="1"/>
    </row>
    <row r="112" spans="22:22" x14ac:dyDescent="0.2">
      <c r="V112" s="1"/>
    </row>
    <row r="113" spans="22:22" x14ac:dyDescent="0.2">
      <c r="V113" s="1"/>
    </row>
    <row r="114" spans="22:22" x14ac:dyDescent="0.2">
      <c r="V114" s="1"/>
    </row>
    <row r="115" spans="22:22" x14ac:dyDescent="0.2">
      <c r="V115" s="1"/>
    </row>
    <row r="116" spans="22:22" x14ac:dyDescent="0.2">
      <c r="V116" s="1"/>
    </row>
    <row r="117" spans="22:22" x14ac:dyDescent="0.2">
      <c r="V117" s="1"/>
    </row>
    <row r="118" spans="22:22" x14ac:dyDescent="0.2">
      <c r="V118" s="1"/>
    </row>
    <row r="119" spans="22:22" x14ac:dyDescent="0.2">
      <c r="V119" s="1"/>
    </row>
    <row r="120" spans="22:22" x14ac:dyDescent="0.2">
      <c r="V120" s="1"/>
    </row>
    <row r="121" spans="22:22" x14ac:dyDescent="0.2">
      <c r="V121" s="1"/>
    </row>
    <row r="122" spans="22:22" x14ac:dyDescent="0.2">
      <c r="V122" s="1"/>
    </row>
    <row r="123" spans="22:22" x14ac:dyDescent="0.2">
      <c r="V123" s="1"/>
    </row>
    <row r="124" spans="22:22" x14ac:dyDescent="0.2">
      <c r="V124" s="1"/>
    </row>
    <row r="125" spans="22:22" x14ac:dyDescent="0.2">
      <c r="V125" s="1"/>
    </row>
    <row r="126" spans="22:22" x14ac:dyDescent="0.2">
      <c r="V126" s="1"/>
    </row>
    <row r="127" spans="22:22" x14ac:dyDescent="0.2">
      <c r="V127" s="1"/>
    </row>
    <row r="128" spans="22:22" x14ac:dyDescent="0.2">
      <c r="V128" s="1"/>
    </row>
    <row r="129" spans="22:22" x14ac:dyDescent="0.2">
      <c r="V129" s="1"/>
    </row>
    <row r="130" spans="22:22" x14ac:dyDescent="0.2">
      <c r="V130" s="1"/>
    </row>
    <row r="131" spans="22:22" x14ac:dyDescent="0.2">
      <c r="V131" s="1"/>
    </row>
    <row r="132" spans="22:22" x14ac:dyDescent="0.2">
      <c r="V132" s="1"/>
    </row>
    <row r="133" spans="22:22" x14ac:dyDescent="0.2">
      <c r="V133" s="1"/>
    </row>
    <row r="134" spans="22:22" x14ac:dyDescent="0.2">
      <c r="V134" s="1"/>
    </row>
    <row r="135" spans="22:22" x14ac:dyDescent="0.2">
      <c r="V135" s="1"/>
    </row>
    <row r="136" spans="22:22" x14ac:dyDescent="0.2">
      <c r="V136" s="1"/>
    </row>
    <row r="137" spans="22:22" x14ac:dyDescent="0.2">
      <c r="V137" s="1"/>
    </row>
    <row r="138" spans="22:22" x14ac:dyDescent="0.2">
      <c r="V138" s="1"/>
    </row>
    <row r="139" spans="22:22" x14ac:dyDescent="0.2">
      <c r="V139" s="1"/>
    </row>
    <row r="140" spans="22:22" x14ac:dyDescent="0.2">
      <c r="V140" s="1"/>
    </row>
    <row r="141" spans="22:22" x14ac:dyDescent="0.2">
      <c r="V141" s="1"/>
    </row>
    <row r="142" spans="22:22" x14ac:dyDescent="0.2">
      <c r="V142" s="1"/>
    </row>
    <row r="143" spans="22:22" x14ac:dyDescent="0.2">
      <c r="V143" s="1"/>
    </row>
    <row r="144" spans="22:22" x14ac:dyDescent="0.2">
      <c r="V144" s="1"/>
    </row>
    <row r="145" spans="22:22" x14ac:dyDescent="0.2">
      <c r="V145" s="1"/>
    </row>
    <row r="146" spans="22:22" x14ac:dyDescent="0.2">
      <c r="V146" s="1"/>
    </row>
    <row r="147" spans="22:22" x14ac:dyDescent="0.2">
      <c r="V147" s="1"/>
    </row>
    <row r="148" spans="22:22" x14ac:dyDescent="0.2">
      <c r="V148" s="1"/>
    </row>
    <row r="149" spans="22:22" x14ac:dyDescent="0.2">
      <c r="V149" s="1"/>
    </row>
    <row r="150" spans="22:22" x14ac:dyDescent="0.2">
      <c r="V150" s="1"/>
    </row>
    <row r="151" spans="22:22" x14ac:dyDescent="0.2">
      <c r="V151" s="1"/>
    </row>
    <row r="152" spans="22:22" x14ac:dyDescent="0.2">
      <c r="V152" s="1"/>
    </row>
    <row r="153" spans="22:22" x14ac:dyDescent="0.2">
      <c r="V153" s="1"/>
    </row>
    <row r="154" spans="22:22" x14ac:dyDescent="0.2">
      <c r="V154" s="1"/>
    </row>
    <row r="155" spans="22:22" x14ac:dyDescent="0.2">
      <c r="V155" s="1"/>
    </row>
    <row r="156" spans="22:22" x14ac:dyDescent="0.2">
      <c r="V156" s="1"/>
    </row>
    <row r="157" spans="22:22" x14ac:dyDescent="0.2">
      <c r="V157" s="1"/>
    </row>
    <row r="158" spans="22:22" x14ac:dyDescent="0.2">
      <c r="V158" s="1"/>
    </row>
    <row r="159" spans="22:22" x14ac:dyDescent="0.2">
      <c r="V159" s="1"/>
    </row>
    <row r="160" spans="22:22" x14ac:dyDescent="0.2">
      <c r="V160" s="1"/>
    </row>
    <row r="161" spans="22:22" x14ac:dyDescent="0.2">
      <c r="V161" s="1"/>
    </row>
    <row r="162" spans="22:22" x14ac:dyDescent="0.2">
      <c r="V162" s="1"/>
    </row>
    <row r="163" spans="22:22" x14ac:dyDescent="0.2">
      <c r="V163" s="1"/>
    </row>
    <row r="164" spans="22:22" x14ac:dyDescent="0.2">
      <c r="V164" s="1"/>
    </row>
    <row r="165" spans="22:22" x14ac:dyDescent="0.2">
      <c r="V165" s="1"/>
    </row>
    <row r="166" spans="22:22" x14ac:dyDescent="0.2">
      <c r="V166" s="1"/>
    </row>
    <row r="167" spans="22:22" x14ac:dyDescent="0.2">
      <c r="V167" s="1"/>
    </row>
    <row r="168" spans="22:22" x14ac:dyDescent="0.2">
      <c r="V168" s="1"/>
    </row>
    <row r="169" spans="22:22" x14ac:dyDescent="0.2">
      <c r="V169" s="1"/>
    </row>
    <row r="170" spans="22:22" x14ac:dyDescent="0.2">
      <c r="V170" s="1"/>
    </row>
    <row r="171" spans="22:22" x14ac:dyDescent="0.2">
      <c r="V171" s="1"/>
    </row>
    <row r="172" spans="22:22" x14ac:dyDescent="0.2">
      <c r="V172" s="1"/>
    </row>
  </sheetData>
  <mergeCells count="6">
    <mergeCell ref="G5:M5"/>
    <mergeCell ref="N5:T5"/>
    <mergeCell ref="A1:AA1"/>
    <mergeCell ref="A2:AA2"/>
    <mergeCell ref="A3:AA3"/>
    <mergeCell ref="A4:AA4"/>
  </mergeCells>
  <pageMargins left="0.25" right="0.25" top="0.25" bottom="0.25" header="0.3" footer="0.3"/>
  <pageSetup scale="58" fitToHeight="0" orientation="landscape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169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8.28515625" customWidth="1"/>
    <col min="2" max="2" width="13.140625" customWidth="1"/>
    <col min="3" max="3" width="27.42578125" customWidth="1"/>
    <col min="4" max="4" width="12" customWidth="1"/>
    <col min="5" max="20" width="3.140625" customWidth="1"/>
    <col min="21" max="21" width="3.42578125" customWidth="1"/>
    <col min="22" max="22" width="5.7109375" customWidth="1"/>
    <col min="23" max="29" width="3.42578125" customWidth="1"/>
    <col min="30" max="30" width="11.42578125" customWidth="1"/>
    <col min="31" max="31" width="6.85546875" customWidth="1"/>
    <col min="32" max="32" width="8.5703125" customWidth="1"/>
    <col min="33" max="33" width="13.85546875" customWidth="1"/>
  </cols>
  <sheetData>
    <row r="1" spans="1:33" ht="12.75" x14ac:dyDescent="0.2">
      <c r="A1" s="5"/>
      <c r="B1" s="4"/>
      <c r="C1" s="4"/>
      <c r="D1" s="4"/>
    </row>
    <row r="2" spans="1:33" ht="75.75" customHeight="1" x14ac:dyDescent="0.2">
      <c r="A2" s="7" t="s">
        <v>7</v>
      </c>
      <c r="B2" s="8" t="s">
        <v>6</v>
      </c>
      <c r="C2" s="7" t="s">
        <v>5</v>
      </c>
      <c r="D2" s="8" t="s">
        <v>8</v>
      </c>
      <c r="E2" s="16">
        <v>1</v>
      </c>
      <c r="F2" s="16">
        <v>2</v>
      </c>
      <c r="G2" s="16">
        <v>3</v>
      </c>
      <c r="H2" s="16">
        <v>4</v>
      </c>
      <c r="I2" s="16">
        <v>5</v>
      </c>
      <c r="J2" s="16">
        <v>6</v>
      </c>
      <c r="K2" s="16">
        <v>7</v>
      </c>
      <c r="L2" s="16">
        <v>8</v>
      </c>
      <c r="M2" s="16">
        <v>9</v>
      </c>
      <c r="N2" s="16">
        <v>10</v>
      </c>
      <c r="O2" s="16">
        <v>11</v>
      </c>
      <c r="P2" s="16">
        <v>12</v>
      </c>
      <c r="Q2" s="16">
        <v>13</v>
      </c>
      <c r="R2" s="16">
        <v>14</v>
      </c>
      <c r="S2" s="16">
        <v>15</v>
      </c>
      <c r="T2" s="16">
        <v>16</v>
      </c>
      <c r="U2" s="16">
        <v>17</v>
      </c>
      <c r="V2" s="16">
        <v>18</v>
      </c>
      <c r="W2" s="28">
        <v>19</v>
      </c>
      <c r="X2" s="29">
        <v>20</v>
      </c>
      <c r="Y2" s="16">
        <v>21</v>
      </c>
      <c r="Z2" s="16">
        <v>22</v>
      </c>
      <c r="AA2" s="28">
        <v>23</v>
      </c>
      <c r="AB2" s="16">
        <v>24</v>
      </c>
      <c r="AC2" s="16">
        <v>25</v>
      </c>
      <c r="AD2" s="30" t="s">
        <v>158</v>
      </c>
      <c r="AE2" s="30" t="s">
        <v>159</v>
      </c>
      <c r="AF2" s="16" t="s">
        <v>160</v>
      </c>
      <c r="AG2" s="31"/>
    </row>
    <row r="3" spans="1:33" ht="16.5" x14ac:dyDescent="0.2">
      <c r="A3" s="19">
        <v>1</v>
      </c>
      <c r="B3" s="18">
        <v>23510250191</v>
      </c>
      <c r="C3" s="32" t="s">
        <v>29</v>
      </c>
      <c r="D3" s="18">
        <v>8468985022</v>
      </c>
      <c r="E3" s="33">
        <v>43</v>
      </c>
      <c r="F3" s="33">
        <v>41</v>
      </c>
      <c r="G3" s="33">
        <v>37</v>
      </c>
      <c r="H3" s="33"/>
      <c r="I3" s="33">
        <v>35</v>
      </c>
      <c r="J3" s="33">
        <v>34</v>
      </c>
      <c r="K3" s="33">
        <v>37</v>
      </c>
      <c r="L3" s="33">
        <v>36</v>
      </c>
      <c r="M3" s="33">
        <v>34</v>
      </c>
      <c r="N3" s="33">
        <v>39</v>
      </c>
      <c r="O3" s="33">
        <v>39</v>
      </c>
      <c r="P3" s="33">
        <v>37</v>
      </c>
      <c r="Q3" s="33">
        <v>36</v>
      </c>
      <c r="R3" s="33">
        <v>39</v>
      </c>
      <c r="S3" s="33">
        <v>39</v>
      </c>
      <c r="T3" s="33">
        <v>35</v>
      </c>
      <c r="U3" s="33">
        <v>40</v>
      </c>
      <c r="V3" s="24"/>
      <c r="W3" s="34"/>
      <c r="X3" s="24"/>
      <c r="Y3" s="24"/>
      <c r="Z3" s="24"/>
      <c r="AA3" s="34"/>
      <c r="AB3" s="24"/>
      <c r="AC3" s="24"/>
      <c r="AD3" s="24">
        <f t="shared" ref="AD3:AD70" si="0">SUM(E3:AC3)</f>
        <v>601</v>
      </c>
      <c r="AE3" s="24">
        <f t="shared" ref="AE3:AE70" si="1">ROUNDUP((AD3*50)/1150,0)</f>
        <v>27</v>
      </c>
      <c r="AF3" s="24">
        <f t="shared" ref="AF3:AF70" si="2">A3</f>
        <v>1</v>
      </c>
      <c r="AG3" s="24">
        <f t="shared" ref="AG3:AG70" si="3">(AD3*50)/1150</f>
        <v>26.130434782608695</v>
      </c>
    </row>
    <row r="4" spans="1:33" ht="16.5" x14ac:dyDescent="0.2">
      <c r="A4" s="19">
        <v>2</v>
      </c>
      <c r="B4" s="18">
        <v>23510250192</v>
      </c>
      <c r="C4" s="32" t="s">
        <v>31</v>
      </c>
      <c r="D4" s="18">
        <v>9637998066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34"/>
      <c r="X4" s="24"/>
      <c r="Y4" s="24"/>
      <c r="Z4" s="24"/>
      <c r="AA4" s="34"/>
      <c r="AB4" s="24"/>
      <c r="AC4" s="24"/>
      <c r="AD4" s="24">
        <f t="shared" si="0"/>
        <v>0</v>
      </c>
      <c r="AE4" s="24">
        <f t="shared" si="1"/>
        <v>0</v>
      </c>
      <c r="AF4" s="24">
        <f t="shared" si="2"/>
        <v>2</v>
      </c>
      <c r="AG4" s="24">
        <f t="shared" si="3"/>
        <v>0</v>
      </c>
    </row>
    <row r="5" spans="1:33" ht="16.5" x14ac:dyDescent="0.2">
      <c r="A5" s="19">
        <v>3</v>
      </c>
      <c r="B5" s="18">
        <v>23510250193</v>
      </c>
      <c r="C5" s="32" t="s">
        <v>33</v>
      </c>
      <c r="D5" s="18">
        <v>9209526986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34"/>
      <c r="X5" s="24"/>
      <c r="Y5" s="24"/>
      <c r="Z5" s="24"/>
      <c r="AA5" s="34"/>
      <c r="AB5" s="24"/>
      <c r="AC5" s="24"/>
      <c r="AD5" s="24">
        <f t="shared" si="0"/>
        <v>0</v>
      </c>
      <c r="AE5" s="24">
        <f t="shared" si="1"/>
        <v>0</v>
      </c>
      <c r="AF5" s="24">
        <f t="shared" si="2"/>
        <v>3</v>
      </c>
      <c r="AG5" s="24">
        <f t="shared" si="3"/>
        <v>0</v>
      </c>
    </row>
    <row r="6" spans="1:33" ht="25.5" x14ac:dyDescent="0.2">
      <c r="A6" s="19">
        <v>4</v>
      </c>
      <c r="B6" s="18">
        <v>23510250194</v>
      </c>
      <c r="C6" s="32" t="s">
        <v>35</v>
      </c>
      <c r="D6" s="18">
        <v>9322671442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34"/>
      <c r="X6" s="24"/>
      <c r="Y6" s="24"/>
      <c r="Z6" s="24"/>
      <c r="AA6" s="34"/>
      <c r="AB6" s="24"/>
      <c r="AC6" s="24"/>
      <c r="AD6" s="24">
        <f t="shared" si="0"/>
        <v>0</v>
      </c>
      <c r="AE6" s="24">
        <f t="shared" si="1"/>
        <v>0</v>
      </c>
      <c r="AF6" s="24">
        <f t="shared" si="2"/>
        <v>4</v>
      </c>
      <c r="AG6" s="24">
        <f t="shared" si="3"/>
        <v>0</v>
      </c>
    </row>
    <row r="7" spans="1:33" ht="16.5" x14ac:dyDescent="0.2">
      <c r="A7" s="19">
        <v>5</v>
      </c>
      <c r="B7" s="18">
        <v>23510250195</v>
      </c>
      <c r="C7" s="32" t="s">
        <v>37</v>
      </c>
      <c r="D7" s="18">
        <v>9284904157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34"/>
      <c r="X7" s="24"/>
      <c r="Y7" s="24"/>
      <c r="Z7" s="24"/>
      <c r="AA7" s="34"/>
      <c r="AB7" s="24"/>
      <c r="AC7" s="24"/>
      <c r="AD7" s="24">
        <f t="shared" si="0"/>
        <v>0</v>
      </c>
      <c r="AE7" s="24">
        <f t="shared" si="1"/>
        <v>0</v>
      </c>
      <c r="AF7" s="24">
        <f t="shared" si="2"/>
        <v>5</v>
      </c>
      <c r="AG7" s="24">
        <f t="shared" si="3"/>
        <v>0</v>
      </c>
    </row>
    <row r="8" spans="1:33" ht="16.5" x14ac:dyDescent="0.2">
      <c r="A8" s="19">
        <v>6</v>
      </c>
      <c r="B8" s="18">
        <v>23510250196</v>
      </c>
      <c r="C8" s="32" t="s">
        <v>39</v>
      </c>
      <c r="D8" s="18">
        <v>9325260614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34"/>
      <c r="X8" s="24"/>
      <c r="Y8" s="24"/>
      <c r="Z8" s="24"/>
      <c r="AA8" s="34"/>
      <c r="AB8" s="24"/>
      <c r="AC8" s="24"/>
      <c r="AD8" s="24">
        <f t="shared" si="0"/>
        <v>0</v>
      </c>
      <c r="AE8" s="24">
        <f t="shared" si="1"/>
        <v>0</v>
      </c>
      <c r="AF8" s="24">
        <f t="shared" si="2"/>
        <v>6</v>
      </c>
      <c r="AG8" s="24">
        <f t="shared" si="3"/>
        <v>0</v>
      </c>
    </row>
    <row r="9" spans="1:33" ht="25.5" x14ac:dyDescent="0.2">
      <c r="A9" s="19">
        <v>7</v>
      </c>
      <c r="B9" s="18">
        <v>23510250197</v>
      </c>
      <c r="C9" s="32" t="s">
        <v>41</v>
      </c>
      <c r="D9" s="18">
        <v>9022989193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34"/>
      <c r="X9" s="24"/>
      <c r="Y9" s="24"/>
      <c r="Z9" s="24"/>
      <c r="AA9" s="34"/>
      <c r="AB9" s="24"/>
      <c r="AC9" s="24"/>
      <c r="AD9" s="24">
        <f t="shared" si="0"/>
        <v>0</v>
      </c>
      <c r="AE9" s="24">
        <f t="shared" si="1"/>
        <v>0</v>
      </c>
      <c r="AF9" s="24">
        <f t="shared" si="2"/>
        <v>7</v>
      </c>
      <c r="AG9" s="24">
        <f t="shared" si="3"/>
        <v>0</v>
      </c>
    </row>
    <row r="10" spans="1:33" ht="16.5" x14ac:dyDescent="0.2">
      <c r="A10" s="19">
        <v>8</v>
      </c>
      <c r="B10" s="18">
        <v>23510250198</v>
      </c>
      <c r="C10" s="32" t="s">
        <v>43</v>
      </c>
      <c r="D10" s="26" t="s">
        <v>44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34"/>
      <c r="X10" s="24"/>
      <c r="Y10" s="24"/>
      <c r="Z10" s="24"/>
      <c r="AA10" s="34"/>
      <c r="AB10" s="24"/>
      <c r="AC10" s="24"/>
      <c r="AD10" s="24">
        <f t="shared" si="0"/>
        <v>0</v>
      </c>
      <c r="AE10" s="24">
        <f t="shared" si="1"/>
        <v>0</v>
      </c>
      <c r="AF10" s="24">
        <f t="shared" si="2"/>
        <v>8</v>
      </c>
      <c r="AG10" s="24">
        <f t="shared" si="3"/>
        <v>0</v>
      </c>
    </row>
    <row r="11" spans="1:33" ht="16.5" x14ac:dyDescent="0.2">
      <c r="A11" s="19">
        <v>9</v>
      </c>
      <c r="B11" s="18">
        <v>23510250199</v>
      </c>
      <c r="C11" s="32" t="s">
        <v>46</v>
      </c>
      <c r="D11" s="18">
        <v>7775900436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34"/>
      <c r="X11" s="24"/>
      <c r="Y11" s="24"/>
      <c r="Z11" s="24"/>
      <c r="AA11" s="34"/>
      <c r="AB11" s="24"/>
      <c r="AC11" s="24"/>
      <c r="AD11" s="24">
        <f t="shared" si="0"/>
        <v>0</v>
      </c>
      <c r="AE11" s="24">
        <f t="shared" si="1"/>
        <v>0</v>
      </c>
      <c r="AF11" s="24">
        <f t="shared" si="2"/>
        <v>9</v>
      </c>
      <c r="AG11" s="24">
        <f t="shared" si="3"/>
        <v>0</v>
      </c>
    </row>
    <row r="12" spans="1:33" ht="16.5" x14ac:dyDescent="0.2">
      <c r="A12" s="19">
        <v>10</v>
      </c>
      <c r="B12" s="18">
        <v>23510250200</v>
      </c>
      <c r="C12" s="32" t="s">
        <v>48</v>
      </c>
      <c r="D12" s="18">
        <v>8208065798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34"/>
      <c r="X12" s="24"/>
      <c r="Y12" s="24"/>
      <c r="Z12" s="24"/>
      <c r="AA12" s="34"/>
      <c r="AB12" s="24"/>
      <c r="AC12" s="24"/>
      <c r="AD12" s="24">
        <f t="shared" si="0"/>
        <v>0</v>
      </c>
      <c r="AE12" s="24">
        <f t="shared" si="1"/>
        <v>0</v>
      </c>
      <c r="AF12" s="24">
        <f t="shared" si="2"/>
        <v>10</v>
      </c>
      <c r="AG12" s="24">
        <f t="shared" si="3"/>
        <v>0</v>
      </c>
    </row>
    <row r="13" spans="1:33" ht="16.5" x14ac:dyDescent="0.2">
      <c r="A13" s="19">
        <v>11</v>
      </c>
      <c r="B13" s="18">
        <v>23510250201</v>
      </c>
      <c r="C13" s="32" t="s">
        <v>50</v>
      </c>
      <c r="D13" s="18">
        <v>9503988621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34"/>
      <c r="X13" s="24"/>
      <c r="Y13" s="24"/>
      <c r="Z13" s="24"/>
      <c r="AA13" s="34"/>
      <c r="AB13" s="24"/>
      <c r="AC13" s="24"/>
      <c r="AD13" s="24">
        <f t="shared" si="0"/>
        <v>0</v>
      </c>
      <c r="AE13" s="24">
        <f t="shared" si="1"/>
        <v>0</v>
      </c>
      <c r="AF13" s="24">
        <f t="shared" si="2"/>
        <v>11</v>
      </c>
      <c r="AG13" s="24">
        <f t="shared" si="3"/>
        <v>0</v>
      </c>
    </row>
    <row r="14" spans="1:33" ht="16.5" x14ac:dyDescent="0.2">
      <c r="A14" s="19">
        <v>12</v>
      </c>
      <c r="B14" s="18">
        <v>23510250202</v>
      </c>
      <c r="C14" s="32" t="s">
        <v>52</v>
      </c>
      <c r="D14" s="18">
        <v>7798844407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34"/>
      <c r="X14" s="24"/>
      <c r="Y14" s="24"/>
      <c r="Z14" s="24"/>
      <c r="AA14" s="34"/>
      <c r="AB14" s="24"/>
      <c r="AC14" s="24"/>
      <c r="AD14" s="24">
        <f t="shared" si="0"/>
        <v>0</v>
      </c>
      <c r="AE14" s="24">
        <f t="shared" si="1"/>
        <v>0</v>
      </c>
      <c r="AF14" s="24">
        <f t="shared" si="2"/>
        <v>12</v>
      </c>
      <c r="AG14" s="24">
        <f t="shared" si="3"/>
        <v>0</v>
      </c>
    </row>
    <row r="15" spans="1:33" ht="16.5" x14ac:dyDescent="0.2">
      <c r="A15" s="19">
        <v>13</v>
      </c>
      <c r="B15" s="18">
        <v>23510250203</v>
      </c>
      <c r="C15" s="32" t="s">
        <v>54</v>
      </c>
      <c r="D15" s="18">
        <v>8459607758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34"/>
      <c r="X15" s="24"/>
      <c r="Y15" s="24"/>
      <c r="Z15" s="24"/>
      <c r="AA15" s="34"/>
      <c r="AB15" s="24"/>
      <c r="AC15" s="24"/>
      <c r="AD15" s="24">
        <f t="shared" si="0"/>
        <v>0</v>
      </c>
      <c r="AE15" s="24">
        <f t="shared" si="1"/>
        <v>0</v>
      </c>
      <c r="AF15" s="24">
        <f t="shared" si="2"/>
        <v>13</v>
      </c>
      <c r="AG15" s="24">
        <f t="shared" si="3"/>
        <v>0</v>
      </c>
    </row>
    <row r="16" spans="1:33" ht="25.5" x14ac:dyDescent="0.2">
      <c r="A16" s="19">
        <v>14</v>
      </c>
      <c r="B16" s="18">
        <v>23510250204</v>
      </c>
      <c r="C16" s="32" t="s">
        <v>56</v>
      </c>
      <c r="D16" s="18">
        <v>9529368030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34"/>
      <c r="X16" s="24"/>
      <c r="Y16" s="24"/>
      <c r="Z16" s="24"/>
      <c r="AA16" s="34"/>
      <c r="AB16" s="24"/>
      <c r="AC16" s="24"/>
      <c r="AD16" s="24">
        <f t="shared" si="0"/>
        <v>0</v>
      </c>
      <c r="AE16" s="24">
        <f t="shared" si="1"/>
        <v>0</v>
      </c>
      <c r="AF16" s="24">
        <f t="shared" si="2"/>
        <v>14</v>
      </c>
      <c r="AG16" s="24">
        <f t="shared" si="3"/>
        <v>0</v>
      </c>
    </row>
    <row r="17" spans="1:33" ht="16.5" x14ac:dyDescent="0.2">
      <c r="A17" s="19">
        <v>15</v>
      </c>
      <c r="B17" s="18">
        <v>23510250205</v>
      </c>
      <c r="C17" s="32" t="s">
        <v>58</v>
      </c>
      <c r="D17" s="18">
        <v>8208523557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34"/>
      <c r="X17" s="24"/>
      <c r="Y17" s="24"/>
      <c r="Z17" s="24"/>
      <c r="AA17" s="34"/>
      <c r="AB17" s="24"/>
      <c r="AC17" s="24"/>
      <c r="AD17" s="24">
        <f t="shared" si="0"/>
        <v>0</v>
      </c>
      <c r="AE17" s="24">
        <f t="shared" si="1"/>
        <v>0</v>
      </c>
      <c r="AF17" s="24">
        <f t="shared" si="2"/>
        <v>15</v>
      </c>
      <c r="AG17" s="24">
        <f t="shared" si="3"/>
        <v>0</v>
      </c>
    </row>
    <row r="18" spans="1:33" ht="16.5" x14ac:dyDescent="0.2">
      <c r="A18" s="19">
        <v>16</v>
      </c>
      <c r="B18" s="18">
        <v>23510250206</v>
      </c>
      <c r="C18" s="32" t="s">
        <v>60</v>
      </c>
      <c r="D18" s="18">
        <v>8788861068</v>
      </c>
      <c r="E18" s="33">
        <v>29</v>
      </c>
      <c r="F18" s="33">
        <v>30</v>
      </c>
      <c r="G18" s="33">
        <v>34</v>
      </c>
      <c r="H18" s="33">
        <v>35</v>
      </c>
      <c r="I18" s="33">
        <v>35</v>
      </c>
      <c r="J18" s="33">
        <v>33</v>
      </c>
      <c r="K18" s="33">
        <v>37</v>
      </c>
      <c r="L18" s="33">
        <v>39</v>
      </c>
      <c r="M18" s="33">
        <v>38</v>
      </c>
      <c r="N18" s="33">
        <v>40</v>
      </c>
      <c r="O18" s="33">
        <v>41</v>
      </c>
      <c r="P18" s="33">
        <v>39</v>
      </c>
      <c r="Q18" s="33">
        <v>37</v>
      </c>
      <c r="R18" s="33">
        <v>37</v>
      </c>
      <c r="S18" s="33">
        <v>39</v>
      </c>
      <c r="T18" s="33">
        <v>36</v>
      </c>
      <c r="U18" s="33">
        <v>35</v>
      </c>
      <c r="V18" s="24"/>
      <c r="W18" s="34"/>
      <c r="X18" s="24"/>
      <c r="Y18" s="24"/>
      <c r="Z18" s="24"/>
      <c r="AA18" s="34"/>
      <c r="AB18" s="24"/>
      <c r="AC18" s="24"/>
      <c r="AD18" s="24">
        <f t="shared" si="0"/>
        <v>614</v>
      </c>
      <c r="AE18" s="24">
        <f t="shared" si="1"/>
        <v>27</v>
      </c>
      <c r="AF18" s="24">
        <f t="shared" si="2"/>
        <v>16</v>
      </c>
      <c r="AG18" s="24">
        <f t="shared" si="3"/>
        <v>26.695652173913043</v>
      </c>
    </row>
    <row r="19" spans="1:33" ht="16.5" x14ac:dyDescent="0.2">
      <c r="A19" s="19">
        <v>17</v>
      </c>
      <c r="B19" s="18" t="s">
        <v>63</v>
      </c>
      <c r="C19" s="32" t="s">
        <v>62</v>
      </c>
      <c r="D19" s="18" t="s">
        <v>63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34"/>
      <c r="X19" s="24"/>
      <c r="Y19" s="24"/>
      <c r="Z19" s="24"/>
      <c r="AA19" s="34"/>
      <c r="AB19" s="24"/>
      <c r="AC19" s="24"/>
      <c r="AD19" s="24">
        <f t="shared" si="0"/>
        <v>0</v>
      </c>
      <c r="AE19" s="24">
        <f t="shared" si="1"/>
        <v>0</v>
      </c>
      <c r="AF19" s="24">
        <f t="shared" si="2"/>
        <v>17</v>
      </c>
      <c r="AG19" s="24">
        <f t="shared" si="3"/>
        <v>0</v>
      </c>
    </row>
    <row r="20" spans="1:33" ht="25.5" x14ac:dyDescent="0.2">
      <c r="A20" s="19">
        <v>18</v>
      </c>
      <c r="B20" s="18">
        <v>23510250208</v>
      </c>
      <c r="C20" s="32" t="s">
        <v>65</v>
      </c>
      <c r="D20" s="18">
        <v>8459743131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34"/>
      <c r="X20" s="24"/>
      <c r="Y20" s="24"/>
      <c r="Z20" s="24"/>
      <c r="AA20" s="34"/>
      <c r="AB20" s="24"/>
      <c r="AC20" s="24"/>
      <c r="AD20" s="24">
        <f t="shared" si="0"/>
        <v>0</v>
      </c>
      <c r="AE20" s="24">
        <f t="shared" si="1"/>
        <v>0</v>
      </c>
      <c r="AF20" s="24">
        <f t="shared" si="2"/>
        <v>18</v>
      </c>
      <c r="AG20" s="24">
        <f t="shared" si="3"/>
        <v>0</v>
      </c>
    </row>
    <row r="21" spans="1:33" ht="16.5" x14ac:dyDescent="0.2">
      <c r="A21" s="19">
        <v>19</v>
      </c>
      <c r="B21" s="18">
        <v>23510250209</v>
      </c>
      <c r="C21" s="32" t="s">
        <v>67</v>
      </c>
      <c r="D21" s="18">
        <v>9579022694</v>
      </c>
      <c r="E21" s="33">
        <v>40</v>
      </c>
      <c r="F21" s="33">
        <v>41</v>
      </c>
      <c r="G21" s="33">
        <v>38</v>
      </c>
      <c r="H21" s="33">
        <v>36</v>
      </c>
      <c r="I21" s="33">
        <v>30</v>
      </c>
      <c r="J21" s="33">
        <v>34</v>
      </c>
      <c r="K21" s="33">
        <v>33</v>
      </c>
      <c r="L21" s="33">
        <v>38</v>
      </c>
      <c r="M21" s="33">
        <v>36</v>
      </c>
      <c r="N21" s="33">
        <v>42</v>
      </c>
      <c r="O21" s="33">
        <v>38</v>
      </c>
      <c r="P21" s="33">
        <v>37</v>
      </c>
      <c r="Q21" s="33">
        <v>35</v>
      </c>
      <c r="R21" s="33">
        <v>33</v>
      </c>
      <c r="S21" s="33">
        <v>34</v>
      </c>
      <c r="T21" s="33">
        <v>33</v>
      </c>
      <c r="U21" s="33">
        <v>39</v>
      </c>
      <c r="V21" s="24"/>
      <c r="W21" s="34"/>
      <c r="X21" s="24"/>
      <c r="Y21" s="24"/>
      <c r="Z21" s="24"/>
      <c r="AA21" s="34"/>
      <c r="AB21" s="24"/>
      <c r="AC21" s="24"/>
      <c r="AD21" s="24">
        <f t="shared" si="0"/>
        <v>617</v>
      </c>
      <c r="AE21" s="24">
        <f t="shared" si="1"/>
        <v>27</v>
      </c>
      <c r="AF21" s="24">
        <f t="shared" si="2"/>
        <v>19</v>
      </c>
      <c r="AG21" s="24">
        <f t="shared" si="3"/>
        <v>26.826086956521738</v>
      </c>
    </row>
    <row r="22" spans="1:33" ht="16.5" x14ac:dyDescent="0.2">
      <c r="A22" s="19">
        <v>20</v>
      </c>
      <c r="B22" s="18">
        <v>23510250210</v>
      </c>
      <c r="C22" s="32" t="s">
        <v>70</v>
      </c>
      <c r="D22" s="18">
        <v>9665352298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34"/>
      <c r="X22" s="24"/>
      <c r="Y22" s="24"/>
      <c r="Z22" s="24"/>
      <c r="AA22" s="34"/>
      <c r="AB22" s="24"/>
      <c r="AC22" s="24"/>
      <c r="AD22" s="24">
        <f t="shared" si="0"/>
        <v>0</v>
      </c>
      <c r="AE22" s="24">
        <f t="shared" si="1"/>
        <v>0</v>
      </c>
      <c r="AF22" s="24">
        <f t="shared" si="2"/>
        <v>20</v>
      </c>
      <c r="AG22" s="24">
        <f t="shared" si="3"/>
        <v>0</v>
      </c>
    </row>
    <row r="23" spans="1:33" ht="16.5" x14ac:dyDescent="0.2">
      <c r="A23" s="19">
        <v>21</v>
      </c>
      <c r="B23" s="18">
        <v>23510250211</v>
      </c>
      <c r="C23" s="32" t="s">
        <v>72</v>
      </c>
      <c r="D23" s="18">
        <v>7499011021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34"/>
      <c r="X23" s="24"/>
      <c r="Y23" s="24"/>
      <c r="Z23" s="24"/>
      <c r="AA23" s="34"/>
      <c r="AB23" s="24"/>
      <c r="AC23" s="24"/>
      <c r="AD23" s="24">
        <f t="shared" si="0"/>
        <v>0</v>
      </c>
      <c r="AE23" s="24">
        <f t="shared" si="1"/>
        <v>0</v>
      </c>
      <c r="AF23" s="24">
        <f t="shared" si="2"/>
        <v>21</v>
      </c>
      <c r="AG23" s="24">
        <f t="shared" si="3"/>
        <v>0</v>
      </c>
    </row>
    <row r="24" spans="1:33" ht="16.5" x14ac:dyDescent="0.2">
      <c r="A24" s="19">
        <v>22</v>
      </c>
      <c r="B24" s="18">
        <v>23510250212</v>
      </c>
      <c r="C24" s="32" t="s">
        <v>74</v>
      </c>
      <c r="D24" s="18">
        <v>9309712354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34"/>
      <c r="X24" s="24"/>
      <c r="Y24" s="24"/>
      <c r="Z24" s="24"/>
      <c r="AA24" s="34"/>
      <c r="AB24" s="24"/>
      <c r="AC24" s="24"/>
      <c r="AD24" s="24">
        <f t="shared" si="0"/>
        <v>0</v>
      </c>
      <c r="AE24" s="24">
        <f t="shared" si="1"/>
        <v>0</v>
      </c>
      <c r="AF24" s="24">
        <f t="shared" si="2"/>
        <v>22</v>
      </c>
      <c r="AG24" s="24">
        <f t="shared" si="3"/>
        <v>0</v>
      </c>
    </row>
    <row r="25" spans="1:33" ht="16.5" x14ac:dyDescent="0.2">
      <c r="A25" s="19">
        <v>23</v>
      </c>
      <c r="B25" s="18">
        <v>23510250213</v>
      </c>
      <c r="C25" s="32" t="s">
        <v>76</v>
      </c>
      <c r="D25" s="18">
        <v>8262935973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34"/>
      <c r="X25" s="24"/>
      <c r="Y25" s="24"/>
      <c r="Z25" s="24"/>
      <c r="AA25" s="34"/>
      <c r="AB25" s="24"/>
      <c r="AC25" s="24"/>
      <c r="AD25" s="24">
        <f t="shared" si="0"/>
        <v>0</v>
      </c>
      <c r="AE25" s="24">
        <f t="shared" si="1"/>
        <v>0</v>
      </c>
      <c r="AF25" s="24">
        <f t="shared" si="2"/>
        <v>23</v>
      </c>
      <c r="AG25" s="24">
        <f t="shared" si="3"/>
        <v>0</v>
      </c>
    </row>
    <row r="26" spans="1:33" ht="16.5" x14ac:dyDescent="0.2">
      <c r="A26" s="35">
        <v>24</v>
      </c>
      <c r="B26" s="35">
        <v>23510250214</v>
      </c>
      <c r="C26" s="36" t="s">
        <v>78</v>
      </c>
      <c r="D26" s="35">
        <v>9284536775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4"/>
      <c r="X26" s="37"/>
      <c r="Y26" s="37"/>
      <c r="Z26" s="37"/>
      <c r="AA26" s="34"/>
      <c r="AB26" s="37"/>
      <c r="AC26" s="37"/>
      <c r="AD26" s="24">
        <f t="shared" si="0"/>
        <v>0</v>
      </c>
      <c r="AE26" s="24">
        <f t="shared" si="1"/>
        <v>0</v>
      </c>
      <c r="AF26" s="37">
        <f t="shared" si="2"/>
        <v>24</v>
      </c>
      <c r="AG26" s="24">
        <f t="shared" si="3"/>
        <v>0</v>
      </c>
    </row>
    <row r="27" spans="1:33" ht="16.5" x14ac:dyDescent="0.2">
      <c r="A27" s="35">
        <v>25</v>
      </c>
      <c r="B27" s="35">
        <v>23510250215</v>
      </c>
      <c r="C27" s="36" t="s">
        <v>80</v>
      </c>
      <c r="D27" s="35">
        <v>9834105241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4"/>
      <c r="X27" s="37"/>
      <c r="Y27" s="37"/>
      <c r="Z27" s="37"/>
      <c r="AA27" s="34"/>
      <c r="AB27" s="37"/>
      <c r="AC27" s="37"/>
      <c r="AD27" s="24">
        <f t="shared" si="0"/>
        <v>0</v>
      </c>
      <c r="AE27" s="24">
        <f t="shared" si="1"/>
        <v>0</v>
      </c>
      <c r="AF27" s="37">
        <f t="shared" si="2"/>
        <v>25</v>
      </c>
      <c r="AG27" s="24">
        <f t="shared" si="3"/>
        <v>0</v>
      </c>
    </row>
    <row r="28" spans="1:33" ht="16.5" x14ac:dyDescent="0.2">
      <c r="A28" s="35">
        <v>26</v>
      </c>
      <c r="B28" s="35" t="s">
        <v>63</v>
      </c>
      <c r="C28" s="36" t="s">
        <v>82</v>
      </c>
      <c r="D28" s="35" t="s">
        <v>63</v>
      </c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4"/>
      <c r="X28" s="37"/>
      <c r="Y28" s="37"/>
      <c r="Z28" s="37"/>
      <c r="AA28" s="34"/>
      <c r="AB28" s="37"/>
      <c r="AC28" s="37"/>
      <c r="AD28" s="24">
        <f t="shared" si="0"/>
        <v>0</v>
      </c>
      <c r="AE28" s="24">
        <f t="shared" si="1"/>
        <v>0</v>
      </c>
      <c r="AF28" s="37">
        <f t="shared" si="2"/>
        <v>26</v>
      </c>
      <c r="AG28" s="24">
        <f t="shared" si="3"/>
        <v>0</v>
      </c>
    </row>
    <row r="29" spans="1:33" ht="16.5" x14ac:dyDescent="0.2">
      <c r="A29" s="35">
        <v>27</v>
      </c>
      <c r="B29" s="35">
        <v>23510250217</v>
      </c>
      <c r="C29" s="36" t="s">
        <v>84</v>
      </c>
      <c r="D29" s="35">
        <v>9422591511</v>
      </c>
      <c r="E29" s="38">
        <v>44</v>
      </c>
      <c r="F29" s="38">
        <v>43</v>
      </c>
      <c r="G29" s="38">
        <v>44</v>
      </c>
      <c r="H29" s="37"/>
      <c r="I29" s="38">
        <v>42</v>
      </c>
      <c r="J29" s="38">
        <v>45</v>
      </c>
      <c r="K29" s="38">
        <v>42</v>
      </c>
      <c r="L29" s="37"/>
      <c r="M29" s="38">
        <v>44</v>
      </c>
      <c r="N29" s="38">
        <v>42</v>
      </c>
      <c r="O29" s="38">
        <v>45</v>
      </c>
      <c r="P29" s="38">
        <v>43</v>
      </c>
      <c r="Q29" s="38">
        <v>43</v>
      </c>
      <c r="R29" s="38">
        <v>45</v>
      </c>
      <c r="S29" s="38">
        <v>45</v>
      </c>
      <c r="T29" s="38">
        <v>44</v>
      </c>
      <c r="U29" s="38">
        <v>46</v>
      </c>
      <c r="V29" s="37"/>
      <c r="W29" s="34"/>
      <c r="X29" s="37"/>
      <c r="Y29" s="37"/>
      <c r="Z29" s="37"/>
      <c r="AA29" s="34"/>
      <c r="AB29" s="37"/>
      <c r="AC29" s="37"/>
      <c r="AD29" s="24">
        <f t="shared" si="0"/>
        <v>657</v>
      </c>
      <c r="AE29" s="24">
        <f t="shared" si="1"/>
        <v>29</v>
      </c>
      <c r="AF29" s="37">
        <f t="shared" si="2"/>
        <v>27</v>
      </c>
      <c r="AG29" s="24">
        <f t="shared" si="3"/>
        <v>28.565217391304348</v>
      </c>
    </row>
    <row r="30" spans="1:33" ht="16.5" x14ac:dyDescent="0.2">
      <c r="A30" s="35">
        <v>28</v>
      </c>
      <c r="B30" s="35">
        <v>23510250218</v>
      </c>
      <c r="C30" s="36" t="s">
        <v>86</v>
      </c>
      <c r="D30" s="35">
        <v>9307938007</v>
      </c>
      <c r="E30" s="38">
        <v>40</v>
      </c>
      <c r="F30" s="38">
        <v>38</v>
      </c>
      <c r="G30" s="38">
        <v>39</v>
      </c>
      <c r="H30" s="37"/>
      <c r="I30" s="38">
        <v>38</v>
      </c>
      <c r="J30" s="38">
        <v>38</v>
      </c>
      <c r="K30" s="38">
        <v>42</v>
      </c>
      <c r="L30" s="38">
        <v>42</v>
      </c>
      <c r="M30" s="38">
        <v>41</v>
      </c>
      <c r="N30" s="38">
        <v>42</v>
      </c>
      <c r="O30" s="38">
        <v>39</v>
      </c>
      <c r="P30" s="38">
        <v>40</v>
      </c>
      <c r="Q30" s="38">
        <v>40</v>
      </c>
      <c r="R30" s="38">
        <v>41</v>
      </c>
      <c r="S30" s="38">
        <v>40</v>
      </c>
      <c r="T30" s="38">
        <v>42</v>
      </c>
      <c r="U30" s="38">
        <v>43</v>
      </c>
      <c r="V30" s="37"/>
      <c r="W30" s="34"/>
      <c r="X30" s="37"/>
      <c r="Y30" s="37"/>
      <c r="Z30" s="37"/>
      <c r="AA30" s="34"/>
      <c r="AB30" s="37"/>
      <c r="AC30" s="37"/>
      <c r="AD30" s="24">
        <f t="shared" si="0"/>
        <v>645</v>
      </c>
      <c r="AE30" s="24">
        <f t="shared" si="1"/>
        <v>29</v>
      </c>
      <c r="AF30" s="37">
        <f t="shared" si="2"/>
        <v>28</v>
      </c>
      <c r="AG30" s="24">
        <f t="shared" si="3"/>
        <v>28.043478260869566</v>
      </c>
    </row>
    <row r="31" spans="1:33" ht="16.5" x14ac:dyDescent="0.2">
      <c r="A31" s="35">
        <v>29</v>
      </c>
      <c r="B31" s="35">
        <v>23510250219</v>
      </c>
      <c r="C31" s="36" t="s">
        <v>88</v>
      </c>
      <c r="D31" s="35">
        <v>7875100878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4"/>
      <c r="X31" s="37"/>
      <c r="Y31" s="37"/>
      <c r="Z31" s="37"/>
      <c r="AA31" s="34"/>
      <c r="AB31" s="37"/>
      <c r="AC31" s="37"/>
      <c r="AD31" s="24">
        <f t="shared" si="0"/>
        <v>0</v>
      </c>
      <c r="AE31" s="24">
        <f t="shared" si="1"/>
        <v>0</v>
      </c>
      <c r="AF31" s="37">
        <f t="shared" si="2"/>
        <v>29</v>
      </c>
      <c r="AG31" s="24">
        <f t="shared" si="3"/>
        <v>0</v>
      </c>
    </row>
    <row r="32" spans="1:33" ht="16.5" x14ac:dyDescent="0.2">
      <c r="A32" s="35">
        <v>30</v>
      </c>
      <c r="B32" s="35">
        <v>23510250220</v>
      </c>
      <c r="C32" s="36" t="s">
        <v>90</v>
      </c>
      <c r="D32" s="35">
        <v>8010655836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4"/>
      <c r="X32" s="37"/>
      <c r="Y32" s="37"/>
      <c r="Z32" s="37"/>
      <c r="AA32" s="34"/>
      <c r="AB32" s="37"/>
      <c r="AC32" s="37"/>
      <c r="AD32" s="24">
        <f t="shared" si="0"/>
        <v>0</v>
      </c>
      <c r="AE32" s="24">
        <f t="shared" si="1"/>
        <v>0</v>
      </c>
      <c r="AF32" s="37">
        <f t="shared" si="2"/>
        <v>30</v>
      </c>
      <c r="AG32" s="24">
        <f t="shared" si="3"/>
        <v>0</v>
      </c>
    </row>
    <row r="33" spans="1:33" ht="16.5" x14ac:dyDescent="0.2">
      <c r="A33" s="35">
        <v>31</v>
      </c>
      <c r="B33" s="35" t="s">
        <v>63</v>
      </c>
      <c r="C33" s="36" t="s">
        <v>91</v>
      </c>
      <c r="D33" s="35" t="s">
        <v>63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4"/>
      <c r="X33" s="37"/>
      <c r="Y33" s="37"/>
      <c r="Z33" s="37"/>
      <c r="AA33" s="34"/>
      <c r="AB33" s="37"/>
      <c r="AC33" s="37"/>
      <c r="AD33" s="24">
        <f t="shared" si="0"/>
        <v>0</v>
      </c>
      <c r="AE33" s="24">
        <f t="shared" si="1"/>
        <v>0</v>
      </c>
      <c r="AF33" s="37">
        <f t="shared" si="2"/>
        <v>31</v>
      </c>
      <c r="AG33" s="24">
        <f t="shared" si="3"/>
        <v>0</v>
      </c>
    </row>
    <row r="34" spans="1:33" ht="16.5" x14ac:dyDescent="0.2">
      <c r="A34" s="35">
        <v>32</v>
      </c>
      <c r="B34" s="35">
        <v>23510250222</v>
      </c>
      <c r="C34" s="36" t="s">
        <v>93</v>
      </c>
      <c r="D34" s="35">
        <v>8767023429</v>
      </c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4"/>
      <c r="X34" s="37"/>
      <c r="Y34" s="37"/>
      <c r="Z34" s="37"/>
      <c r="AA34" s="34"/>
      <c r="AB34" s="37"/>
      <c r="AC34" s="37"/>
      <c r="AD34" s="24">
        <f t="shared" si="0"/>
        <v>0</v>
      </c>
      <c r="AE34" s="24">
        <f t="shared" si="1"/>
        <v>0</v>
      </c>
      <c r="AF34" s="37">
        <f t="shared" si="2"/>
        <v>32</v>
      </c>
      <c r="AG34" s="24">
        <f t="shared" si="3"/>
        <v>0</v>
      </c>
    </row>
    <row r="35" spans="1:33" ht="16.5" x14ac:dyDescent="0.2">
      <c r="A35" s="35">
        <v>33</v>
      </c>
      <c r="B35" s="35">
        <v>23510250223</v>
      </c>
      <c r="C35" s="36" t="s">
        <v>95</v>
      </c>
      <c r="D35" s="35">
        <v>9834812237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4"/>
      <c r="X35" s="37"/>
      <c r="Y35" s="37"/>
      <c r="Z35" s="37"/>
      <c r="AA35" s="34"/>
      <c r="AB35" s="37"/>
      <c r="AC35" s="37"/>
      <c r="AD35" s="24">
        <f t="shared" si="0"/>
        <v>0</v>
      </c>
      <c r="AE35" s="24">
        <f t="shared" si="1"/>
        <v>0</v>
      </c>
      <c r="AF35" s="37">
        <f t="shared" si="2"/>
        <v>33</v>
      </c>
      <c r="AG35" s="24">
        <f t="shared" si="3"/>
        <v>0</v>
      </c>
    </row>
    <row r="36" spans="1:33" ht="16.5" x14ac:dyDescent="0.2">
      <c r="A36" s="35">
        <v>34</v>
      </c>
      <c r="B36" s="35">
        <v>23510250224</v>
      </c>
      <c r="C36" s="36" t="s">
        <v>97</v>
      </c>
      <c r="D36" s="35">
        <v>9881426783</v>
      </c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4"/>
      <c r="X36" s="37"/>
      <c r="Y36" s="37"/>
      <c r="Z36" s="37"/>
      <c r="AA36" s="34"/>
      <c r="AB36" s="37"/>
      <c r="AC36" s="37"/>
      <c r="AD36" s="24">
        <f t="shared" si="0"/>
        <v>0</v>
      </c>
      <c r="AE36" s="24">
        <f t="shared" si="1"/>
        <v>0</v>
      </c>
      <c r="AF36" s="37">
        <f t="shared" si="2"/>
        <v>34</v>
      </c>
      <c r="AG36" s="24">
        <f t="shared" si="3"/>
        <v>0</v>
      </c>
    </row>
    <row r="37" spans="1:33" ht="25.5" x14ac:dyDescent="0.2">
      <c r="A37" s="35">
        <v>35</v>
      </c>
      <c r="B37" s="35">
        <v>23510250225</v>
      </c>
      <c r="C37" s="36" t="s">
        <v>99</v>
      </c>
      <c r="D37" s="35">
        <v>9209547440</v>
      </c>
      <c r="E37" s="38">
        <v>44</v>
      </c>
      <c r="F37" s="38">
        <v>46</v>
      </c>
      <c r="G37" s="38">
        <v>44</v>
      </c>
      <c r="H37" s="37"/>
      <c r="I37" s="38">
        <v>41</v>
      </c>
      <c r="J37" s="38">
        <v>42</v>
      </c>
      <c r="K37" s="38">
        <v>37</v>
      </c>
      <c r="L37" s="37"/>
      <c r="M37" s="38">
        <v>41</v>
      </c>
      <c r="N37" s="38">
        <v>40</v>
      </c>
      <c r="O37" s="38">
        <v>38</v>
      </c>
      <c r="P37" s="38">
        <v>39</v>
      </c>
      <c r="Q37" s="38">
        <v>40</v>
      </c>
      <c r="R37" s="38">
        <v>40</v>
      </c>
      <c r="S37" s="38">
        <v>42</v>
      </c>
      <c r="T37" s="38">
        <v>43</v>
      </c>
      <c r="U37" s="38">
        <v>45</v>
      </c>
      <c r="V37" s="37"/>
      <c r="W37" s="34"/>
      <c r="X37" s="37"/>
      <c r="Y37" s="37"/>
      <c r="Z37" s="37"/>
      <c r="AA37" s="34"/>
      <c r="AB37" s="37"/>
      <c r="AC37" s="37"/>
      <c r="AD37" s="24">
        <f t="shared" si="0"/>
        <v>622</v>
      </c>
      <c r="AE37" s="24">
        <f t="shared" si="1"/>
        <v>28</v>
      </c>
      <c r="AF37" s="37">
        <f t="shared" si="2"/>
        <v>35</v>
      </c>
      <c r="AG37" s="24">
        <f t="shared" si="3"/>
        <v>27.043478260869566</v>
      </c>
    </row>
    <row r="38" spans="1:33" ht="16.5" x14ac:dyDescent="0.2">
      <c r="A38" s="35">
        <v>36</v>
      </c>
      <c r="B38" s="35" t="s">
        <v>63</v>
      </c>
      <c r="C38" s="36" t="s">
        <v>100</v>
      </c>
      <c r="D38" s="35" t="s">
        <v>63</v>
      </c>
      <c r="E38" s="38">
        <v>43</v>
      </c>
      <c r="F38" s="38">
        <v>39</v>
      </c>
      <c r="G38" s="38">
        <v>42</v>
      </c>
      <c r="H38" s="38">
        <v>41</v>
      </c>
      <c r="I38" s="38">
        <v>42</v>
      </c>
      <c r="J38" s="38">
        <v>42</v>
      </c>
      <c r="K38" s="38">
        <v>39</v>
      </c>
      <c r="L38" s="38">
        <v>40</v>
      </c>
      <c r="M38" s="38">
        <v>41</v>
      </c>
      <c r="N38" s="38">
        <v>42</v>
      </c>
      <c r="O38" s="38">
        <v>41</v>
      </c>
      <c r="P38" s="38">
        <v>41</v>
      </c>
      <c r="Q38" s="38">
        <v>37</v>
      </c>
      <c r="R38" s="38">
        <v>40</v>
      </c>
      <c r="S38" s="38">
        <v>39</v>
      </c>
      <c r="T38" s="38">
        <v>39</v>
      </c>
      <c r="U38" s="38">
        <v>43</v>
      </c>
      <c r="V38" s="37"/>
      <c r="W38" s="34"/>
      <c r="X38" s="37"/>
      <c r="Y38" s="37"/>
      <c r="Z38" s="37"/>
      <c r="AA38" s="34"/>
      <c r="AB38" s="37"/>
      <c r="AC38" s="37"/>
      <c r="AD38" s="24">
        <f t="shared" si="0"/>
        <v>691</v>
      </c>
      <c r="AE38" s="24">
        <f t="shared" si="1"/>
        <v>31</v>
      </c>
      <c r="AF38" s="37">
        <f t="shared" si="2"/>
        <v>36</v>
      </c>
      <c r="AG38" s="24">
        <f t="shared" si="3"/>
        <v>30.043478260869566</v>
      </c>
    </row>
    <row r="39" spans="1:33" ht="16.5" x14ac:dyDescent="0.2">
      <c r="A39" s="35">
        <v>37</v>
      </c>
      <c r="B39" s="35">
        <v>23510250227</v>
      </c>
      <c r="C39" s="36" t="s">
        <v>102</v>
      </c>
      <c r="D39" s="35">
        <v>9359262384</v>
      </c>
      <c r="E39" s="38">
        <v>45</v>
      </c>
      <c r="F39" s="38">
        <v>44</v>
      </c>
      <c r="G39" s="38">
        <v>45</v>
      </c>
      <c r="H39" s="37"/>
      <c r="I39" s="38">
        <v>44</v>
      </c>
      <c r="J39" s="38">
        <v>45</v>
      </c>
      <c r="K39" s="38">
        <v>46</v>
      </c>
      <c r="L39" s="37"/>
      <c r="M39" s="38">
        <v>42</v>
      </c>
      <c r="N39" s="38">
        <v>45</v>
      </c>
      <c r="O39" s="38">
        <v>46</v>
      </c>
      <c r="P39" s="38">
        <v>46</v>
      </c>
      <c r="Q39" s="38">
        <v>47</v>
      </c>
      <c r="R39" s="38">
        <v>47</v>
      </c>
      <c r="S39" s="38">
        <v>44</v>
      </c>
      <c r="T39" s="38">
        <v>45</v>
      </c>
      <c r="U39" s="38">
        <v>47</v>
      </c>
      <c r="V39" s="37"/>
      <c r="W39" s="34"/>
      <c r="X39" s="37"/>
      <c r="Y39" s="37"/>
      <c r="Z39" s="37"/>
      <c r="AA39" s="34"/>
      <c r="AB39" s="37"/>
      <c r="AC39" s="37"/>
      <c r="AD39" s="24">
        <f t="shared" si="0"/>
        <v>678</v>
      </c>
      <c r="AE39" s="24">
        <f t="shared" si="1"/>
        <v>30</v>
      </c>
      <c r="AF39" s="37">
        <f t="shared" si="2"/>
        <v>37</v>
      </c>
      <c r="AG39" s="24">
        <f t="shared" si="3"/>
        <v>29.478260869565219</v>
      </c>
    </row>
    <row r="40" spans="1:33" ht="16.5" x14ac:dyDescent="0.2">
      <c r="A40" s="35">
        <v>38</v>
      </c>
      <c r="B40" s="35">
        <v>23510250228</v>
      </c>
      <c r="C40" s="36" t="s">
        <v>104</v>
      </c>
      <c r="D40" s="35">
        <v>9022490291</v>
      </c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4"/>
      <c r="X40" s="37"/>
      <c r="Y40" s="37"/>
      <c r="Z40" s="37"/>
      <c r="AA40" s="34"/>
      <c r="AB40" s="37"/>
      <c r="AC40" s="37"/>
      <c r="AD40" s="24">
        <f t="shared" si="0"/>
        <v>0</v>
      </c>
      <c r="AE40" s="24">
        <f t="shared" si="1"/>
        <v>0</v>
      </c>
      <c r="AF40" s="37">
        <f t="shared" si="2"/>
        <v>38</v>
      </c>
      <c r="AG40" s="24">
        <f t="shared" si="3"/>
        <v>0</v>
      </c>
    </row>
    <row r="41" spans="1:33" ht="16.5" x14ac:dyDescent="0.2">
      <c r="A41" s="35">
        <v>38</v>
      </c>
      <c r="B41" s="35" t="s">
        <v>161</v>
      </c>
      <c r="C41" s="36" t="s">
        <v>104</v>
      </c>
      <c r="D41" s="35">
        <v>9022490291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4"/>
      <c r="X41" s="37"/>
      <c r="Y41" s="37"/>
      <c r="Z41" s="37"/>
      <c r="AA41" s="34"/>
      <c r="AB41" s="37"/>
      <c r="AC41" s="37"/>
      <c r="AD41" s="24">
        <f t="shared" si="0"/>
        <v>0</v>
      </c>
      <c r="AE41" s="24">
        <f t="shared" si="1"/>
        <v>0</v>
      </c>
      <c r="AF41" s="37">
        <f t="shared" si="2"/>
        <v>38</v>
      </c>
      <c r="AG41" s="24">
        <f t="shared" si="3"/>
        <v>0</v>
      </c>
    </row>
    <row r="42" spans="1:33" ht="16.5" x14ac:dyDescent="0.2">
      <c r="A42" s="35">
        <v>39</v>
      </c>
      <c r="B42" s="35" t="s">
        <v>161</v>
      </c>
      <c r="C42" s="36" t="s">
        <v>105</v>
      </c>
      <c r="D42" s="35" t="s">
        <v>63</v>
      </c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4"/>
      <c r="X42" s="37"/>
      <c r="Y42" s="37"/>
      <c r="Z42" s="37"/>
      <c r="AA42" s="34"/>
      <c r="AB42" s="37"/>
      <c r="AC42" s="37"/>
      <c r="AD42" s="24">
        <f t="shared" si="0"/>
        <v>0</v>
      </c>
      <c r="AE42" s="24">
        <f t="shared" si="1"/>
        <v>0</v>
      </c>
      <c r="AF42" s="37">
        <f t="shared" si="2"/>
        <v>39</v>
      </c>
      <c r="AG42" s="24">
        <f t="shared" si="3"/>
        <v>0</v>
      </c>
    </row>
    <row r="43" spans="1:33" ht="16.5" x14ac:dyDescent="0.2">
      <c r="A43" s="35">
        <v>40</v>
      </c>
      <c r="B43" s="35" t="s">
        <v>161</v>
      </c>
      <c r="C43" s="36" t="s">
        <v>106</v>
      </c>
      <c r="D43" s="35" t="s">
        <v>63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4"/>
      <c r="X43" s="37"/>
      <c r="Y43" s="37"/>
      <c r="Z43" s="37"/>
      <c r="AA43" s="34"/>
      <c r="AB43" s="37"/>
      <c r="AC43" s="37"/>
      <c r="AD43" s="24">
        <f t="shared" si="0"/>
        <v>0</v>
      </c>
      <c r="AE43" s="24">
        <f t="shared" si="1"/>
        <v>0</v>
      </c>
      <c r="AF43" s="37">
        <f t="shared" si="2"/>
        <v>40</v>
      </c>
      <c r="AG43" s="24">
        <f t="shared" si="3"/>
        <v>0</v>
      </c>
    </row>
    <row r="44" spans="1:33" ht="16.5" x14ac:dyDescent="0.2">
      <c r="A44" s="35">
        <v>41</v>
      </c>
      <c r="B44" s="35" t="s">
        <v>161</v>
      </c>
      <c r="C44" s="36" t="s">
        <v>108</v>
      </c>
      <c r="D44" s="35">
        <v>7385336830</v>
      </c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4"/>
      <c r="X44" s="37"/>
      <c r="Y44" s="37"/>
      <c r="Z44" s="37"/>
      <c r="AA44" s="34"/>
      <c r="AB44" s="37"/>
      <c r="AC44" s="37"/>
      <c r="AD44" s="24">
        <f t="shared" si="0"/>
        <v>0</v>
      </c>
      <c r="AE44" s="24">
        <f t="shared" si="1"/>
        <v>0</v>
      </c>
      <c r="AF44" s="37">
        <f t="shared" si="2"/>
        <v>41</v>
      </c>
      <c r="AG44" s="24">
        <f t="shared" si="3"/>
        <v>0</v>
      </c>
    </row>
    <row r="45" spans="1:33" ht="16.5" x14ac:dyDescent="0.2">
      <c r="A45" s="35">
        <v>42</v>
      </c>
      <c r="B45" s="35">
        <v>2323510250232</v>
      </c>
      <c r="C45" s="36" t="s">
        <v>110</v>
      </c>
      <c r="D45" s="35">
        <v>9356088762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4"/>
      <c r="X45" s="37"/>
      <c r="Y45" s="37"/>
      <c r="Z45" s="37"/>
      <c r="AA45" s="34"/>
      <c r="AB45" s="37"/>
      <c r="AC45" s="37"/>
      <c r="AD45" s="24">
        <f t="shared" si="0"/>
        <v>0</v>
      </c>
      <c r="AE45" s="24">
        <f t="shared" si="1"/>
        <v>0</v>
      </c>
      <c r="AF45" s="37">
        <f t="shared" si="2"/>
        <v>42</v>
      </c>
      <c r="AG45" s="24">
        <f t="shared" si="3"/>
        <v>0</v>
      </c>
    </row>
    <row r="46" spans="1:33" ht="16.5" x14ac:dyDescent="0.2">
      <c r="A46" s="35">
        <v>43</v>
      </c>
      <c r="B46" s="35">
        <v>23510250216</v>
      </c>
      <c r="C46" s="36" t="s">
        <v>112</v>
      </c>
      <c r="D46" s="35">
        <v>9373356613</v>
      </c>
      <c r="E46" s="38">
        <v>45</v>
      </c>
      <c r="F46" s="38">
        <v>42</v>
      </c>
      <c r="G46" s="38">
        <v>45</v>
      </c>
      <c r="H46" s="37"/>
      <c r="I46" s="38">
        <v>44</v>
      </c>
      <c r="J46" s="38">
        <v>46</v>
      </c>
      <c r="K46" s="38">
        <v>41</v>
      </c>
      <c r="L46" s="37"/>
      <c r="M46" s="38">
        <v>44</v>
      </c>
      <c r="N46" s="38">
        <v>46</v>
      </c>
      <c r="O46" s="38">
        <v>43</v>
      </c>
      <c r="P46" s="38">
        <v>45</v>
      </c>
      <c r="Q46" s="38">
        <v>45</v>
      </c>
      <c r="R46" s="38">
        <v>46</v>
      </c>
      <c r="S46" s="38">
        <v>47</v>
      </c>
      <c r="T46" s="38">
        <v>46</v>
      </c>
      <c r="U46" s="38">
        <v>45</v>
      </c>
      <c r="V46" s="37"/>
      <c r="W46" s="34"/>
      <c r="X46" s="37"/>
      <c r="Y46" s="37"/>
      <c r="Z46" s="37"/>
      <c r="AA46" s="34"/>
      <c r="AB46" s="37"/>
      <c r="AC46" s="37"/>
      <c r="AD46" s="24">
        <f t="shared" si="0"/>
        <v>670</v>
      </c>
      <c r="AE46" s="24">
        <f t="shared" si="1"/>
        <v>30</v>
      </c>
      <c r="AF46" s="37">
        <f t="shared" si="2"/>
        <v>43</v>
      </c>
      <c r="AG46" s="24">
        <f t="shared" si="3"/>
        <v>29.130434782608695</v>
      </c>
    </row>
    <row r="47" spans="1:33" ht="25.5" x14ac:dyDescent="0.2">
      <c r="A47" s="35">
        <v>44</v>
      </c>
      <c r="B47" s="35">
        <v>23510250234</v>
      </c>
      <c r="C47" s="36" t="s">
        <v>114</v>
      </c>
      <c r="D47" s="35">
        <v>9325236826</v>
      </c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4"/>
      <c r="X47" s="37"/>
      <c r="Y47" s="37"/>
      <c r="Z47" s="37"/>
      <c r="AA47" s="34"/>
      <c r="AB47" s="37"/>
      <c r="AC47" s="37"/>
      <c r="AD47" s="24">
        <f t="shared" si="0"/>
        <v>0</v>
      </c>
      <c r="AE47" s="24">
        <f t="shared" si="1"/>
        <v>0</v>
      </c>
      <c r="AF47" s="37">
        <f t="shared" si="2"/>
        <v>44</v>
      </c>
      <c r="AG47" s="24">
        <f t="shared" si="3"/>
        <v>0</v>
      </c>
    </row>
    <row r="48" spans="1:33" ht="25.5" x14ac:dyDescent="0.2">
      <c r="A48" s="35">
        <v>45</v>
      </c>
      <c r="B48" s="35">
        <v>23510250235</v>
      </c>
      <c r="C48" s="36" t="s">
        <v>116</v>
      </c>
      <c r="D48" s="35">
        <v>7249274145</v>
      </c>
      <c r="E48" s="38">
        <v>38</v>
      </c>
      <c r="F48" s="38">
        <v>43</v>
      </c>
      <c r="G48" s="38">
        <v>42</v>
      </c>
      <c r="H48" s="37"/>
      <c r="I48" s="38">
        <v>37</v>
      </c>
      <c r="J48" s="38">
        <v>37</v>
      </c>
      <c r="K48" s="38">
        <v>40</v>
      </c>
      <c r="L48" s="38">
        <v>39</v>
      </c>
      <c r="M48" s="38">
        <v>38</v>
      </c>
      <c r="N48" s="38">
        <v>38</v>
      </c>
      <c r="O48" s="38">
        <v>38</v>
      </c>
      <c r="P48" s="38">
        <v>39</v>
      </c>
      <c r="Q48" s="38">
        <v>43</v>
      </c>
      <c r="R48" s="38">
        <v>37</v>
      </c>
      <c r="S48" s="38">
        <v>35</v>
      </c>
      <c r="T48" s="38">
        <v>37</v>
      </c>
      <c r="U48" s="37"/>
      <c r="V48" s="37"/>
      <c r="W48" s="34"/>
      <c r="X48" s="37"/>
      <c r="Y48" s="37"/>
      <c r="Z48" s="37"/>
      <c r="AA48" s="34"/>
      <c r="AB48" s="37"/>
      <c r="AC48" s="37"/>
      <c r="AD48" s="24">
        <f t="shared" si="0"/>
        <v>581</v>
      </c>
      <c r="AE48" s="24">
        <f t="shared" si="1"/>
        <v>26</v>
      </c>
      <c r="AF48" s="37">
        <f t="shared" si="2"/>
        <v>45</v>
      </c>
      <c r="AG48" s="24">
        <f t="shared" si="3"/>
        <v>25.260869565217391</v>
      </c>
    </row>
    <row r="49" spans="1:33" ht="16.5" x14ac:dyDescent="0.2">
      <c r="A49" s="35">
        <v>46</v>
      </c>
      <c r="B49" s="35">
        <v>23510250236</v>
      </c>
      <c r="C49" s="36" t="s">
        <v>118</v>
      </c>
      <c r="D49" s="35">
        <v>8669164306</v>
      </c>
      <c r="E49" s="38">
        <v>39</v>
      </c>
      <c r="F49" s="38">
        <v>40</v>
      </c>
      <c r="G49" s="38">
        <v>39</v>
      </c>
      <c r="H49" s="37"/>
      <c r="I49" s="38">
        <v>38</v>
      </c>
      <c r="J49" s="38">
        <v>38</v>
      </c>
      <c r="K49" s="38">
        <v>39</v>
      </c>
      <c r="L49" s="37"/>
      <c r="M49" s="38">
        <v>40</v>
      </c>
      <c r="N49" s="38">
        <v>42</v>
      </c>
      <c r="O49" s="38">
        <v>40</v>
      </c>
      <c r="P49" s="38">
        <v>40</v>
      </c>
      <c r="Q49" s="38">
        <v>43</v>
      </c>
      <c r="R49" s="38">
        <v>41</v>
      </c>
      <c r="S49" s="38">
        <v>42</v>
      </c>
      <c r="T49" s="38">
        <v>42</v>
      </c>
      <c r="U49" s="38">
        <v>43</v>
      </c>
      <c r="V49" s="37"/>
      <c r="W49" s="34"/>
      <c r="X49" s="37"/>
      <c r="Y49" s="37"/>
      <c r="Z49" s="37"/>
      <c r="AA49" s="34"/>
      <c r="AB49" s="37"/>
      <c r="AC49" s="37"/>
      <c r="AD49" s="24">
        <f t="shared" si="0"/>
        <v>606</v>
      </c>
      <c r="AE49" s="24">
        <f t="shared" si="1"/>
        <v>27</v>
      </c>
      <c r="AF49" s="37">
        <f t="shared" si="2"/>
        <v>46</v>
      </c>
      <c r="AG49" s="24">
        <f t="shared" si="3"/>
        <v>26.347826086956523</v>
      </c>
    </row>
    <row r="50" spans="1:33" ht="25.5" x14ac:dyDescent="0.2">
      <c r="A50" s="19">
        <v>47</v>
      </c>
      <c r="B50" s="18">
        <v>23510250237</v>
      </c>
      <c r="C50" s="32" t="s">
        <v>120</v>
      </c>
      <c r="D50" s="18">
        <v>7499731975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34"/>
      <c r="X50" s="24"/>
      <c r="Y50" s="24"/>
      <c r="Z50" s="24"/>
      <c r="AA50" s="34"/>
      <c r="AB50" s="24"/>
      <c r="AC50" s="24"/>
      <c r="AD50" s="24">
        <f t="shared" si="0"/>
        <v>0</v>
      </c>
      <c r="AE50" s="24">
        <f t="shared" si="1"/>
        <v>0</v>
      </c>
      <c r="AF50" s="24">
        <f t="shared" si="2"/>
        <v>47</v>
      </c>
      <c r="AG50" s="24">
        <f t="shared" si="3"/>
        <v>0</v>
      </c>
    </row>
    <row r="51" spans="1:33" ht="16.5" x14ac:dyDescent="0.2">
      <c r="A51" s="19">
        <v>48</v>
      </c>
      <c r="B51" s="18">
        <v>23510250238</v>
      </c>
      <c r="C51" s="32" t="s">
        <v>122</v>
      </c>
      <c r="D51" s="18">
        <v>9421353713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34"/>
      <c r="X51" s="24"/>
      <c r="Y51" s="24"/>
      <c r="Z51" s="24"/>
      <c r="AA51" s="34"/>
      <c r="AB51" s="24"/>
      <c r="AC51" s="24"/>
      <c r="AD51" s="24">
        <f t="shared" si="0"/>
        <v>0</v>
      </c>
      <c r="AE51" s="24">
        <f t="shared" si="1"/>
        <v>0</v>
      </c>
      <c r="AF51" s="24">
        <f t="shared" si="2"/>
        <v>48</v>
      </c>
      <c r="AG51" s="24">
        <f t="shared" si="3"/>
        <v>0</v>
      </c>
    </row>
    <row r="52" spans="1:33" ht="16.5" x14ac:dyDescent="0.2">
      <c r="A52" s="19">
        <v>49</v>
      </c>
      <c r="B52" s="18">
        <v>23510250239</v>
      </c>
      <c r="C52" s="32" t="s">
        <v>124</v>
      </c>
      <c r="D52" s="18">
        <v>8605110798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34"/>
      <c r="X52" s="24"/>
      <c r="Y52" s="24"/>
      <c r="Z52" s="24"/>
      <c r="AA52" s="34"/>
      <c r="AB52" s="24"/>
      <c r="AC52" s="24"/>
      <c r="AD52" s="24">
        <f t="shared" si="0"/>
        <v>0</v>
      </c>
      <c r="AE52" s="24">
        <f t="shared" si="1"/>
        <v>0</v>
      </c>
      <c r="AF52" s="24">
        <f t="shared" si="2"/>
        <v>49</v>
      </c>
      <c r="AG52" s="24">
        <f t="shared" si="3"/>
        <v>0</v>
      </c>
    </row>
    <row r="53" spans="1:33" ht="16.5" x14ac:dyDescent="0.2">
      <c r="A53" s="19">
        <v>50</v>
      </c>
      <c r="B53" s="18">
        <v>23510250240</v>
      </c>
      <c r="C53" s="32" t="s">
        <v>126</v>
      </c>
      <c r="D53" s="18">
        <v>8830451252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34"/>
      <c r="X53" s="24"/>
      <c r="Y53" s="24"/>
      <c r="Z53" s="24"/>
      <c r="AA53" s="34"/>
      <c r="AB53" s="24"/>
      <c r="AC53" s="24"/>
      <c r="AD53" s="24">
        <f t="shared" si="0"/>
        <v>0</v>
      </c>
      <c r="AE53" s="24">
        <f t="shared" si="1"/>
        <v>0</v>
      </c>
      <c r="AF53" s="24">
        <f t="shared" si="2"/>
        <v>50</v>
      </c>
      <c r="AG53" s="24">
        <f t="shared" si="3"/>
        <v>0</v>
      </c>
    </row>
    <row r="54" spans="1:33" ht="16.5" x14ac:dyDescent="0.2">
      <c r="A54" s="19">
        <v>51</v>
      </c>
      <c r="B54" s="18">
        <v>23510250241</v>
      </c>
      <c r="C54" s="32" t="s">
        <v>128</v>
      </c>
      <c r="D54" s="18">
        <v>9359642250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34"/>
      <c r="X54" s="24"/>
      <c r="Y54" s="24"/>
      <c r="Z54" s="24"/>
      <c r="AA54" s="34"/>
      <c r="AB54" s="24"/>
      <c r="AC54" s="24"/>
      <c r="AD54" s="24">
        <f t="shared" si="0"/>
        <v>0</v>
      </c>
      <c r="AE54" s="24">
        <f t="shared" si="1"/>
        <v>0</v>
      </c>
      <c r="AF54" s="24">
        <f t="shared" si="2"/>
        <v>51</v>
      </c>
      <c r="AG54" s="24">
        <f t="shared" si="3"/>
        <v>0</v>
      </c>
    </row>
    <row r="55" spans="1:33" ht="16.5" x14ac:dyDescent="0.2">
      <c r="A55" s="19">
        <v>52</v>
      </c>
      <c r="B55" s="18">
        <v>23510250242</v>
      </c>
      <c r="C55" s="32" t="s">
        <v>130</v>
      </c>
      <c r="D55" s="18">
        <v>9767339080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34"/>
      <c r="X55" s="24"/>
      <c r="Y55" s="24"/>
      <c r="Z55" s="24"/>
      <c r="AA55" s="34"/>
      <c r="AB55" s="24"/>
      <c r="AC55" s="24"/>
      <c r="AD55" s="24">
        <f t="shared" si="0"/>
        <v>0</v>
      </c>
      <c r="AE55" s="24">
        <f t="shared" si="1"/>
        <v>0</v>
      </c>
      <c r="AF55" s="24">
        <f t="shared" si="2"/>
        <v>52</v>
      </c>
      <c r="AG55" s="24">
        <f t="shared" si="3"/>
        <v>0</v>
      </c>
    </row>
    <row r="56" spans="1:33" ht="16.5" x14ac:dyDescent="0.2">
      <c r="A56" s="19">
        <v>53</v>
      </c>
      <c r="B56" s="18">
        <v>23510250243</v>
      </c>
      <c r="C56" s="32" t="s">
        <v>132</v>
      </c>
      <c r="D56" s="18">
        <v>9699787099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34"/>
      <c r="X56" s="24"/>
      <c r="Y56" s="24"/>
      <c r="Z56" s="24"/>
      <c r="AA56" s="34"/>
      <c r="AB56" s="24"/>
      <c r="AC56" s="24"/>
      <c r="AD56" s="24">
        <f t="shared" si="0"/>
        <v>0</v>
      </c>
      <c r="AE56" s="24">
        <f t="shared" si="1"/>
        <v>0</v>
      </c>
      <c r="AF56" s="24">
        <f t="shared" si="2"/>
        <v>53</v>
      </c>
      <c r="AG56" s="24">
        <f t="shared" si="3"/>
        <v>0</v>
      </c>
    </row>
    <row r="57" spans="1:33" ht="25.5" x14ac:dyDescent="0.2">
      <c r="A57" s="19">
        <v>54</v>
      </c>
      <c r="B57" s="18" t="s">
        <v>63</v>
      </c>
      <c r="C57" s="32" t="s">
        <v>133</v>
      </c>
      <c r="D57" s="18" t="s">
        <v>63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34"/>
      <c r="X57" s="24"/>
      <c r="Y57" s="24"/>
      <c r="Z57" s="24"/>
      <c r="AA57" s="34"/>
      <c r="AB57" s="24"/>
      <c r="AC57" s="24"/>
      <c r="AD57" s="24">
        <f t="shared" si="0"/>
        <v>0</v>
      </c>
      <c r="AE57" s="24">
        <f t="shared" si="1"/>
        <v>0</v>
      </c>
      <c r="AF57" s="24">
        <f t="shared" si="2"/>
        <v>54</v>
      </c>
      <c r="AG57" s="24">
        <f t="shared" si="3"/>
        <v>0</v>
      </c>
    </row>
    <row r="58" spans="1:33" ht="16.5" x14ac:dyDescent="0.2">
      <c r="A58" s="19">
        <v>55</v>
      </c>
      <c r="B58" s="18">
        <v>23510250245</v>
      </c>
      <c r="C58" s="32" t="s">
        <v>135</v>
      </c>
      <c r="D58" s="18">
        <v>7666835834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34"/>
      <c r="X58" s="24"/>
      <c r="Y58" s="24"/>
      <c r="Z58" s="24"/>
      <c r="AA58" s="34"/>
      <c r="AB58" s="24"/>
      <c r="AC58" s="24"/>
      <c r="AD58" s="24">
        <f t="shared" si="0"/>
        <v>0</v>
      </c>
      <c r="AE58" s="24">
        <f t="shared" si="1"/>
        <v>0</v>
      </c>
      <c r="AF58" s="24">
        <f t="shared" si="2"/>
        <v>55</v>
      </c>
      <c r="AG58" s="24">
        <f t="shared" si="3"/>
        <v>0</v>
      </c>
    </row>
    <row r="59" spans="1:33" ht="16.5" x14ac:dyDescent="0.2">
      <c r="A59" s="19">
        <v>56</v>
      </c>
      <c r="B59" s="18">
        <v>23510250246</v>
      </c>
      <c r="C59" s="32" t="s">
        <v>137</v>
      </c>
      <c r="D59" s="18">
        <v>8262089018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34"/>
      <c r="X59" s="24"/>
      <c r="Y59" s="24"/>
      <c r="Z59" s="24"/>
      <c r="AA59" s="34"/>
      <c r="AB59" s="24"/>
      <c r="AC59" s="24"/>
      <c r="AD59" s="24">
        <f t="shared" si="0"/>
        <v>0</v>
      </c>
      <c r="AE59" s="24">
        <f t="shared" si="1"/>
        <v>0</v>
      </c>
      <c r="AF59" s="24">
        <f t="shared" si="2"/>
        <v>56</v>
      </c>
      <c r="AG59" s="24">
        <f t="shared" si="3"/>
        <v>0</v>
      </c>
    </row>
    <row r="60" spans="1:33" ht="25.5" x14ac:dyDescent="0.2">
      <c r="A60" s="19">
        <v>57</v>
      </c>
      <c r="B60" s="18">
        <v>23510250247</v>
      </c>
      <c r="C60" s="32" t="s">
        <v>139</v>
      </c>
      <c r="D60" s="18">
        <v>9588662815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34"/>
      <c r="X60" s="24"/>
      <c r="Y60" s="24"/>
      <c r="Z60" s="24"/>
      <c r="AA60" s="34"/>
      <c r="AB60" s="24"/>
      <c r="AC60" s="24"/>
      <c r="AD60" s="24">
        <f t="shared" si="0"/>
        <v>0</v>
      </c>
      <c r="AE60" s="24">
        <f t="shared" si="1"/>
        <v>0</v>
      </c>
      <c r="AF60" s="24">
        <f t="shared" si="2"/>
        <v>57</v>
      </c>
      <c r="AG60" s="24">
        <f t="shared" si="3"/>
        <v>0</v>
      </c>
    </row>
    <row r="61" spans="1:33" ht="16.5" x14ac:dyDescent="0.2">
      <c r="A61" s="19">
        <v>58</v>
      </c>
      <c r="B61" s="18">
        <v>23510250248</v>
      </c>
      <c r="C61" s="32" t="s">
        <v>141</v>
      </c>
      <c r="D61" s="18">
        <v>9922391446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34"/>
      <c r="X61" s="24"/>
      <c r="Y61" s="24"/>
      <c r="Z61" s="24"/>
      <c r="AA61" s="34"/>
      <c r="AB61" s="24"/>
      <c r="AC61" s="24"/>
      <c r="AD61" s="24">
        <f t="shared" si="0"/>
        <v>0</v>
      </c>
      <c r="AE61" s="24">
        <f t="shared" si="1"/>
        <v>0</v>
      </c>
      <c r="AF61" s="24">
        <f t="shared" si="2"/>
        <v>58</v>
      </c>
      <c r="AG61" s="24">
        <f t="shared" si="3"/>
        <v>0</v>
      </c>
    </row>
    <row r="62" spans="1:33" ht="16.5" x14ac:dyDescent="0.2">
      <c r="A62" s="19">
        <v>59</v>
      </c>
      <c r="B62" s="18">
        <v>23510250249</v>
      </c>
      <c r="C62" s="32" t="s">
        <v>143</v>
      </c>
      <c r="D62" s="18">
        <v>9518544072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34"/>
      <c r="X62" s="24"/>
      <c r="Y62" s="24"/>
      <c r="Z62" s="24"/>
      <c r="AA62" s="34"/>
      <c r="AB62" s="24"/>
      <c r="AC62" s="24"/>
      <c r="AD62" s="24">
        <f t="shared" si="0"/>
        <v>0</v>
      </c>
      <c r="AE62" s="24">
        <f t="shared" si="1"/>
        <v>0</v>
      </c>
      <c r="AF62" s="24">
        <f t="shared" si="2"/>
        <v>59</v>
      </c>
      <c r="AG62" s="24">
        <f t="shared" si="3"/>
        <v>0</v>
      </c>
    </row>
    <row r="63" spans="1:33" ht="16.5" x14ac:dyDescent="0.2">
      <c r="A63" s="19">
        <v>60</v>
      </c>
      <c r="B63" s="18">
        <v>23510250250</v>
      </c>
      <c r="C63" s="32" t="s">
        <v>145</v>
      </c>
      <c r="D63" s="18">
        <v>9309314034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34"/>
      <c r="X63" s="24"/>
      <c r="Y63" s="24"/>
      <c r="Z63" s="24"/>
      <c r="AA63" s="34"/>
      <c r="AB63" s="24"/>
      <c r="AC63" s="24"/>
      <c r="AD63" s="24">
        <f t="shared" si="0"/>
        <v>0</v>
      </c>
      <c r="AE63" s="24">
        <f t="shared" si="1"/>
        <v>0</v>
      </c>
      <c r="AF63" s="24">
        <f t="shared" si="2"/>
        <v>60</v>
      </c>
      <c r="AG63" s="24">
        <f t="shared" si="3"/>
        <v>0</v>
      </c>
    </row>
    <row r="64" spans="1:33" ht="16.5" x14ac:dyDescent="0.2">
      <c r="A64" s="19">
        <v>61</v>
      </c>
      <c r="B64" s="18">
        <v>23510250251</v>
      </c>
      <c r="C64" s="32" t="s">
        <v>147</v>
      </c>
      <c r="D64" s="18">
        <v>9561453906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34"/>
      <c r="X64" s="24"/>
      <c r="Y64" s="24"/>
      <c r="Z64" s="24"/>
      <c r="AA64" s="34"/>
      <c r="AB64" s="24"/>
      <c r="AC64" s="24"/>
      <c r="AD64" s="24">
        <f t="shared" si="0"/>
        <v>0</v>
      </c>
      <c r="AE64" s="24">
        <f t="shared" si="1"/>
        <v>0</v>
      </c>
      <c r="AF64" s="24">
        <f t="shared" si="2"/>
        <v>61</v>
      </c>
      <c r="AG64" s="24">
        <f t="shared" si="3"/>
        <v>0</v>
      </c>
    </row>
    <row r="65" spans="1:33" ht="16.5" x14ac:dyDescent="0.2">
      <c r="A65" s="19">
        <v>62</v>
      </c>
      <c r="B65" s="18">
        <v>23510250252</v>
      </c>
      <c r="C65" s="32" t="s">
        <v>149</v>
      </c>
      <c r="D65" s="18">
        <v>7820892736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34"/>
      <c r="X65" s="24"/>
      <c r="Y65" s="24"/>
      <c r="Z65" s="24"/>
      <c r="AA65" s="34"/>
      <c r="AB65" s="24"/>
      <c r="AC65" s="24"/>
      <c r="AD65" s="24">
        <f t="shared" si="0"/>
        <v>0</v>
      </c>
      <c r="AE65" s="24">
        <f t="shared" si="1"/>
        <v>0</v>
      </c>
      <c r="AF65" s="24">
        <f t="shared" si="2"/>
        <v>62</v>
      </c>
      <c r="AG65" s="24">
        <f t="shared" si="3"/>
        <v>0</v>
      </c>
    </row>
    <row r="66" spans="1:33" ht="16.5" x14ac:dyDescent="0.2">
      <c r="A66" s="19">
        <v>63</v>
      </c>
      <c r="B66" s="18" t="s">
        <v>63</v>
      </c>
      <c r="C66" s="32" t="s">
        <v>150</v>
      </c>
      <c r="D66" s="18" t="s">
        <v>63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34"/>
      <c r="X66" s="24"/>
      <c r="Y66" s="24"/>
      <c r="Z66" s="24"/>
      <c r="AA66" s="34"/>
      <c r="AB66" s="24"/>
      <c r="AC66" s="24"/>
      <c r="AD66" s="24">
        <f t="shared" si="0"/>
        <v>0</v>
      </c>
      <c r="AE66" s="24">
        <f t="shared" si="1"/>
        <v>0</v>
      </c>
      <c r="AF66" s="24">
        <f t="shared" si="2"/>
        <v>63</v>
      </c>
      <c r="AG66" s="24">
        <f t="shared" si="3"/>
        <v>0</v>
      </c>
    </row>
    <row r="67" spans="1:33" ht="25.5" x14ac:dyDescent="0.2">
      <c r="A67" s="19">
        <v>64</v>
      </c>
      <c r="B67" s="18">
        <v>23510250254</v>
      </c>
      <c r="C67" s="32" t="s">
        <v>152</v>
      </c>
      <c r="D67" s="18">
        <v>9518369835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34"/>
      <c r="X67" s="24"/>
      <c r="Y67" s="24"/>
      <c r="Z67" s="24"/>
      <c r="AA67" s="34"/>
      <c r="AB67" s="24"/>
      <c r="AC67" s="24"/>
      <c r="AD67" s="24">
        <f t="shared" si="0"/>
        <v>0</v>
      </c>
      <c r="AE67" s="24">
        <f t="shared" si="1"/>
        <v>0</v>
      </c>
      <c r="AF67" s="24">
        <f t="shared" si="2"/>
        <v>64</v>
      </c>
      <c r="AG67" s="24">
        <f t="shared" si="3"/>
        <v>0</v>
      </c>
    </row>
    <row r="68" spans="1:33" ht="16.5" x14ac:dyDescent="0.2">
      <c r="A68" s="19">
        <v>65</v>
      </c>
      <c r="B68" s="18">
        <v>23510250255</v>
      </c>
      <c r="C68" s="32" t="s">
        <v>154</v>
      </c>
      <c r="D68" s="18">
        <v>8080446594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34"/>
      <c r="X68" s="24"/>
      <c r="Y68" s="24"/>
      <c r="Z68" s="24"/>
      <c r="AA68" s="34"/>
      <c r="AB68" s="24"/>
      <c r="AC68" s="24"/>
      <c r="AD68" s="24">
        <f t="shared" si="0"/>
        <v>0</v>
      </c>
      <c r="AE68" s="24">
        <f t="shared" si="1"/>
        <v>0</v>
      </c>
      <c r="AF68" s="24">
        <f t="shared" si="2"/>
        <v>65</v>
      </c>
      <c r="AG68" s="24">
        <f t="shared" si="3"/>
        <v>0</v>
      </c>
    </row>
    <row r="69" spans="1:33" ht="25.5" x14ac:dyDescent="0.2">
      <c r="A69" s="19">
        <v>67</v>
      </c>
      <c r="B69" s="18">
        <v>23510250257</v>
      </c>
      <c r="C69" s="32" t="s">
        <v>155</v>
      </c>
      <c r="D69" s="18">
        <v>9834105241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34"/>
      <c r="X69" s="24"/>
      <c r="Y69" s="24"/>
      <c r="Z69" s="24"/>
      <c r="AA69" s="34"/>
      <c r="AB69" s="24"/>
      <c r="AC69" s="24"/>
      <c r="AD69" s="24">
        <f t="shared" si="0"/>
        <v>0</v>
      </c>
      <c r="AE69" s="24">
        <f t="shared" si="1"/>
        <v>0</v>
      </c>
      <c r="AF69" s="24">
        <f t="shared" si="2"/>
        <v>67</v>
      </c>
      <c r="AG69" s="24">
        <f t="shared" si="3"/>
        <v>0</v>
      </c>
    </row>
    <row r="70" spans="1:33" ht="16.5" x14ac:dyDescent="0.2">
      <c r="A70" s="19">
        <v>68</v>
      </c>
      <c r="B70" s="18">
        <v>23510250258</v>
      </c>
      <c r="C70" s="32" t="s">
        <v>157</v>
      </c>
      <c r="D70" s="18">
        <v>8799932668</v>
      </c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34"/>
      <c r="X70" s="24"/>
      <c r="Y70" s="24"/>
      <c r="Z70" s="24"/>
      <c r="AA70" s="34"/>
      <c r="AB70" s="24"/>
      <c r="AC70" s="24"/>
      <c r="AD70" s="24">
        <f t="shared" si="0"/>
        <v>0</v>
      </c>
      <c r="AE70" s="24">
        <f t="shared" si="1"/>
        <v>0</v>
      </c>
      <c r="AF70" s="24">
        <f t="shared" si="2"/>
        <v>68</v>
      </c>
      <c r="AG70" s="24">
        <f t="shared" si="3"/>
        <v>0</v>
      </c>
    </row>
    <row r="71" spans="1:33" ht="12.75" x14ac:dyDescent="0.2">
      <c r="A71" s="27"/>
    </row>
    <row r="72" spans="1:33" ht="12.75" x14ac:dyDescent="0.2">
      <c r="A72" s="27"/>
    </row>
    <row r="73" spans="1:33" ht="12.75" x14ac:dyDescent="0.2">
      <c r="A73" s="27"/>
    </row>
    <row r="74" spans="1:33" ht="12.75" x14ac:dyDescent="0.2">
      <c r="A74" s="27"/>
    </row>
    <row r="75" spans="1:33" ht="12.75" x14ac:dyDescent="0.2">
      <c r="A75" s="27"/>
    </row>
    <row r="76" spans="1:33" ht="12.75" x14ac:dyDescent="0.2">
      <c r="A76" s="27"/>
    </row>
    <row r="77" spans="1:33" ht="12.75" x14ac:dyDescent="0.2">
      <c r="A77" s="27"/>
    </row>
    <row r="78" spans="1:33" ht="12.75" x14ac:dyDescent="0.2">
      <c r="A78" s="27"/>
    </row>
    <row r="79" spans="1:33" ht="12.75" x14ac:dyDescent="0.2">
      <c r="A79" s="27"/>
    </row>
    <row r="80" spans="1:33" ht="12.75" x14ac:dyDescent="0.2">
      <c r="A80" s="27"/>
    </row>
    <row r="81" spans="1:22" ht="12.75" x14ac:dyDescent="0.2">
      <c r="A81" s="27"/>
    </row>
    <row r="82" spans="1:22" ht="12.75" x14ac:dyDescent="0.2">
      <c r="A82" s="27"/>
    </row>
    <row r="83" spans="1:22" ht="12.75" x14ac:dyDescent="0.2">
      <c r="A83" s="27"/>
    </row>
    <row r="84" spans="1:22" ht="12.75" x14ac:dyDescent="0.2">
      <c r="A84" s="27"/>
      <c r="V84" s="39">
        <f>23*50</f>
        <v>1150</v>
      </c>
    </row>
    <row r="85" spans="1:22" ht="12.75" x14ac:dyDescent="0.2">
      <c r="A85" s="27"/>
    </row>
    <row r="86" spans="1:22" ht="12.75" x14ac:dyDescent="0.2">
      <c r="A86" s="27"/>
    </row>
    <row r="87" spans="1:22" ht="12.75" x14ac:dyDescent="0.2">
      <c r="A87" s="27"/>
    </row>
    <row r="88" spans="1:22" ht="12.75" x14ac:dyDescent="0.2">
      <c r="A88" s="27"/>
    </row>
    <row r="89" spans="1:22" ht="12.75" x14ac:dyDescent="0.2">
      <c r="A89" s="27"/>
    </row>
    <row r="90" spans="1:22" ht="12.75" x14ac:dyDescent="0.2">
      <c r="A90" s="27"/>
    </row>
    <row r="91" spans="1:22" ht="12.75" x14ac:dyDescent="0.2">
      <c r="A91" s="27"/>
    </row>
    <row r="92" spans="1:22" ht="12.75" x14ac:dyDescent="0.2">
      <c r="A92" s="27"/>
    </row>
    <row r="93" spans="1:22" ht="12.75" x14ac:dyDescent="0.2">
      <c r="A93" s="27"/>
    </row>
    <row r="94" spans="1:22" ht="12.75" x14ac:dyDescent="0.2">
      <c r="A94" s="27"/>
    </row>
    <row r="95" spans="1:22" ht="12.75" x14ac:dyDescent="0.2">
      <c r="A95" s="27"/>
    </row>
    <row r="96" spans="1:22" ht="12.75" x14ac:dyDescent="0.2">
      <c r="A96" s="27"/>
    </row>
    <row r="97" spans="1:1" ht="12.75" x14ac:dyDescent="0.2">
      <c r="A97" s="27"/>
    </row>
    <row r="98" spans="1:1" ht="12.75" x14ac:dyDescent="0.2">
      <c r="A98" s="27"/>
    </row>
    <row r="99" spans="1:1" ht="12.75" x14ac:dyDescent="0.2">
      <c r="A99" s="27"/>
    </row>
    <row r="100" spans="1:1" ht="12.75" x14ac:dyDescent="0.2">
      <c r="A100" s="27"/>
    </row>
    <row r="101" spans="1:1" ht="12.75" x14ac:dyDescent="0.2">
      <c r="A101" s="27"/>
    </row>
    <row r="102" spans="1:1" ht="12.75" x14ac:dyDescent="0.2">
      <c r="A102" s="27"/>
    </row>
    <row r="103" spans="1:1" ht="12.75" x14ac:dyDescent="0.2">
      <c r="A103" s="27"/>
    </row>
    <row r="104" spans="1:1" ht="12.75" x14ac:dyDescent="0.2">
      <c r="A104" s="27"/>
    </row>
    <row r="105" spans="1:1" ht="12.75" x14ac:dyDescent="0.2">
      <c r="A105" s="27"/>
    </row>
    <row r="106" spans="1:1" ht="12.75" x14ac:dyDescent="0.2">
      <c r="A106" s="27"/>
    </row>
    <row r="107" spans="1:1" ht="12.75" x14ac:dyDescent="0.2">
      <c r="A107" s="27"/>
    </row>
    <row r="108" spans="1:1" ht="12.75" x14ac:dyDescent="0.2">
      <c r="A108" s="27"/>
    </row>
    <row r="109" spans="1:1" ht="12.75" x14ac:dyDescent="0.2">
      <c r="A109" s="27"/>
    </row>
    <row r="110" spans="1:1" ht="12.75" x14ac:dyDescent="0.2">
      <c r="A110" s="27"/>
    </row>
    <row r="111" spans="1:1" ht="12.75" x14ac:dyDescent="0.2">
      <c r="A111" s="27"/>
    </row>
    <row r="112" spans="1:1" ht="12.75" x14ac:dyDescent="0.2">
      <c r="A112" s="27"/>
    </row>
    <row r="113" spans="1:1" ht="12.75" x14ac:dyDescent="0.2">
      <c r="A113" s="27"/>
    </row>
    <row r="114" spans="1:1" ht="12.75" x14ac:dyDescent="0.2">
      <c r="A114" s="27"/>
    </row>
    <row r="115" spans="1:1" ht="12.75" x14ac:dyDescent="0.2">
      <c r="A115" s="27"/>
    </row>
    <row r="116" spans="1:1" ht="12.75" x14ac:dyDescent="0.2">
      <c r="A116" s="27"/>
    </row>
    <row r="117" spans="1:1" ht="12.75" x14ac:dyDescent="0.2">
      <c r="A117" s="27"/>
    </row>
    <row r="118" spans="1:1" ht="12.75" x14ac:dyDescent="0.2">
      <c r="A118" s="27"/>
    </row>
    <row r="119" spans="1:1" ht="12.75" x14ac:dyDescent="0.2">
      <c r="A119" s="27"/>
    </row>
    <row r="120" spans="1:1" ht="12.75" x14ac:dyDescent="0.2">
      <c r="A120" s="27"/>
    </row>
    <row r="121" spans="1:1" ht="12.75" x14ac:dyDescent="0.2">
      <c r="A121" s="27"/>
    </row>
    <row r="122" spans="1:1" ht="12.75" x14ac:dyDescent="0.2">
      <c r="A122" s="27"/>
    </row>
    <row r="123" spans="1:1" ht="12.75" x14ac:dyDescent="0.2">
      <c r="A123" s="27"/>
    </row>
    <row r="124" spans="1:1" ht="12.75" x14ac:dyDescent="0.2">
      <c r="A124" s="27"/>
    </row>
    <row r="125" spans="1:1" ht="12.75" x14ac:dyDescent="0.2">
      <c r="A125" s="27"/>
    </row>
    <row r="126" spans="1:1" ht="12.75" x14ac:dyDescent="0.2">
      <c r="A126" s="27"/>
    </row>
    <row r="127" spans="1:1" ht="12.75" x14ac:dyDescent="0.2">
      <c r="A127" s="27"/>
    </row>
    <row r="128" spans="1:1" ht="12.75" x14ac:dyDescent="0.2">
      <c r="A128" s="27"/>
    </row>
    <row r="129" spans="1:1" ht="12.75" x14ac:dyDescent="0.2">
      <c r="A129" s="27"/>
    </row>
    <row r="130" spans="1:1" ht="12.75" x14ac:dyDescent="0.2">
      <c r="A130" s="27"/>
    </row>
    <row r="131" spans="1:1" ht="12.75" x14ac:dyDescent="0.2">
      <c r="A131" s="27"/>
    </row>
    <row r="132" spans="1:1" ht="12.75" x14ac:dyDescent="0.2">
      <c r="A132" s="27"/>
    </row>
    <row r="133" spans="1:1" ht="12.75" x14ac:dyDescent="0.2">
      <c r="A133" s="27"/>
    </row>
    <row r="134" spans="1:1" ht="12.75" x14ac:dyDescent="0.2">
      <c r="A134" s="27"/>
    </row>
    <row r="135" spans="1:1" ht="12.75" x14ac:dyDescent="0.2">
      <c r="A135" s="27"/>
    </row>
    <row r="136" spans="1:1" ht="12.75" x14ac:dyDescent="0.2">
      <c r="A136" s="27"/>
    </row>
    <row r="137" spans="1:1" ht="12.75" x14ac:dyDescent="0.2">
      <c r="A137" s="27"/>
    </row>
    <row r="138" spans="1:1" ht="12.75" x14ac:dyDescent="0.2">
      <c r="A138" s="27"/>
    </row>
    <row r="139" spans="1:1" ht="12.75" x14ac:dyDescent="0.2">
      <c r="A139" s="27"/>
    </row>
    <row r="140" spans="1:1" ht="12.75" x14ac:dyDescent="0.2">
      <c r="A140" s="27"/>
    </row>
    <row r="141" spans="1:1" ht="12.75" x14ac:dyDescent="0.2">
      <c r="A141" s="27"/>
    </row>
    <row r="142" spans="1:1" ht="12.75" x14ac:dyDescent="0.2">
      <c r="A142" s="27"/>
    </row>
    <row r="143" spans="1:1" ht="12.75" x14ac:dyDescent="0.2">
      <c r="A143" s="27"/>
    </row>
    <row r="144" spans="1:1" ht="12.75" x14ac:dyDescent="0.2">
      <c r="A144" s="27"/>
    </row>
    <row r="145" spans="1:1" ht="12.75" x14ac:dyDescent="0.2">
      <c r="A145" s="27"/>
    </row>
    <row r="146" spans="1:1" ht="12.75" x14ac:dyDescent="0.2">
      <c r="A146" s="27"/>
    </row>
    <row r="147" spans="1:1" ht="12.75" x14ac:dyDescent="0.2">
      <c r="A147" s="27"/>
    </row>
    <row r="148" spans="1:1" ht="12.75" x14ac:dyDescent="0.2">
      <c r="A148" s="27"/>
    </row>
    <row r="149" spans="1:1" ht="12.75" x14ac:dyDescent="0.2">
      <c r="A149" s="27"/>
    </row>
    <row r="150" spans="1:1" ht="12.75" x14ac:dyDescent="0.2">
      <c r="A150" s="27"/>
    </row>
    <row r="151" spans="1:1" ht="12.75" x14ac:dyDescent="0.2">
      <c r="A151" s="27"/>
    </row>
    <row r="152" spans="1:1" ht="12.75" x14ac:dyDescent="0.2">
      <c r="A152" s="27"/>
    </row>
    <row r="153" spans="1:1" ht="12.75" x14ac:dyDescent="0.2">
      <c r="A153" s="27"/>
    </row>
    <row r="154" spans="1:1" ht="12.75" x14ac:dyDescent="0.2">
      <c r="A154" s="27"/>
    </row>
    <row r="155" spans="1:1" ht="12.75" x14ac:dyDescent="0.2">
      <c r="A155" s="27"/>
    </row>
    <row r="156" spans="1:1" ht="12.75" x14ac:dyDescent="0.2">
      <c r="A156" s="27"/>
    </row>
    <row r="157" spans="1:1" ht="12.75" x14ac:dyDescent="0.2">
      <c r="A157" s="27"/>
    </row>
    <row r="158" spans="1:1" ht="12.75" x14ac:dyDescent="0.2">
      <c r="A158" s="27"/>
    </row>
    <row r="159" spans="1:1" ht="12.75" x14ac:dyDescent="0.2">
      <c r="A159" s="27"/>
    </row>
    <row r="160" spans="1:1" ht="12.75" x14ac:dyDescent="0.2">
      <c r="A160" s="27"/>
    </row>
    <row r="161" spans="1:1" ht="12.75" x14ac:dyDescent="0.2">
      <c r="A161" s="27"/>
    </row>
    <row r="162" spans="1:1" ht="12.75" x14ac:dyDescent="0.2">
      <c r="A162" s="27"/>
    </row>
    <row r="163" spans="1:1" ht="12.75" x14ac:dyDescent="0.2">
      <c r="A163" s="27"/>
    </row>
    <row r="164" spans="1:1" ht="12.75" x14ac:dyDescent="0.2">
      <c r="A164" s="27"/>
    </row>
    <row r="165" spans="1:1" ht="12.75" x14ac:dyDescent="0.2">
      <c r="A165" s="27"/>
    </row>
    <row r="166" spans="1:1" ht="12.75" x14ac:dyDescent="0.2">
      <c r="A166" s="27"/>
    </row>
    <row r="167" spans="1:1" ht="12.75" x14ac:dyDescent="0.2">
      <c r="A167" s="27"/>
    </row>
    <row r="168" spans="1:1" ht="12.75" x14ac:dyDescent="0.2">
      <c r="A168" s="27"/>
    </row>
    <row r="169" spans="1:1" ht="12.75" x14ac:dyDescent="0.2">
      <c r="A169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UT1</vt:lpstr>
      <vt:lpstr>FA-PR</vt:lpstr>
      <vt:lpstr>'UT1'!Print_Titles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GPO</dc:creator>
  <cp:lastModifiedBy>GPO</cp:lastModifiedBy>
  <cp:lastPrinted>2024-03-13T06:28:43Z</cp:lastPrinted>
  <dcterms:created xsi:type="dcterms:W3CDTF">2024-03-13T08:52:09Z</dcterms:created>
  <dcterms:modified xsi:type="dcterms:W3CDTF">2026-06-06T10:08:27Z</dcterms:modified>
</cp:coreProperties>
</file>