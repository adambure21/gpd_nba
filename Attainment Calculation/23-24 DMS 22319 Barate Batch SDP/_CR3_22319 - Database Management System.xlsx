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Attainment Calculation\23-24 DMS 22319 Barate Batch SDP\"/>
    </mc:Choice>
  </mc:AlternateContent>
  <xr:revisionPtr revIDLastSave="0" documentId="13_ncr:1_{2491A9A3-3858-4925-BE49-7907A8F270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 Set Target attain level" sheetId="1" r:id="rId1"/>
    <sheet name="CO_Attainment for Unit Tests" sheetId="2" r:id="rId2"/>
    <sheet name="CO_attainment for FA-TH ESE" sheetId="3" r:id="rId3"/>
    <sheet name="CO_attain_SLA_FA-PR_SA-PR" sheetId="4" r:id="rId4"/>
    <sheet name="CO_attainment for Indirect" sheetId="5" state="hidden" r:id="rId5"/>
    <sheet name="CO_PO Mapping Attainment " sheetId="6" state="hidden" r:id="rId6"/>
    <sheet name="Overall CO attainment (2)" sheetId="7" state="hidden" r:id="rId7"/>
    <sheet name="Overall CO attainment" sheetId="8" r:id="rId8"/>
    <sheet name="CO_PO Mapping Attainment_PO7" sheetId="9" r:id="rId9"/>
    <sheet name="Justifica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+nVcgoUac2bVuR3USxLf9WTFTZFkmf4U5nyToAVHDJg="/>
    </ext>
  </extLst>
</workbook>
</file>

<file path=xl/calcChain.xml><?xml version="1.0" encoding="utf-8"?>
<calcChain xmlns="http://schemas.openxmlformats.org/spreadsheetml/2006/main">
  <c r="AF8" i="10" l="1"/>
  <c r="AF9" i="10"/>
  <c r="AF10" i="10"/>
  <c r="AF11" i="10"/>
  <c r="AF12" i="10"/>
  <c r="AF18" i="10"/>
  <c r="AF19" i="10"/>
  <c r="AF20" i="10"/>
  <c r="AF21" i="10"/>
  <c r="AF22" i="10"/>
  <c r="V10" i="10"/>
  <c r="AF13" i="10" l="1"/>
  <c r="AF23" i="10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M16" i="9"/>
  <c r="L16" i="9"/>
  <c r="K16" i="9"/>
  <c r="J16" i="9"/>
  <c r="I16" i="9"/>
  <c r="H16" i="9"/>
  <c r="G16" i="9"/>
  <c r="F16" i="9"/>
  <c r="D16" i="9"/>
  <c r="B16" i="9"/>
  <c r="M15" i="9"/>
  <c r="L15" i="9"/>
  <c r="K15" i="9"/>
  <c r="J15" i="9"/>
  <c r="I15" i="9"/>
  <c r="H15" i="9"/>
  <c r="G15" i="9"/>
  <c r="F15" i="9"/>
  <c r="E15" i="9"/>
  <c r="B15" i="9"/>
  <c r="M14" i="9"/>
  <c r="L14" i="9"/>
  <c r="K14" i="9"/>
  <c r="J14" i="9"/>
  <c r="I14" i="9"/>
  <c r="H14" i="9"/>
  <c r="G14" i="9"/>
  <c r="F14" i="9"/>
  <c r="E14" i="9"/>
  <c r="B14" i="9"/>
  <c r="M13" i="9"/>
  <c r="L13" i="9"/>
  <c r="K13" i="9"/>
  <c r="J13" i="9"/>
  <c r="I13" i="9"/>
  <c r="H13" i="9"/>
  <c r="G13" i="9"/>
  <c r="F13" i="9"/>
  <c r="E13" i="9"/>
  <c r="B13" i="9"/>
  <c r="M12" i="9"/>
  <c r="L12" i="9"/>
  <c r="K12" i="9"/>
  <c r="J12" i="9"/>
  <c r="I12" i="9"/>
  <c r="I17" i="9" s="1"/>
  <c r="H12" i="9"/>
  <c r="G12" i="9"/>
  <c r="F12" i="9"/>
  <c r="E12" i="9"/>
  <c r="D12" i="9"/>
  <c r="B12" i="9"/>
  <c r="J11" i="8"/>
  <c r="H26" i="8" s="1"/>
  <c r="I11" i="8"/>
  <c r="G26" i="8" s="1"/>
  <c r="H11" i="8"/>
  <c r="E26" i="8" s="1"/>
  <c r="G11" i="8"/>
  <c r="F26" i="8" s="1"/>
  <c r="E11" i="8"/>
  <c r="D26" i="8" s="1"/>
  <c r="K10" i="8"/>
  <c r="P15" i="6"/>
  <c r="P16" i="6" s="1"/>
  <c r="P17" i="6" s="1"/>
  <c r="O15" i="6"/>
  <c r="O16" i="6" s="1"/>
  <c r="O17" i="6" s="1"/>
  <c r="N15" i="6"/>
  <c r="N16" i="6" s="1"/>
  <c r="N17" i="6" s="1"/>
  <c r="M15" i="6"/>
  <c r="M16" i="6" s="1"/>
  <c r="M17" i="6" s="1"/>
  <c r="L15" i="6"/>
  <c r="L16" i="6" s="1"/>
  <c r="L17" i="6" s="1"/>
  <c r="K15" i="6"/>
  <c r="K16" i="6" s="1"/>
  <c r="K17" i="6" s="1"/>
  <c r="J15" i="6"/>
  <c r="J16" i="6" s="1"/>
  <c r="J17" i="6" s="1"/>
  <c r="I15" i="6"/>
  <c r="I16" i="6" s="1"/>
  <c r="I17" i="6" s="1"/>
  <c r="H15" i="6"/>
  <c r="H16" i="6" s="1"/>
  <c r="H17" i="6" s="1"/>
  <c r="G15" i="6"/>
  <c r="G16" i="6" s="1"/>
  <c r="G17" i="6" s="1"/>
  <c r="F15" i="6"/>
  <c r="F16" i="6" s="1"/>
  <c r="F17" i="6" s="1"/>
  <c r="E15" i="6"/>
  <c r="E16" i="6" s="1"/>
  <c r="E17" i="6" s="1"/>
  <c r="E81" i="5"/>
  <c r="C91" i="5" s="1"/>
  <c r="E80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E99" i="4"/>
  <c r="G97" i="4"/>
  <c r="G99" i="4" s="1"/>
  <c r="F97" i="4"/>
  <c r="F99" i="4" s="1"/>
  <c r="E97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5" i="4"/>
  <c r="D5" i="5" s="1"/>
  <c r="E97" i="3"/>
  <c r="E99" i="3" s="1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D15" i="5" s="1"/>
  <c r="C14" i="3"/>
  <c r="C15" i="5" s="1"/>
  <c r="D5" i="3"/>
  <c r="D4" i="3"/>
  <c r="H105" i="2"/>
  <c r="H104" i="2"/>
  <c r="H103" i="2"/>
  <c r="I95" i="2"/>
  <c r="I97" i="2" s="1"/>
  <c r="I109" i="2" s="1"/>
  <c r="H95" i="2"/>
  <c r="H97" i="2" s="1"/>
  <c r="H109" i="2" s="1"/>
  <c r="G95" i="2"/>
  <c r="G97" i="2" s="1"/>
  <c r="G109" i="2" s="1"/>
  <c r="F95" i="2"/>
  <c r="F97" i="2" s="1"/>
  <c r="F109" i="2" s="1"/>
  <c r="E95" i="2"/>
  <c r="E97" i="2" s="1"/>
  <c r="E109" i="2" s="1"/>
  <c r="D95" i="2"/>
  <c r="D97" i="2" s="1"/>
  <c r="D109" i="2" s="1"/>
  <c r="K94" i="2"/>
  <c r="J94" i="2"/>
  <c r="K93" i="2"/>
  <c r="J93" i="2"/>
  <c r="K92" i="2"/>
  <c r="J92" i="2"/>
  <c r="K91" i="2"/>
  <c r="J91" i="2"/>
  <c r="K90" i="2"/>
  <c r="J90" i="2"/>
  <c r="K12" i="2"/>
  <c r="J12" i="2"/>
  <c r="C6" i="2"/>
  <c r="D7" i="4" s="1"/>
  <c r="C5" i="2"/>
  <c r="D6" i="4" s="1"/>
  <c r="D6" i="5" s="1"/>
  <c r="C4" i="2"/>
  <c r="C3" i="2"/>
  <c r="D4" i="4" s="1"/>
  <c r="D4" i="5" s="1"/>
  <c r="M27" i="1"/>
  <c r="M26" i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5" i="1"/>
  <c r="D24" i="1"/>
  <c r="C24" i="1"/>
  <c r="C16" i="9" s="1"/>
  <c r="D23" i="1"/>
  <c r="D15" i="9" s="1"/>
  <c r="C23" i="1"/>
  <c r="C15" i="9" s="1"/>
  <c r="D22" i="1"/>
  <c r="D14" i="9" s="1"/>
  <c r="C22" i="1"/>
  <c r="C14" i="9" s="1"/>
  <c r="D21" i="1"/>
  <c r="D13" i="9" s="1"/>
  <c r="C21" i="1"/>
  <c r="C13" i="9" s="1"/>
  <c r="D20" i="1"/>
  <c r="C20" i="1"/>
  <c r="C12" i="9" s="1"/>
  <c r="D7" i="3" l="1"/>
  <c r="E104" i="3"/>
  <c r="F104" i="3" s="1"/>
  <c r="E104" i="4"/>
  <c r="F105" i="4" s="1"/>
  <c r="F17" i="9"/>
  <c r="J17" i="9"/>
  <c r="G17" i="9"/>
  <c r="K17" i="9"/>
  <c r="L17" i="9"/>
  <c r="H17" i="9"/>
  <c r="M17" i="9"/>
  <c r="E17" i="9"/>
  <c r="D19" i="8"/>
  <c r="D12" i="7"/>
  <c r="D3" i="7"/>
  <c r="D3" i="8"/>
  <c r="D2" i="9" s="1"/>
  <c r="D5" i="8"/>
  <c r="D4" i="9" s="1"/>
  <c r="D5" i="7"/>
  <c r="D20" i="8"/>
  <c r="D13" i="7"/>
  <c r="D6" i="8"/>
  <c r="D5" i="9" s="1"/>
  <c r="D6" i="7"/>
  <c r="D7" i="5"/>
  <c r="D4" i="7"/>
  <c r="D4" i="8"/>
  <c r="D3" i="9" s="1"/>
  <c r="I12" i="7"/>
  <c r="F91" i="5"/>
  <c r="E91" i="5"/>
  <c r="G91" i="5"/>
  <c r="D91" i="5"/>
  <c r="D24" i="8"/>
  <c r="D17" i="7"/>
  <c r="D21" i="8"/>
  <c r="D14" i="7"/>
  <c r="D22" i="8"/>
  <c r="D15" i="7"/>
  <c r="D23" i="8"/>
  <c r="D16" i="7"/>
  <c r="D6" i="3"/>
  <c r="K11" i="8"/>
  <c r="F106" i="4" l="1"/>
  <c r="C112" i="4" s="1"/>
  <c r="E112" i="4" s="1"/>
  <c r="F106" i="3"/>
  <c r="C110" i="3" s="1"/>
  <c r="E110" i="3" s="1"/>
  <c r="F105" i="3"/>
  <c r="F104" i="4"/>
  <c r="G110" i="3"/>
  <c r="H19" i="8"/>
  <c r="D110" i="3"/>
  <c r="H12" i="7"/>
  <c r="H110" i="3"/>
  <c r="F110" i="3"/>
  <c r="D18" i="7"/>
  <c r="D20" i="7" s="1"/>
  <c r="I13" i="7"/>
  <c r="I14" i="7" s="1"/>
  <c r="I15" i="7" s="1"/>
  <c r="I16" i="7" s="1"/>
  <c r="I17" i="7" s="1"/>
  <c r="D25" i="8"/>
  <c r="D27" i="8" s="1"/>
  <c r="G12" i="7" l="1"/>
  <c r="C111" i="4"/>
  <c r="F112" i="4"/>
  <c r="H112" i="4"/>
  <c r="C110" i="4"/>
  <c r="F12" i="7" s="1"/>
  <c r="D112" i="4"/>
  <c r="G112" i="4"/>
  <c r="G19" i="8"/>
  <c r="G20" i="8" s="1"/>
  <c r="G21" i="8" s="1"/>
  <c r="G22" i="8" s="1"/>
  <c r="G23" i="8" s="1"/>
  <c r="G24" i="8" s="1"/>
  <c r="E110" i="4"/>
  <c r="G110" i="4"/>
  <c r="D110" i="4"/>
  <c r="F19" i="8"/>
  <c r="E19" i="8"/>
  <c r="G111" i="4"/>
  <c r="H111" i="4"/>
  <c r="F111" i="4"/>
  <c r="E111" i="4"/>
  <c r="D111" i="4"/>
  <c r="E12" i="7"/>
  <c r="I18" i="7"/>
  <c r="I20" i="7" s="1"/>
  <c r="J21" i="7" s="1"/>
  <c r="J23" i="7" s="1"/>
  <c r="G13" i="7"/>
  <c r="G14" i="7" s="1"/>
  <c r="G15" i="7" s="1"/>
  <c r="G16" i="7" s="1"/>
  <c r="G17" i="7" s="1"/>
  <c r="H20" i="8"/>
  <c r="H21" i="8" s="1"/>
  <c r="H22" i="8" s="1"/>
  <c r="H23" i="8" s="1"/>
  <c r="H24" i="8" s="1"/>
  <c r="H13" i="7"/>
  <c r="H14" i="7" s="1"/>
  <c r="H15" i="7" s="1"/>
  <c r="H16" i="7" s="1"/>
  <c r="H17" i="7" s="1"/>
  <c r="F110" i="4" l="1"/>
  <c r="H110" i="4"/>
  <c r="G18" i="7"/>
  <c r="G20" i="7" s="1"/>
  <c r="G25" i="8"/>
  <c r="G27" i="8" s="1"/>
  <c r="H18" i="7"/>
  <c r="H20" i="7" s="1"/>
  <c r="H25" i="8"/>
  <c r="H27" i="8" s="1"/>
  <c r="F13" i="7"/>
  <c r="F14" i="7" s="1"/>
  <c r="F15" i="7" s="1"/>
  <c r="F16" i="7" s="1"/>
  <c r="F17" i="7" s="1"/>
  <c r="F20" i="8"/>
  <c r="F21" i="8" s="1"/>
  <c r="F22" i="8" s="1"/>
  <c r="F23" i="8" s="1"/>
  <c r="F24" i="8" s="1"/>
  <c r="E20" i="8"/>
  <c r="E21" i="8" s="1"/>
  <c r="E22" i="8" s="1"/>
  <c r="E23" i="8" s="1"/>
  <c r="E24" i="8" s="1"/>
  <c r="E13" i="7"/>
  <c r="E14" i="7" s="1"/>
  <c r="E15" i="7" s="1"/>
  <c r="E16" i="7" s="1"/>
  <c r="E17" i="7" s="1"/>
  <c r="F18" i="7" l="1"/>
  <c r="F20" i="7" s="1"/>
  <c r="E18" i="7"/>
  <c r="E20" i="7" s="1"/>
  <c r="E25" i="8"/>
  <c r="E27" i="8" s="1"/>
  <c r="F25" i="8"/>
  <c r="F27" i="8" s="1"/>
  <c r="H21" i="7" l="1"/>
  <c r="H23" i="7" s="1"/>
  <c r="I24" i="7" s="1"/>
  <c r="H28" i="8"/>
  <c r="H30" i="8" s="1"/>
  <c r="I31" i="8" s="1"/>
  <c r="F18" i="9" l="1"/>
  <c r="F19" i="9" s="1"/>
  <c r="I18" i="9"/>
  <c r="I19" i="9" s="1"/>
  <c r="K18" i="9"/>
  <c r="K19" i="9" s="1"/>
  <c r="H18" i="9"/>
  <c r="H19" i="9" s="1"/>
  <c r="M18" i="9"/>
  <c r="M19" i="9" s="1"/>
  <c r="L18" i="9"/>
  <c r="L19" i="9" s="1"/>
  <c r="J18" i="9"/>
  <c r="J19" i="9" s="1"/>
  <c r="G18" i="9"/>
  <c r="G19" i="9" s="1"/>
  <c r="E18" i="9"/>
  <c r="E19" i="9" s="1"/>
</calcChain>
</file>

<file path=xl/sharedStrings.xml><?xml version="1.0" encoding="utf-8"?>
<sst xmlns="http://schemas.openxmlformats.org/spreadsheetml/2006/main" count="442" uniqueCount="262">
  <si>
    <t xml:space="preserve">                        PO-CO Mapping (Targetted Level) - Course Articulation Matrix</t>
  </si>
  <si>
    <t>Course Name :</t>
  </si>
  <si>
    <t>DATABASE MANAGEMENT SYSTEM</t>
  </si>
  <si>
    <t>Course Code :</t>
  </si>
  <si>
    <t xml:space="preserve">Program/Scheme-MSBTE Inst.code : </t>
  </si>
  <si>
    <t>3rd SEM(CO3I SCHEME)</t>
  </si>
  <si>
    <t>Academic Year :</t>
  </si>
  <si>
    <t>2023-24</t>
  </si>
  <si>
    <t>Course Outcomes :</t>
  </si>
  <si>
    <t>CO1</t>
  </si>
  <si>
    <t xml:space="preserve"> Design Normalized database on given data..</t>
  </si>
  <si>
    <t>CO2</t>
  </si>
  <si>
    <t>Create and Manage Database using SQL command</t>
  </si>
  <si>
    <t>CO3</t>
  </si>
  <si>
    <t xml:space="preserve"> Write PL/SQL code for given database</t>
  </si>
  <si>
    <t>CO4</t>
  </si>
  <si>
    <t xml:space="preserve">  Apply triggers ob database also create procedure and function according to condition.</t>
  </si>
  <si>
    <t>CO5</t>
  </si>
  <si>
    <t>Apply security and confidentiality on given Database..</t>
  </si>
  <si>
    <t>Set Correlation  of CO-PO Mapping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</si>
  <si>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</si>
  <si>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</si>
  <si>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</si>
  <si>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</si>
  <si>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</si>
  <si>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</si>
  <si>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</si>
  <si>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</si>
  <si>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</si>
  <si>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</si>
  <si>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</si>
  <si>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</si>
  <si>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</si>
  <si>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</si>
  <si>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</si>
  <si>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</si>
  <si>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</si>
  <si>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</si>
  <si>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</si>
  <si>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</si>
  <si>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</si>
  <si>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</si>
  <si>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</si>
  <si>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Average</t>
  </si>
  <si>
    <t>Targeted Attainment Level</t>
  </si>
  <si>
    <t xml:space="preserve">          HOD COMPUTER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</si>
  <si>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</si>
  <si>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</si>
  <si>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</si>
  <si>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</si>
  <si>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i/>
        <u/>
        <sz val="11"/>
        <color theme="1"/>
        <rFont val="Calibri"/>
      </rPr>
      <t>This cells are autofilled fields .</t>
    </r>
    <r>
      <rPr>
        <i/>
        <u/>
        <sz val="11"/>
        <color theme="1"/>
        <rFont val="Calibri"/>
      </rPr>
      <t xml:space="preserve">                                                         </t>
    </r>
    <r>
      <rPr>
        <i/>
        <u/>
        <sz val="11"/>
        <color theme="1"/>
        <rFont val="Calibri"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</si>
  <si>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</si>
  <si>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</si>
  <si>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</si>
  <si>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</si>
  <si>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UT1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</si>
  <si>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</si>
  <si>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</si>
  <si>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</si>
  <si>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</si>
  <si>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</si>
  <si>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</si>
  <si>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</si>
  <si>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</si>
  <si>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</si>
  <si>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</si>
  <si>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a</t>
  </si>
  <si>
    <t>Total Max. Marks(with Extra)</t>
  </si>
  <si>
    <t>b</t>
  </si>
  <si>
    <t>c</t>
  </si>
  <si>
    <t>d</t>
  </si>
  <si>
    <t>e</t>
  </si>
  <si>
    <t>GARAD ANJALI NITIN</t>
  </si>
  <si>
    <t>WALANDE GAURI DAYANAND</t>
  </si>
  <si>
    <t>ZUNJURE SARTHAK BALAJI</t>
  </si>
  <si>
    <t>BHANDE GAYATRI DAMODAR</t>
  </si>
  <si>
    <t>MUNDHE GAYATRI PARMESHWAR</t>
  </si>
  <si>
    <t>ut2</t>
  </si>
  <si>
    <t>YADAV RADHA SAMADHAN</t>
  </si>
  <si>
    <t>DESHMANE MANSI SIDDHESHWAR</t>
  </si>
  <si>
    <t>GAWALGADADE POOJA ARVIND</t>
  </si>
  <si>
    <t>JAIN TANISHA SHAILESH</t>
  </si>
  <si>
    <t>MAINDARGE SIDDHI PRASAD</t>
  </si>
  <si>
    <t>BHOSALE VAISHNAVI DAYANAND</t>
  </si>
  <si>
    <t>ATTAR SANIYA VAJIR</t>
  </si>
  <si>
    <t>NALWADE SNEHA NETAJI</t>
  </si>
  <si>
    <t>AADHE PANKAJ RAM</t>
  </si>
  <si>
    <t>BUDGE VISHAKHA VENKAT</t>
  </si>
  <si>
    <t>PAWAR PRATIKSHA VITTHAL</t>
  </si>
  <si>
    <t>WAGHMARE RAU HANMANT</t>
  </si>
  <si>
    <t>MAHAJAN SHRUTI DILIP</t>
  </si>
  <si>
    <t>CHANDANE GAYATRI PRASHANT</t>
  </si>
  <si>
    <t>JOSHI SHRAVANI SHRIKANT</t>
  </si>
  <si>
    <t>MANE ANUSHKA BALASAHEB</t>
  </si>
  <si>
    <t>GADEKAR MAHESH BALAJI</t>
  </si>
  <si>
    <t>DESHMUKH SWANANDI UDAYRAO</t>
  </si>
  <si>
    <t>LAGDIVE SHIVAM NITIN</t>
  </si>
  <si>
    <t>SARPHALE POOJA SADASHIV</t>
  </si>
  <si>
    <t>WAGHMARE ABHISHEK SOMNATH</t>
  </si>
  <si>
    <t>KAMBALE ROHINI RUPESH</t>
  </si>
  <si>
    <t>ROCHKARI SANSKRUTI SUDHIR</t>
  </si>
  <si>
    <t>NIMBALKAR APURVA BHUJANG</t>
  </si>
  <si>
    <t>KSHIRSAGAR SAMARTH DATTATRAY</t>
  </si>
  <si>
    <t>MASIHA SILVIYA SANTOSH</t>
  </si>
  <si>
    <t>KAWADE PRIYA SHANKAR</t>
  </si>
  <si>
    <t>PATIL PRANITA PRAVIN</t>
  </si>
  <si>
    <t>GAVALI ROHAN DNYANDEO</t>
  </si>
  <si>
    <t>GAIKWAD VASUDHA SANDIPAN</t>
  </si>
  <si>
    <t>GORE SANKET NARENDRA</t>
  </si>
  <si>
    <t>HINGANE SAKSHI SATISH</t>
  </si>
  <si>
    <t>JADHAV SHREYAS YADAVRAO</t>
  </si>
  <si>
    <t>WAKALE KOMAL SANTOSH</t>
  </si>
  <si>
    <t>KALE PRANITA NAMDEV</t>
  </si>
  <si>
    <t>KHARKE MAHESH HANUMANT</t>
  </si>
  <si>
    <t>PARVE SHRIRAM SUDHIR</t>
  </si>
  <si>
    <t>KOLNURE SURAJ RAJENDRA</t>
  </si>
  <si>
    <t>KANDALE ADITYA VILAS</t>
  </si>
  <si>
    <t>BARATE VARSHARANI DADASAHEB</t>
  </si>
  <si>
    <t>BARATE AADITI DADASAHEB</t>
  </si>
  <si>
    <t>THORAVE SANIKA AMBADAS</t>
  </si>
  <si>
    <t>KULKARNI AAKANKSHA KAMLESH</t>
  </si>
  <si>
    <t>GAIKWAD GAYATRI SURESH</t>
  </si>
  <si>
    <t>SAROLKAR SAKSHI SHAMSUNDAR</t>
  </si>
  <si>
    <t>JAGTAP SANKET NARAYAN</t>
  </si>
  <si>
    <t>DHAPPADHULE VAISHNAVI SACHIN</t>
  </si>
  <si>
    <t>WAGHMARE AMAR BABAN</t>
  </si>
  <si>
    <t>DHEPE VAISHNAVI REVANNATH</t>
  </si>
  <si>
    <t>BAGADE GUNMANJIRI PURUSHOTTAM</t>
  </si>
  <si>
    <t>MULE SNEHA SANJIVAN</t>
  </si>
  <si>
    <t>BANSODE VINAYAK BABRUWAN</t>
  </si>
  <si>
    <t>ISHWARI ASHOK HAWALE</t>
  </si>
  <si>
    <t>JADHAV SANJYOT SHYAM</t>
  </si>
  <si>
    <t>KANLOD SHUBHAM GANPAT</t>
  </si>
  <si>
    <t>PHULARI VISHVJEET UMESH</t>
  </si>
  <si>
    <t>VHOTTE SHRUTIKA VAIJNATH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</si>
  <si>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</si>
  <si>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</si>
  <si>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</si>
  <si>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</si>
  <si>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</si>
  <si>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</si>
  <si>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 xml:space="preserve">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</si>
  <si>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</si>
  <si>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</si>
  <si>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</si>
  <si>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</si>
  <si>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</si>
  <si>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</si>
  <si>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</si>
  <si>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TH-ESE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</si>
  <si>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</si>
  <si>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</si>
  <si>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</si>
  <si>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</si>
  <si>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</si>
  <si>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</si>
  <si>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</si>
  <si>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</si>
  <si>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b/>
        <u/>
        <sz val="16"/>
        <color theme="1"/>
        <rFont val="Times New Roman"/>
      </rPr>
      <t xml:space="preserve">                      </t>
    </r>
    <r>
      <rPr>
        <b/>
        <u/>
        <sz val="16"/>
        <color theme="1"/>
        <rFont val="Times New Roman"/>
      </rPr>
      <t>Direct Assessment</t>
    </r>
  </si>
  <si>
    <t>Academic Year:</t>
  </si>
  <si>
    <t>(Micro Project/Assignment Evaluation (max. marks )</t>
  </si>
  <si>
    <t>PR-PA</t>
  </si>
  <si>
    <t>PR-ESE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</si>
  <si>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</si>
  <si>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</si>
  <si>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</si>
  <si>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</si>
  <si>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</si>
  <si>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</si>
  <si>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</si>
  <si>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</si>
  <si>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</si>
  <si>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</si>
  <si>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</si>
  <si>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</si>
  <si>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</si>
  <si>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</si>
  <si>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</si>
  <si>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</si>
  <si>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</si>
  <si>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</si>
  <si>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</si>
  <si>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</si>
  <si>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</si>
  <si>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</si>
  <si>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</si>
  <si>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b/>
        <sz val="12"/>
        <color theme="1"/>
        <rFont val="Times New Roman"/>
      </rPr>
      <t xml:space="preserve">Strength of corelation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</si>
  <si>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</si>
  <si>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</si>
  <si>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</si>
  <si>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</si>
  <si>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</si>
  <si>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</si>
  <si>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</si>
  <si>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</si>
  <si>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</si>
  <si>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</si>
  <si>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</si>
  <si>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</si>
  <si>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</si>
  <si>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</si>
  <si>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</si>
  <si>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</si>
  <si>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</si>
  <si>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</si>
  <si>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</si>
  <si>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</si>
  <si>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CO6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</si>
  <si>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</si>
  <si>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</si>
  <si>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</si>
  <si>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</si>
  <si>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</si>
  <si>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</si>
  <si>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</si>
  <si>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</si>
  <si>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</si>
  <si>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</si>
  <si>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</si>
  <si>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</si>
  <si>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</si>
  <si>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</si>
  <si>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</si>
  <si>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</si>
  <si>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</si>
  <si>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</si>
  <si>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</si>
  <si>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</si>
  <si>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</si>
  <si>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</si>
  <si>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</si>
  <si>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</si>
  <si>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</si>
  <si>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</si>
  <si>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</si>
  <si>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</si>
  <si>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</si>
  <si>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</si>
  <si>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TH-ESE</t>
  </si>
  <si>
    <t>TOTAL</t>
  </si>
  <si>
    <t>U.Test I</t>
  </si>
  <si>
    <t>U. Test II</t>
  </si>
  <si>
    <t>Microproject</t>
  </si>
  <si>
    <t>Practical Exam</t>
  </si>
  <si>
    <t>MAX MARKS AS PER TEACHING SCHEME</t>
  </si>
  <si>
    <t>INDIVIDUAL WEIGHTAGE (%)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</si>
  <si>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</si>
  <si>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 xml:space="preserve">CO -PO  Actual Attainment 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</si>
  <si>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medium(moderate), 1- low, No relation : '-'</t>
    </r>
  </si>
  <si>
    <t>Average Contribution of each CO to each PO (A)</t>
  </si>
  <si>
    <t>Course CO-PO ACTUAL ATTAINMENT LEVEL= ((AxB)/3)</t>
  </si>
  <si>
    <t>MSBTE TSI</t>
  </si>
  <si>
    <t>-</t>
  </si>
  <si>
    <t>Correlation to Program Outcomes (POs)</t>
  </si>
  <si>
    <r>
      <t>PO1: Basic Knowledge:</t>
    </r>
    <r>
      <rPr>
        <sz val="11"/>
        <color theme="1"/>
        <rFont val="Calibri"/>
        <family val="2"/>
        <scheme val="minor"/>
      </rPr>
      <t xml:space="preserve"> Database design and SQL are core computer science fundamentals. All COs have a strong (3) correlation here as they form the foundation of data storage.</t>
    </r>
  </si>
  <si>
    <r>
      <t>PO2: Problem Analysis:</t>
    </r>
    <r>
      <rPr>
        <sz val="11"/>
        <color theme="1"/>
        <rFont val="Calibri"/>
        <family val="2"/>
        <scheme val="minor"/>
      </rPr>
      <t xml:space="preserve"> Mapping real-world data to a database (CO1) and applying triggers/procedures for conditions (CO4) requires identifying and analyzing user requirements.</t>
    </r>
  </si>
  <si>
    <r>
      <t>PO3: Design/Development of Solutions:</t>
    </r>
    <r>
      <rPr>
        <sz val="11"/>
        <color theme="1"/>
        <rFont val="Calibri"/>
        <family val="2"/>
        <scheme val="minor"/>
      </rPr>
      <t xml:space="preserve"> Designing a normalized database (CO1) and creating stored procedures/functions (CO4) are direct design-and-develop tasks.</t>
    </r>
  </si>
  <si>
    <r>
      <t>PO4: Engineering Tools:</t>
    </r>
    <r>
      <rPr>
        <sz val="11"/>
        <color theme="1"/>
        <rFont val="Calibri"/>
        <family val="2"/>
        <scheme val="minor"/>
      </rPr>
      <t xml:space="preserve"> Using SQL interfaces and DBMS software (CO2, CO4) aligns with utilizing engineering tools for experimentation.</t>
    </r>
  </si>
  <si>
    <r>
      <t>PO5: Engineering Practices (Ethics/Environment):</t>
    </r>
    <r>
      <rPr>
        <sz val="11"/>
        <color theme="1"/>
        <rFont val="Calibri"/>
        <family val="2"/>
        <scheme val="minor"/>
      </rPr>
      <t xml:space="preserve"> Applying security and confidentiality (CO5) directly maps to engineering ethics, specifically data privacy and security practices.</t>
    </r>
  </si>
  <si>
    <t>2. Correlation to Program Specific Outcomes (PSOs)</t>
  </si>
  <si>
    <r>
      <t>PSO1: Computer Software &amp; Hardware Usage:</t>
    </r>
    <r>
      <rPr>
        <sz val="11"/>
        <color theme="1"/>
        <rFont val="Calibri"/>
        <family val="2"/>
        <scheme val="minor"/>
      </rPr>
      <t xml:space="preserve"> DBMS is the backbone of most software applications. Mastering SQL, normalization, and PL/SQL is essential for building any software system.</t>
    </r>
  </si>
  <si>
    <r>
      <t>PSO2: Computer Engineering Maintenance:</t>
    </r>
    <r>
      <rPr>
        <sz val="11"/>
        <color theme="1"/>
        <rFont val="Calibri"/>
        <family val="2"/>
        <scheme val="minor"/>
      </rPr>
      <t xml:space="preserve"> Managing a database (CO2) and optimizing it through procedures and security measures (CO4, CO5) is critical for system maintenance and operational efficiency.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</si>
</sst>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5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1"/>
      <name val="Algerian"/>
    </font>
    <font>
      <sz val="11"/>
      <color theme="1"/>
      <name val="Algerian"/>
    </font>
    <font>
      <sz val="11"/>
      <color theme="1"/>
      <name val="Calibri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b/>
      <sz val="14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theme="1"/>
      <name val="Calibri"/>
    </font>
    <font>
      <b/>
      <sz val="11"/>
      <color rgb="FF000000"/>
      <name val="Times New Roman"/>
    </font>
    <font>
      <i/>
      <u/>
      <sz val="11"/>
      <color theme="1"/>
      <name val="Calibri"/>
    </font>
    <font>
      <i/>
      <u/>
      <sz val="11"/>
      <color theme="1"/>
      <name val="Calibri"/>
    </font>
    <font>
      <b/>
      <u/>
      <sz val="16"/>
      <color theme="1"/>
      <name val="Algerian"/>
    </font>
    <font>
      <sz val="11"/>
      <color theme="1"/>
      <name val="Calibri"/>
      <scheme val="minor"/>
    </font>
    <font>
      <b/>
      <sz val="11"/>
      <color theme="1"/>
      <name val="Times New Roman"/>
    </font>
    <font>
      <b/>
      <i/>
      <sz val="11"/>
      <color theme="1"/>
      <name val="Times New Roman"/>
    </font>
    <font>
      <sz val="12"/>
      <color theme="1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</font>
    <font>
      <b/>
      <u/>
      <sz val="16"/>
      <color theme="1"/>
      <name val="Times New Roman"/>
    </font>
    <font>
      <b/>
      <u/>
      <sz val="16"/>
      <color theme="1"/>
      <name val="Times New Roman"/>
    </font>
    <font>
      <sz val="11"/>
      <color rgb="FFF9CB9C"/>
      <name val="Calibri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b/>
      <u/>
      <sz val="16"/>
      <color theme="1"/>
      <name val="Times New Roman"/>
    </font>
    <font>
      <b/>
      <sz val="14"/>
      <color theme="1"/>
      <name val="Calibri"/>
    </font>
    <font>
      <sz val="11"/>
      <color rgb="FF000000"/>
      <name val="Arial"/>
    </font>
    <font>
      <sz val="11"/>
      <color rgb="FFFF0000"/>
      <name val="Times New Roman"/>
    </font>
    <font>
      <sz val="22"/>
      <color theme="1"/>
      <name val="Calibri"/>
    </font>
    <font>
      <b/>
      <sz val="18"/>
      <color rgb="FF7030A0"/>
      <name val="Calibri"/>
    </font>
    <font>
      <b/>
      <sz val="16"/>
      <color rgb="FF7030A0"/>
      <name val="Calibri"/>
    </font>
    <font>
      <i/>
      <sz val="11"/>
      <color theme="1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4"/>
      <color rgb="FF7030A0"/>
      <name val="Calibri"/>
    </font>
    <font>
      <b/>
      <sz val="16"/>
      <color theme="1"/>
      <name val="Calibri"/>
    </font>
    <font>
      <b/>
      <sz val="10"/>
      <color rgb="FF000000"/>
      <name val="Times New Roman"/>
    </font>
    <font>
      <sz val="12"/>
      <color theme="1"/>
      <name val="Times New Roman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indexed="64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5" fillId="0" borderId="4" xfId="0" applyFont="1" applyBorder="1" applyAlignment="1">
      <alignment horizontal="center" wrapText="1"/>
    </xf>
    <xf numFmtId="0" fontId="4" fillId="2" borderId="6" xfId="0" applyFont="1" applyFill="1" applyBorder="1"/>
    <xf numFmtId="0" fontId="4" fillId="2" borderId="5" xfId="0" applyFont="1" applyFill="1" applyBorder="1" applyAlignment="1">
      <alignment wrapText="1"/>
    </xf>
    <xf numFmtId="0" fontId="5" fillId="0" borderId="0" xfId="0" applyFont="1" applyAlignment="1">
      <alignment horizontal="center" wrapText="1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4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textRotation="90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2" fontId="10" fillId="5" borderId="1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6" borderId="1" xfId="0" applyFont="1" applyFill="1" applyBorder="1"/>
    <xf numFmtId="0" fontId="5" fillId="0" borderId="0" xfId="0" applyFont="1"/>
    <xf numFmtId="0" fontId="5" fillId="0" borderId="0" xfId="0" applyFont="1" applyAlignment="1">
      <alignment horizontal="right" vertical="center"/>
    </xf>
    <xf numFmtId="0" fontId="7" fillId="8" borderId="4" xfId="0" applyFont="1" applyFill="1" applyBorder="1" applyAlignment="1">
      <alignment vertical="center" shrinkToFit="1"/>
    </xf>
    <xf numFmtId="0" fontId="17" fillId="0" borderId="0" xfId="0" applyFont="1"/>
    <xf numFmtId="0" fontId="17" fillId="0" borderId="4" xfId="0" applyFont="1" applyBorder="1" applyAlignment="1">
      <alignment horizontal="center"/>
    </xf>
    <xf numFmtId="0" fontId="17" fillId="15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 vertical="center" shrinkToFit="1"/>
    </xf>
    <xf numFmtId="0" fontId="20" fillId="0" borderId="0" xfId="0" applyFont="1"/>
    <xf numFmtId="0" fontId="5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/>
    </xf>
    <xf numFmtId="0" fontId="20" fillId="2" borderId="4" xfId="0" applyFont="1" applyFill="1" applyBorder="1"/>
    <xf numFmtId="0" fontId="20" fillId="2" borderId="30" xfId="0" applyFont="1" applyFill="1" applyBorder="1" applyAlignment="1">
      <alignment horizontal="center"/>
    </xf>
    <xf numFmtId="0" fontId="20" fillId="2" borderId="30" xfId="0" applyFont="1" applyFill="1" applyBorder="1"/>
    <xf numFmtId="0" fontId="21" fillId="0" borderId="4" xfId="0" applyFont="1" applyBorder="1" applyAlignment="1">
      <alignment horizontal="center"/>
    </xf>
    <xf numFmtId="0" fontId="22" fillId="0" borderId="0" xfId="0" applyFont="1"/>
    <xf numFmtId="1" fontId="5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wrapText="1"/>
    </xf>
    <xf numFmtId="9" fontId="7" fillId="0" borderId="15" xfId="0" applyNumberFormat="1" applyFont="1" applyBorder="1" applyAlignment="1">
      <alignment vertical="center"/>
    </xf>
    <xf numFmtId="0" fontId="18" fillId="4" borderId="34" xfId="0" applyFont="1" applyFill="1" applyBorder="1" applyAlignment="1">
      <alignment vertical="center" wrapText="1"/>
    </xf>
    <xf numFmtId="0" fontId="5" fillId="0" borderId="38" xfId="0" applyFont="1" applyBorder="1" applyAlignment="1">
      <alignment horizontal="left" vertical="center"/>
    </xf>
    <xf numFmtId="164" fontId="5" fillId="4" borderId="39" xfId="0" applyNumberFormat="1" applyFont="1" applyFill="1" applyBorder="1" applyAlignment="1">
      <alignment horizontal="center" vertical="center"/>
    </xf>
    <xf numFmtId="164" fontId="5" fillId="4" borderId="43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64" fontId="5" fillId="4" borderId="16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0" fontId="7" fillId="4" borderId="49" xfId="0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4" borderId="51" xfId="0" applyFon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16" borderId="0" xfId="0" applyFont="1" applyFill="1"/>
    <xf numFmtId="0" fontId="5" fillId="2" borderId="4" xfId="0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2" fillId="4" borderId="54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/>
    </xf>
    <xf numFmtId="0" fontId="4" fillId="4" borderId="1" xfId="0" applyFont="1" applyFill="1" applyBorder="1"/>
    <xf numFmtId="9" fontId="5" fillId="0" borderId="55" xfId="0" applyNumberFormat="1" applyFont="1" applyBorder="1" applyAlignment="1">
      <alignment vertical="center"/>
    </xf>
    <xf numFmtId="0" fontId="5" fillId="4" borderId="39" xfId="0" applyFont="1" applyFill="1" applyBorder="1" applyAlignment="1">
      <alignment vertical="center"/>
    </xf>
    <xf numFmtId="0" fontId="18" fillId="4" borderId="57" xfId="0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vertical="center"/>
    </xf>
    <xf numFmtId="0" fontId="5" fillId="4" borderId="59" xfId="0" applyFont="1" applyFill="1" applyBorder="1" applyAlignment="1">
      <alignment vertical="center"/>
    </xf>
    <xf numFmtId="0" fontId="18" fillId="4" borderId="60" xfId="0" applyFont="1" applyFill="1" applyBorder="1" applyAlignment="1">
      <alignment horizontal="center" vertical="center"/>
    </xf>
    <xf numFmtId="9" fontId="5" fillId="0" borderId="61" xfId="0" applyNumberFormat="1" applyFont="1" applyBorder="1" applyAlignment="1">
      <alignment vertical="center"/>
    </xf>
    <xf numFmtId="0" fontId="5" fillId="4" borderId="63" xfId="0" applyFont="1" applyFill="1" applyBorder="1" applyAlignment="1">
      <alignment vertical="center"/>
    </xf>
    <xf numFmtId="0" fontId="18" fillId="4" borderId="6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32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center"/>
    </xf>
    <xf numFmtId="0" fontId="22" fillId="4" borderId="54" xfId="0" applyFont="1" applyFill="1" applyBorder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0" fontId="18" fillId="4" borderId="21" xfId="0" applyFont="1" applyFill="1" applyBorder="1" applyAlignment="1">
      <alignment vertical="center" wrapText="1"/>
    </xf>
    <xf numFmtId="0" fontId="5" fillId="4" borderId="69" xfId="0" applyFont="1" applyFill="1" applyBorder="1" applyAlignment="1">
      <alignment horizontal="center" vertical="center"/>
    </xf>
    <xf numFmtId="0" fontId="5" fillId="4" borderId="70" xfId="0" applyFont="1" applyFill="1" applyBorder="1" applyAlignment="1">
      <alignment horizontal="center" vertical="center"/>
    </xf>
    <xf numFmtId="0" fontId="5" fillId="4" borderId="63" xfId="0" applyFont="1" applyFill="1" applyBorder="1" applyAlignment="1">
      <alignment horizontal="center" vertical="center"/>
    </xf>
    <xf numFmtId="0" fontId="18" fillId="4" borderId="72" xfId="0" applyFont="1" applyFill="1" applyBorder="1" applyAlignment="1">
      <alignment horizontal="center" vertical="center"/>
    </xf>
    <xf numFmtId="0" fontId="18" fillId="4" borderId="73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74" xfId="0" applyFont="1" applyFill="1" applyBorder="1" applyAlignment="1">
      <alignment horizontal="center" vertical="center"/>
    </xf>
    <xf numFmtId="0" fontId="5" fillId="4" borderId="7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8" borderId="20" xfId="0" applyFont="1" applyFill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2" borderId="72" xfId="0" applyFont="1" applyFill="1" applyBorder="1" applyAlignment="1">
      <alignment horizontal="center" vertical="center"/>
    </xf>
    <xf numFmtId="0" fontId="18" fillId="2" borderId="73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34" fillId="2" borderId="1" xfId="0" applyFont="1" applyFill="1" applyBorder="1"/>
    <xf numFmtId="0" fontId="9" fillId="4" borderId="2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7" fillId="17" borderId="81" xfId="0" applyFont="1" applyFill="1" applyBorder="1" applyAlignment="1">
      <alignment horizontal="center" vertical="center"/>
    </xf>
    <xf numFmtId="0" fontId="29" fillId="0" borderId="64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 wrapText="1"/>
    </xf>
    <xf numFmtId="9" fontId="39" fillId="0" borderId="21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40" fillId="0" borderId="10" xfId="0" applyFont="1" applyBorder="1" applyAlignment="1">
      <alignment vertical="center"/>
    </xf>
    <xf numFmtId="0" fontId="40" fillId="0" borderId="12" xfId="0" applyFont="1" applyBorder="1" applyAlignment="1">
      <alignment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2" fontId="4" fillId="4" borderId="53" xfId="0" applyNumberFormat="1" applyFont="1" applyFill="1" applyBorder="1" applyAlignment="1">
      <alignment horizontal="center" vertical="center"/>
    </xf>
    <xf numFmtId="2" fontId="4" fillId="4" borderId="86" xfId="0" applyNumberFormat="1" applyFont="1" applyFill="1" applyBorder="1" applyAlignment="1">
      <alignment horizontal="center" vertical="center"/>
    </xf>
    <xf numFmtId="0" fontId="4" fillId="4" borderId="87" xfId="0" applyFont="1" applyFill="1" applyBorder="1" applyAlignment="1">
      <alignment vertical="center"/>
    </xf>
    <xf numFmtId="0" fontId="4" fillId="4" borderId="88" xfId="0" applyFont="1" applyFill="1" applyBorder="1" applyAlignment="1">
      <alignment horizontal="center" vertical="center"/>
    </xf>
    <xf numFmtId="0" fontId="4" fillId="4" borderId="88" xfId="0" applyFont="1" applyFill="1" applyBorder="1" applyAlignment="1">
      <alignment vertical="center"/>
    </xf>
    <xf numFmtId="0" fontId="4" fillId="4" borderId="89" xfId="0" applyFont="1" applyFill="1" applyBorder="1" applyAlignment="1">
      <alignment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80" xfId="0" applyFont="1" applyFill="1" applyBorder="1" applyAlignment="1">
      <alignment horizontal="center" vertical="center" wrapText="1"/>
    </xf>
    <xf numFmtId="0" fontId="4" fillId="4" borderId="72" xfId="0" applyFont="1" applyFill="1" applyBorder="1" applyAlignment="1">
      <alignment horizontal="center" vertical="center" wrapText="1"/>
    </xf>
    <xf numFmtId="0" fontId="4" fillId="4" borderId="72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9" fillId="4" borderId="57" xfId="0" applyFont="1" applyFill="1" applyBorder="1" applyAlignment="1">
      <alignment horizontal="center" vertical="center"/>
    </xf>
    <xf numFmtId="0" fontId="4" fillId="4" borderId="90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center" vertical="center"/>
    </xf>
    <xf numFmtId="0" fontId="4" fillId="4" borderId="8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/>
    </xf>
    <xf numFmtId="0" fontId="29" fillId="4" borderId="64" xfId="0" applyFont="1" applyFill="1" applyBorder="1" applyAlignment="1">
      <alignment horizontal="center" vertical="center"/>
    </xf>
    <xf numFmtId="0" fontId="4" fillId="4" borderId="91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center" vertical="center" wrapText="1"/>
    </xf>
    <xf numFmtId="2" fontId="37" fillId="4" borderId="81" xfId="0" applyNumberFormat="1" applyFont="1" applyFill="1" applyBorder="1" applyAlignment="1">
      <alignment horizontal="center" vertical="center"/>
    </xf>
    <xf numFmtId="0" fontId="29" fillId="4" borderId="64" xfId="0" applyFont="1" applyFill="1" applyBorder="1" applyAlignment="1">
      <alignment horizontal="center" vertical="center" wrapText="1"/>
    </xf>
    <xf numFmtId="2" fontId="4" fillId="4" borderId="91" xfId="0" applyNumberFormat="1" applyFont="1" applyFill="1" applyBorder="1" applyAlignment="1">
      <alignment horizontal="center" vertical="center"/>
    </xf>
    <xf numFmtId="2" fontId="39" fillId="4" borderId="21" xfId="0" applyNumberFormat="1" applyFont="1" applyFill="1" applyBorder="1" applyAlignment="1">
      <alignment horizontal="center" vertical="center"/>
    </xf>
    <xf numFmtId="0" fontId="38" fillId="4" borderId="21" xfId="0" applyFont="1" applyFill="1" applyBorder="1" applyAlignment="1">
      <alignment horizontal="center" vertical="center" wrapText="1"/>
    </xf>
    <xf numFmtId="0" fontId="39" fillId="4" borderId="21" xfId="0" applyFont="1" applyFill="1" applyBorder="1" applyAlignment="1">
      <alignment horizontal="center" vertical="center"/>
    </xf>
    <xf numFmtId="9" fontId="39" fillId="4" borderId="21" xfId="0" applyNumberFormat="1" applyFont="1" applyFill="1" applyBorder="1" applyAlignment="1">
      <alignment horizontal="center" vertical="center"/>
    </xf>
    <xf numFmtId="0" fontId="38" fillId="4" borderId="21" xfId="0" applyFont="1" applyFill="1" applyBorder="1" applyAlignment="1">
      <alignment horizontal="center" vertical="center"/>
    </xf>
    <xf numFmtId="2" fontId="40" fillId="5" borderId="87" xfId="0" applyNumberFormat="1" applyFont="1" applyFill="1" applyBorder="1" applyAlignment="1">
      <alignment vertical="center"/>
    </xf>
    <xf numFmtId="0" fontId="40" fillId="5" borderId="34" xfId="0" applyFont="1" applyFill="1" applyBorder="1" applyAlignment="1">
      <alignment vertical="center"/>
    </xf>
    <xf numFmtId="0" fontId="11" fillId="4" borderId="16" xfId="0" applyFont="1" applyFill="1" applyBorder="1" applyAlignment="1">
      <alignment horizontal="center" vertical="center" wrapText="1"/>
    </xf>
    <xf numFmtId="0" fontId="42" fillId="5" borderId="16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5" fillId="4" borderId="39" xfId="0" applyFont="1" applyFill="1" applyBorder="1" applyAlignment="1">
      <alignment horizontal="center" vertical="center"/>
    </xf>
    <xf numFmtId="0" fontId="5" fillId="4" borderId="59" xfId="0" applyFont="1" applyFill="1" applyBorder="1" applyAlignment="1">
      <alignment horizontal="center" vertical="center"/>
    </xf>
    <xf numFmtId="0" fontId="45" fillId="0" borderId="92" xfId="0" applyFont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 wrapText="1"/>
    </xf>
    <xf numFmtId="0" fontId="22" fillId="2" borderId="9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7" fillId="0" borderId="92" xfId="0" applyFont="1" applyBorder="1" applyAlignment="1">
      <alignment horizontal="center" wrapText="1" readingOrder="1"/>
    </xf>
    <xf numFmtId="0" fontId="46" fillId="0" borderId="92" xfId="0" applyFont="1" applyBorder="1" applyAlignment="1">
      <alignment horizontal="center" wrapText="1" readingOrder="1"/>
    </xf>
    <xf numFmtId="0" fontId="4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49" fillId="2" borderId="16" xfId="0" applyFont="1" applyFill="1" applyBorder="1" applyAlignment="1">
      <alignment horizontal="center" vertical="center" wrapText="1"/>
    </xf>
    <xf numFmtId="0" fontId="45" fillId="18" borderId="92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0" borderId="23" xfId="0" applyFont="1" applyBorder="1"/>
    <xf numFmtId="0" fontId="14" fillId="0" borderId="24" xfId="0" applyFont="1" applyBorder="1" applyAlignment="1">
      <alignment horizontal="center" vertical="center"/>
    </xf>
    <xf numFmtId="0" fontId="0" fillId="0" borderId="0" xfId="0"/>
    <xf numFmtId="0" fontId="15" fillId="0" borderId="24" xfId="0" applyFont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7" xfId="0" applyFont="1" applyBorder="1"/>
    <xf numFmtId="0" fontId="4" fillId="0" borderId="0" xfId="0" applyFont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6" fillId="0" borderId="3" xfId="0" applyFont="1" applyBorder="1"/>
    <xf numFmtId="0" fontId="7" fillId="4" borderId="10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13" fillId="4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13" fillId="5" borderId="10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/>
    </xf>
    <xf numFmtId="0" fontId="6" fillId="0" borderId="92" xfId="0" applyFont="1" applyBorder="1"/>
    <xf numFmtId="0" fontId="50" fillId="2" borderId="92" xfId="0" applyFont="1" applyFill="1" applyBorder="1" applyAlignment="1">
      <alignment horizontal="center"/>
    </xf>
    <xf numFmtId="0" fontId="51" fillId="0" borderId="92" xfId="0" applyFont="1" applyBorder="1"/>
    <xf numFmtId="0" fontId="7" fillId="4" borderId="8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8" xfId="0" applyFont="1" applyBorder="1"/>
    <xf numFmtId="0" fontId="6" fillId="0" borderId="19" xfId="0" applyFont="1" applyBorder="1"/>
    <xf numFmtId="0" fontId="5" fillId="4" borderId="22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 textRotation="90"/>
    </xf>
    <xf numFmtId="0" fontId="6" fillId="0" borderId="42" xfId="0" applyFont="1" applyBorder="1"/>
    <xf numFmtId="0" fontId="6" fillId="0" borderId="46" xfId="0" applyFont="1" applyBorder="1"/>
    <xf numFmtId="0" fontId="5" fillId="4" borderId="3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8" fillId="4" borderId="40" xfId="0" applyFont="1" applyFill="1" applyBorder="1" applyAlignment="1">
      <alignment horizontal="center" vertical="center"/>
    </xf>
    <xf numFmtId="0" fontId="6" fillId="0" borderId="41" xfId="0" applyFont="1" applyBorder="1"/>
    <xf numFmtId="0" fontId="18" fillId="4" borderId="44" xfId="0" applyFont="1" applyFill="1" applyBorder="1" applyAlignment="1">
      <alignment horizontal="center" vertical="center"/>
    </xf>
    <xf numFmtId="0" fontId="6" fillId="0" borderId="45" xfId="0" applyFont="1" applyBorder="1"/>
    <xf numFmtId="0" fontId="18" fillId="4" borderId="47" xfId="0" applyFont="1" applyFill="1" applyBorder="1" applyAlignment="1">
      <alignment horizontal="center" vertical="center"/>
    </xf>
    <xf numFmtId="0" fontId="6" fillId="0" borderId="48" xfId="0" applyFont="1" applyBorder="1"/>
    <xf numFmtId="0" fontId="5" fillId="4" borderId="5" xfId="0" applyFont="1" applyFill="1" applyBorder="1" applyAlignment="1">
      <alignment horizontal="center" vertical="center"/>
    </xf>
    <xf numFmtId="0" fontId="6" fillId="0" borderId="6" xfId="0" applyFont="1" applyBorder="1"/>
    <xf numFmtId="0" fontId="18" fillId="13" borderId="26" xfId="0" applyFont="1" applyFill="1" applyBorder="1" applyAlignment="1">
      <alignment horizontal="center" vertical="center" wrapText="1"/>
    </xf>
    <xf numFmtId="0" fontId="6" fillId="0" borderId="27" xfId="0" applyFont="1" applyBorder="1"/>
    <xf numFmtId="0" fontId="6" fillId="0" borderId="30" xfId="0" applyFont="1" applyBorder="1"/>
    <xf numFmtId="0" fontId="18" fillId="14" borderId="26" xfId="0" applyFont="1" applyFill="1" applyBorder="1" applyAlignment="1">
      <alignment horizontal="center" vertical="center" wrapText="1"/>
    </xf>
    <xf numFmtId="0" fontId="18" fillId="8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6" fillId="0" borderId="24" xfId="0" applyFont="1" applyBorder="1"/>
    <xf numFmtId="0" fontId="6" fillId="0" borderId="31" xfId="0" applyFont="1" applyBorder="1"/>
    <xf numFmtId="0" fontId="6" fillId="0" borderId="32" xfId="0" applyFont="1" applyBorder="1"/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 wrapText="1"/>
    </xf>
    <xf numFmtId="0" fontId="18" fillId="8" borderId="26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center" vertical="center" wrapText="1"/>
    </xf>
    <xf numFmtId="0" fontId="18" fillId="12" borderId="2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5" fillId="4" borderId="33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5" fillId="4" borderId="2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6" fillId="0" borderId="67" xfId="0" applyFont="1" applyBorder="1"/>
    <xf numFmtId="0" fontId="18" fillId="4" borderId="26" xfId="0" applyFont="1" applyFill="1" applyBorder="1" applyAlignment="1">
      <alignment horizontal="center" vertical="center" wrapText="1"/>
    </xf>
    <xf numFmtId="2" fontId="29" fillId="4" borderId="33" xfId="0" applyNumberFormat="1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left" vertical="center"/>
    </xf>
    <xf numFmtId="0" fontId="6" fillId="0" borderId="38" xfId="0" applyFont="1" applyBorder="1"/>
    <xf numFmtId="0" fontId="5" fillId="2" borderId="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 wrapText="1"/>
    </xf>
    <xf numFmtId="0" fontId="5" fillId="4" borderId="58" xfId="0" applyFont="1" applyFill="1" applyBorder="1" applyAlignment="1">
      <alignment horizontal="left" vertical="center"/>
    </xf>
    <xf numFmtId="0" fontId="5" fillId="4" borderId="62" xfId="0" applyFont="1" applyFill="1" applyBorder="1" applyAlignment="1">
      <alignment horizontal="left" vertical="center"/>
    </xf>
    <xf numFmtId="0" fontId="7" fillId="4" borderId="65" xfId="0" applyFont="1" applyFill="1" applyBorder="1" applyAlignment="1">
      <alignment horizontal="center" vertical="center" wrapText="1"/>
    </xf>
    <xf numFmtId="0" fontId="6" fillId="0" borderId="66" xfId="0" applyFont="1" applyBorder="1"/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wrapText="1"/>
    </xf>
    <xf numFmtId="0" fontId="31" fillId="4" borderId="68" xfId="0" applyFont="1" applyFill="1" applyBorder="1" applyAlignment="1">
      <alignment horizontal="center" vertical="center"/>
    </xf>
    <xf numFmtId="0" fontId="22" fillId="4" borderId="33" xfId="0" applyFont="1" applyFill="1" applyBorder="1" applyAlignment="1">
      <alignment horizontal="center" vertical="center" wrapText="1"/>
    </xf>
    <xf numFmtId="0" fontId="6" fillId="0" borderId="71" xfId="0" applyFont="1" applyBorder="1"/>
    <xf numFmtId="0" fontId="7" fillId="4" borderId="65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/>
    </xf>
    <xf numFmtId="0" fontId="6" fillId="0" borderId="76" xfId="0" applyFont="1" applyBorder="1"/>
    <xf numFmtId="0" fontId="8" fillId="0" borderId="10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textRotation="90"/>
    </xf>
    <xf numFmtId="0" fontId="5" fillId="0" borderId="55" xfId="0" applyFont="1" applyBorder="1" applyAlignment="1">
      <alignment horizontal="center" vertical="center"/>
    </xf>
    <xf numFmtId="0" fontId="6" fillId="0" borderId="77" xfId="0" applyFont="1" applyBorder="1"/>
    <xf numFmtId="0" fontId="5" fillId="0" borderId="5" xfId="0" applyFont="1" applyBorder="1" applyAlignment="1">
      <alignment horizontal="center" vertical="center"/>
    </xf>
    <xf numFmtId="0" fontId="6" fillId="0" borderId="25" xfId="0" applyFont="1" applyBorder="1"/>
    <xf numFmtId="0" fontId="5" fillId="0" borderId="61" xfId="0" applyFont="1" applyBorder="1" applyAlignment="1">
      <alignment horizontal="center" vertical="center"/>
    </xf>
    <xf numFmtId="0" fontId="6" fillId="0" borderId="78" xfId="0" applyFont="1" applyBorder="1"/>
    <xf numFmtId="0" fontId="13" fillId="3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6" fillId="0" borderId="79" xfId="0" applyFont="1" applyBorder="1"/>
    <xf numFmtId="0" fontId="4" fillId="0" borderId="10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37" fillId="17" borderId="5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wrapText="1"/>
    </xf>
    <xf numFmtId="0" fontId="6" fillId="0" borderId="82" xfId="0" applyFont="1" applyBorder="1"/>
    <xf numFmtId="0" fontId="6" fillId="0" borderId="84" xfId="0" applyFont="1" applyBorder="1"/>
    <xf numFmtId="0" fontId="4" fillId="4" borderId="55" xfId="0" applyFont="1" applyFill="1" applyBorder="1" applyAlignment="1">
      <alignment horizontal="center" vertical="center"/>
    </xf>
    <xf numFmtId="0" fontId="4" fillId="4" borderId="83" xfId="0" applyFont="1" applyFill="1" applyBorder="1" applyAlignment="1">
      <alignment horizontal="center" vertical="center"/>
    </xf>
    <xf numFmtId="0" fontId="6" fillId="0" borderId="85" xfId="0" applyFont="1" applyBorder="1"/>
    <xf numFmtId="0" fontId="5" fillId="0" borderId="65" xfId="0" applyFont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2" fontId="4" fillId="4" borderId="61" xfId="0" applyNumberFormat="1" applyFont="1" applyFill="1" applyBorder="1" applyAlignment="1">
      <alignment horizontal="center" vertical="center"/>
    </xf>
    <xf numFmtId="0" fontId="36" fillId="4" borderId="10" xfId="0" applyFont="1" applyFill="1" applyBorder="1" applyAlignment="1">
      <alignment horizontal="center" vertical="center"/>
    </xf>
    <xf numFmtId="0" fontId="41" fillId="4" borderId="10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center" vertical="center" wrapText="1"/>
    </xf>
    <xf numFmtId="0" fontId="4" fillId="4" borderId="65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38" fillId="4" borderId="10" xfId="0" applyFont="1" applyFill="1" applyBorder="1" applyAlignment="1">
      <alignment horizontal="center" vertical="center"/>
    </xf>
    <xf numFmtId="0" fontId="40" fillId="5" borderId="1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37" fillId="4" borderId="44" xfId="0" applyFont="1" applyFill="1" applyBorder="1" applyAlignment="1">
      <alignment horizontal="center" vertical="center"/>
    </xf>
    <xf numFmtId="2" fontId="4" fillId="4" borderId="47" xfId="0" applyNumberFormat="1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">
    <tableStyle name="CO_Attainment for Unit Tests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8838" y="3651413"/>
          <a:ext cx="314325" cy="2571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88838" y="3651413"/>
          <a:ext cx="314325" cy="2571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1276350</xdr:colOff>
      <xdr:row>96</xdr:row>
      <xdr:rowOff>219075</xdr:rowOff>
    </xdr:from>
    <xdr:ext cx="171450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69800" y="3679988"/>
          <a:ext cx="152400" cy="20002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1314450</xdr:colOff>
      <xdr:row>96</xdr:row>
      <xdr:rowOff>161925</xdr:rowOff>
    </xdr:from>
    <xdr:ext cx="171450" cy="2095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269800" y="3684750"/>
          <a:ext cx="152400" cy="1905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16:H76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CO_Attainment for Unit T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002"/>
  <sheetViews>
    <sheetView tabSelected="1" workbookViewId="0">
      <selection activeCell="K12" sqref="K12"/>
    </sheetView>
  </sheetViews>
  <sheetFormatPr defaultColWidth="14.42578125" defaultRowHeight="15" customHeight="1" x14ac:dyDescent="0.25"/>
  <cols>
    <col min="1" max="1" width="11" customWidth="1"/>
    <col min="2" max="2" width="12.140625" customWidth="1"/>
    <col min="3" max="3" width="14" customWidth="1"/>
    <col min="4" max="4" width="38.28515625" customWidth="1"/>
    <col min="5" max="5" width="13.28515625" customWidth="1"/>
    <col min="6" max="7" width="8.7109375" customWidth="1"/>
    <col min="8" max="8" width="10.85546875" customWidth="1"/>
    <col min="9" max="9" width="12.85546875" customWidth="1"/>
    <col min="10" max="15" width="8.7109375" customWidth="1"/>
  </cols>
  <sheetData>
    <row r="1" spans="1:13" ht="25.5" x14ac:dyDescent="0.4">
      <c r="D1" s="1" t="s">
        <v>0</v>
      </c>
      <c r="E1" s="2"/>
      <c r="F1" s="2"/>
      <c r="G1" s="2"/>
      <c r="H1" s="2"/>
      <c r="I1" s="2"/>
      <c r="J1" s="2"/>
      <c r="K1" s="2"/>
      <c r="L1" s="3"/>
    </row>
    <row r="3" spans="1:13" x14ac:dyDescent="0.25">
      <c r="A3" s="4"/>
      <c r="B3" s="4"/>
      <c r="C3" s="5" t="s">
        <v>1</v>
      </c>
      <c r="D3" s="224" t="s">
        <v>2</v>
      </c>
      <c r="E3" s="225"/>
      <c r="F3" s="4"/>
    </row>
    <row r="4" spans="1:13" x14ac:dyDescent="0.25">
      <c r="A4" s="4"/>
      <c r="B4" s="4"/>
      <c r="C4" s="5" t="s">
        <v>3</v>
      </c>
      <c r="D4" s="224">
        <v>22319</v>
      </c>
      <c r="E4" s="225"/>
      <c r="F4" s="4"/>
    </row>
    <row r="5" spans="1:13" x14ac:dyDescent="0.25">
      <c r="A5" s="4"/>
      <c r="B5" s="4"/>
      <c r="C5" s="5" t="s">
        <v>4</v>
      </c>
      <c r="D5" s="224" t="s">
        <v>5</v>
      </c>
      <c r="E5" s="225"/>
      <c r="F5" s="4"/>
    </row>
    <row r="6" spans="1:13" x14ac:dyDescent="0.25">
      <c r="A6" s="4"/>
      <c r="B6" s="4"/>
      <c r="C6" s="5" t="s">
        <v>6</v>
      </c>
      <c r="D6" s="226" t="s">
        <v>7</v>
      </c>
      <c r="E6" s="227"/>
      <c r="F6" s="4"/>
    </row>
    <row r="7" spans="1:13" ht="15.75" x14ac:dyDescent="0.25">
      <c r="A7" s="4"/>
      <c r="B7" s="6" t="s">
        <v>8</v>
      </c>
      <c r="C7" s="4"/>
      <c r="D7" s="4"/>
      <c r="E7" s="4"/>
      <c r="F7" s="4"/>
    </row>
    <row r="8" spans="1:13" ht="28.5" customHeight="1" x14ac:dyDescent="0.25">
      <c r="A8" s="4"/>
      <c r="B8" s="4"/>
      <c r="C8" s="7" t="s">
        <v>9</v>
      </c>
      <c r="D8" s="199" t="s">
        <v>10</v>
      </c>
      <c r="E8" s="8"/>
      <c r="F8" s="4"/>
    </row>
    <row r="9" spans="1:13" ht="28.5" customHeight="1" x14ac:dyDescent="0.25">
      <c r="A9" s="4"/>
      <c r="B9" s="4"/>
      <c r="C9" s="7" t="s">
        <v>11</v>
      </c>
      <c r="D9" s="199" t="s">
        <v>12</v>
      </c>
      <c r="E9" s="8"/>
      <c r="F9" s="4"/>
    </row>
    <row r="10" spans="1:13" ht="28.5" customHeight="1" x14ac:dyDescent="0.25">
      <c r="A10" s="4"/>
      <c r="B10" s="4"/>
      <c r="C10" s="7" t="s">
        <v>13</v>
      </c>
      <c r="D10" s="199" t="s">
        <v>14</v>
      </c>
      <c r="E10" s="8"/>
      <c r="F10" s="4"/>
    </row>
    <row r="11" spans="1:13" ht="28.5" customHeight="1" x14ac:dyDescent="0.25">
      <c r="A11" s="4"/>
      <c r="B11" s="4"/>
      <c r="C11" s="7" t="s">
        <v>15</v>
      </c>
      <c r="D11" s="200" t="s">
        <v>16</v>
      </c>
      <c r="E11" s="8"/>
      <c r="F11" s="4"/>
    </row>
    <row r="12" spans="1:13" ht="28.5" customHeight="1" x14ac:dyDescent="0.25">
      <c r="A12" s="4"/>
      <c r="B12" s="4"/>
      <c r="C12" s="7" t="s">
        <v>17</v>
      </c>
      <c r="D12" s="200" t="s">
        <v>18</v>
      </c>
      <c r="E12" s="8"/>
      <c r="F12" s="4"/>
    </row>
    <row r="13" spans="1:13" ht="28.5" customHeight="1" x14ac:dyDescent="0.25">
      <c r="A13" s="4"/>
      <c r="B13" s="4"/>
      <c r="C13" s="7"/>
      <c r="D13" s="9"/>
      <c r="E13" s="8"/>
      <c r="F13" s="4"/>
    </row>
    <row r="14" spans="1:13" ht="28.5" customHeight="1" x14ac:dyDescent="0.25">
      <c r="A14" s="4"/>
      <c r="B14" s="4"/>
      <c r="C14" s="10"/>
      <c r="D14" s="11"/>
      <c r="E14" s="12"/>
      <c r="F14" s="4"/>
    </row>
    <row r="15" spans="1:13" ht="18.75" x14ac:dyDescent="0.25">
      <c r="B15" s="13" t="s">
        <v>19</v>
      </c>
      <c r="C15" s="14"/>
      <c r="D15" s="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15.75" x14ac:dyDescent="0.25">
      <c r="B16" s="15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25" x14ac:dyDescent="0.25">
      <c r="B17" s="213" t="s">
        <v>21</v>
      </c>
      <c r="C17" s="228" t="s">
        <v>22</v>
      </c>
      <c r="D17" s="229"/>
      <c r="E17" s="219" t="s">
        <v>23</v>
      </c>
      <c r="F17" s="222"/>
      <c r="G17" s="222"/>
      <c r="H17" s="222"/>
      <c r="I17" s="222"/>
      <c r="J17" s="222"/>
      <c r="K17" s="220"/>
      <c r="L17" s="219" t="s">
        <v>24</v>
      </c>
      <c r="M17" s="220"/>
    </row>
    <row r="18" spans="1:25" x14ac:dyDescent="0.25">
      <c r="B18" s="214"/>
      <c r="C18" s="230"/>
      <c r="D18" s="231"/>
      <c r="E18" s="16" t="s">
        <v>25</v>
      </c>
      <c r="F18" s="16" t="s">
        <v>26</v>
      </c>
      <c r="G18" s="16" t="s">
        <v>27</v>
      </c>
      <c r="H18" s="16" t="s">
        <v>28</v>
      </c>
      <c r="I18" s="16" t="s">
        <v>29</v>
      </c>
      <c r="J18" s="16" t="s">
        <v>30</v>
      </c>
      <c r="K18" s="16" t="s">
        <v>31</v>
      </c>
      <c r="L18" s="16" t="s">
        <v>32</v>
      </c>
      <c r="M18" s="16" t="s">
        <v>33</v>
      </c>
    </row>
    <row r="19" spans="1:25" ht="122.25" customHeight="1" thickBot="1" x14ac:dyDescent="0.3">
      <c r="B19" s="215"/>
      <c r="C19" s="232"/>
      <c r="D19" s="233"/>
      <c r="E19" s="17" t="s">
        <v>34</v>
      </c>
      <c r="F19" s="17" t="s">
        <v>35</v>
      </c>
      <c r="G19" s="17" t="s">
        <v>36</v>
      </c>
      <c r="H19" s="17" t="s">
        <v>37</v>
      </c>
      <c r="I19" s="17" t="s">
        <v>38</v>
      </c>
      <c r="J19" s="17" t="s">
        <v>39</v>
      </c>
      <c r="K19" s="17" t="s">
        <v>40</v>
      </c>
      <c r="L19" s="17" t="s">
        <v>41</v>
      </c>
      <c r="M19" s="17" t="s">
        <v>42</v>
      </c>
    </row>
    <row r="20" spans="1:25" ht="49.5" customHeight="1" thickBot="1" x14ac:dyDescent="0.3">
      <c r="B20" s="18">
        <v>1</v>
      </c>
      <c r="C20" s="19" t="str">
        <f t="shared" ref="C20:D20" si="0">C8</f>
        <v>CO1</v>
      </c>
      <c r="D20" s="20" t="str">
        <f t="shared" si="0"/>
        <v xml:space="preserve"> Design Normalized database on given data..</v>
      </c>
      <c r="E20" s="206">
        <v>3</v>
      </c>
      <c r="F20" s="206">
        <v>2</v>
      </c>
      <c r="G20" s="206">
        <v>3</v>
      </c>
      <c r="H20" s="206">
        <v>1</v>
      </c>
      <c r="I20" s="206">
        <v>1</v>
      </c>
      <c r="J20" s="206" t="s">
        <v>252</v>
      </c>
      <c r="K20" s="206">
        <v>1</v>
      </c>
      <c r="L20" s="206">
        <v>3</v>
      </c>
      <c r="M20" s="206">
        <v>2</v>
      </c>
    </row>
    <row r="21" spans="1:25" ht="36" customHeight="1" thickBot="1" x14ac:dyDescent="0.3">
      <c r="B21" s="18">
        <v>2</v>
      </c>
      <c r="C21" s="19" t="str">
        <f t="shared" ref="C21:D21" si="1">C9</f>
        <v>CO2</v>
      </c>
      <c r="D21" s="23" t="str">
        <f t="shared" si="1"/>
        <v>Create and Manage Database using SQL command</v>
      </c>
      <c r="E21" s="206">
        <v>3</v>
      </c>
      <c r="F21" s="206">
        <v>2</v>
      </c>
      <c r="G21" s="206">
        <v>2</v>
      </c>
      <c r="H21" s="206">
        <v>2</v>
      </c>
      <c r="I21" s="206">
        <v>3</v>
      </c>
      <c r="J21" s="206" t="s">
        <v>252</v>
      </c>
      <c r="K21" s="206">
        <v>1</v>
      </c>
      <c r="L21" s="206">
        <v>3</v>
      </c>
      <c r="M21" s="206">
        <v>2</v>
      </c>
    </row>
    <row r="22" spans="1:25" ht="22.5" customHeight="1" thickBot="1" x14ac:dyDescent="0.3">
      <c r="B22" s="18">
        <v>3</v>
      </c>
      <c r="C22" s="19" t="str">
        <f t="shared" ref="C22:D22" si="2">C10</f>
        <v>CO3</v>
      </c>
      <c r="D22" s="23" t="str">
        <f t="shared" si="2"/>
        <v xml:space="preserve"> Write PL/SQL code for given database</v>
      </c>
      <c r="E22" s="206">
        <v>3</v>
      </c>
      <c r="F22" s="206">
        <v>2</v>
      </c>
      <c r="G22" s="206">
        <v>2</v>
      </c>
      <c r="H22" s="206">
        <v>1</v>
      </c>
      <c r="I22" s="206">
        <v>3</v>
      </c>
      <c r="J22" s="206" t="s">
        <v>252</v>
      </c>
      <c r="K22" s="206">
        <v>1</v>
      </c>
      <c r="L22" s="206">
        <v>3</v>
      </c>
      <c r="M22" s="206">
        <v>2</v>
      </c>
    </row>
    <row r="23" spans="1:25" ht="33.75" customHeight="1" thickBot="1" x14ac:dyDescent="0.3">
      <c r="B23" s="18">
        <v>4</v>
      </c>
      <c r="C23" s="19" t="str">
        <f t="shared" ref="C23:D23" si="3">C11</f>
        <v>CO4</v>
      </c>
      <c r="D23" s="23" t="str">
        <f t="shared" si="3"/>
        <v xml:space="preserve">  Apply triggers ob database also create procedure and function according to condition.</v>
      </c>
      <c r="E23" s="206">
        <v>2</v>
      </c>
      <c r="F23" s="206">
        <v>3</v>
      </c>
      <c r="G23" s="206">
        <v>3</v>
      </c>
      <c r="H23" s="206">
        <v>2</v>
      </c>
      <c r="I23" s="206">
        <v>2</v>
      </c>
      <c r="J23" s="206" t="s">
        <v>252</v>
      </c>
      <c r="K23" s="206">
        <v>1</v>
      </c>
      <c r="L23" s="206">
        <v>2</v>
      </c>
      <c r="M23" s="206">
        <v>3</v>
      </c>
    </row>
    <row r="24" spans="1:25" ht="26.25" customHeight="1" thickBot="1" x14ac:dyDescent="0.3">
      <c r="B24" s="18">
        <v>5</v>
      </c>
      <c r="C24" s="19" t="str">
        <f t="shared" ref="C24:D24" si="4">C12</f>
        <v>CO5</v>
      </c>
      <c r="D24" s="23" t="str">
        <f t="shared" si="4"/>
        <v>Apply security and confidentiality on given Database..</v>
      </c>
      <c r="E24" s="206">
        <v>2</v>
      </c>
      <c r="F24" s="206">
        <v>1</v>
      </c>
      <c r="G24" s="206">
        <v>1</v>
      </c>
      <c r="H24" s="206">
        <v>1</v>
      </c>
      <c r="I24" s="206">
        <v>2</v>
      </c>
      <c r="J24" s="206">
        <v>1</v>
      </c>
      <c r="K24" s="206">
        <v>2</v>
      </c>
      <c r="L24" s="206">
        <v>2</v>
      </c>
      <c r="M24" s="206">
        <v>1</v>
      </c>
    </row>
    <row r="25" spans="1:25" ht="21.75" customHeight="1" thickBot="1" x14ac:dyDescent="0.3">
      <c r="B25" s="24"/>
      <c r="C25" s="25"/>
      <c r="D25" s="26">
        <f>D13</f>
        <v>0</v>
      </c>
      <c r="E25" s="21"/>
      <c r="F25" s="21"/>
      <c r="G25" s="21"/>
      <c r="H25" s="21"/>
      <c r="I25" s="21"/>
      <c r="J25" s="22"/>
      <c r="K25" s="21"/>
      <c r="L25" s="21"/>
      <c r="M25" s="21"/>
    </row>
    <row r="26" spans="1:25" ht="24" customHeight="1" x14ac:dyDescent="0.25">
      <c r="B26" s="221" t="s">
        <v>43</v>
      </c>
      <c r="C26" s="222"/>
      <c r="D26" s="220"/>
      <c r="E26" s="19">
        <f t="shared" ref="E26:M26" si="5">IFERROR(AVERAGE(E20:E24),2)</f>
        <v>2.6</v>
      </c>
      <c r="F26" s="19">
        <f t="shared" si="5"/>
        <v>2</v>
      </c>
      <c r="G26" s="19">
        <f t="shared" si="5"/>
        <v>2.2000000000000002</v>
      </c>
      <c r="H26" s="19">
        <f t="shared" si="5"/>
        <v>1.4</v>
      </c>
      <c r="I26" s="19">
        <f t="shared" si="5"/>
        <v>2.2000000000000002</v>
      </c>
      <c r="J26" s="19">
        <f t="shared" si="5"/>
        <v>1</v>
      </c>
      <c r="K26" s="19">
        <f t="shared" si="5"/>
        <v>1.2</v>
      </c>
      <c r="L26" s="19">
        <f t="shared" si="5"/>
        <v>2.6</v>
      </c>
      <c r="M26" s="19">
        <f t="shared" si="5"/>
        <v>2</v>
      </c>
    </row>
    <row r="27" spans="1:25" ht="20.25" customHeight="1" x14ac:dyDescent="0.25">
      <c r="B27" s="223" t="s">
        <v>44</v>
      </c>
      <c r="C27" s="222"/>
      <c r="D27" s="220"/>
      <c r="E27" s="27">
        <f t="shared" ref="E27:M27" si="6">E26</f>
        <v>2.6</v>
      </c>
      <c r="F27" s="27">
        <f t="shared" si="6"/>
        <v>2</v>
      </c>
      <c r="G27" s="27">
        <f t="shared" si="6"/>
        <v>2.2000000000000002</v>
      </c>
      <c r="H27" s="28">
        <f t="shared" si="6"/>
        <v>1.4</v>
      </c>
      <c r="I27" s="28">
        <f t="shared" si="6"/>
        <v>2.2000000000000002</v>
      </c>
      <c r="J27" s="27">
        <f t="shared" si="6"/>
        <v>1</v>
      </c>
      <c r="K27" s="27">
        <f t="shared" si="6"/>
        <v>1.2</v>
      </c>
      <c r="L27" s="27">
        <f t="shared" si="6"/>
        <v>2.6</v>
      </c>
      <c r="M27" s="27">
        <f t="shared" si="6"/>
        <v>2</v>
      </c>
    </row>
    <row r="28" spans="1:25" ht="15.75" customHeight="1" x14ac:dyDescent="0.25"/>
    <row r="29" spans="1:25" ht="15.75" customHeight="1" x14ac:dyDescent="0.25"/>
    <row r="30" spans="1:25" ht="15.75" customHeight="1" x14ac:dyDescent="0.25">
      <c r="D30" s="29" t="s">
        <v>45</v>
      </c>
      <c r="I30" s="216" t="s">
        <v>46</v>
      </c>
      <c r="J30" s="211"/>
      <c r="K30" s="211"/>
      <c r="L30" s="211"/>
      <c r="M30" s="211"/>
    </row>
    <row r="31" spans="1:25" ht="15.75" customHeight="1" x14ac:dyDescent="0.25">
      <c r="A31" s="30"/>
      <c r="B31" s="30"/>
      <c r="C31" s="217" t="s">
        <v>47</v>
      </c>
      <c r="D31" s="218"/>
      <c r="E31" s="218"/>
      <c r="F31" s="30"/>
      <c r="G31" s="30"/>
      <c r="H31" s="30"/>
      <c r="I31" s="217" t="s">
        <v>47</v>
      </c>
      <c r="J31" s="218"/>
      <c r="K31" s="218"/>
      <c r="L31" s="218"/>
      <c r="M31" s="218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15.75" customHeight="1" x14ac:dyDescent="0.25"/>
    <row r="33" spans="2:5" ht="15.75" customHeight="1" x14ac:dyDescent="0.25"/>
    <row r="34" spans="2:5" ht="15.75" customHeight="1" x14ac:dyDescent="0.25"/>
    <row r="35" spans="2:5" ht="28.5" customHeight="1" x14ac:dyDescent="0.25">
      <c r="B35" s="208" t="s">
        <v>48</v>
      </c>
      <c r="C35" s="21"/>
      <c r="D35" s="210" t="s">
        <v>49</v>
      </c>
      <c r="E35" s="211"/>
    </row>
    <row r="36" spans="2:5" ht="47.25" customHeight="1" x14ac:dyDescent="0.25">
      <c r="B36" s="209"/>
      <c r="C36" s="27"/>
      <c r="D36" s="212" t="s">
        <v>50</v>
      </c>
      <c r="E36" s="211"/>
    </row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6">
    <mergeCell ref="D3:E3"/>
    <mergeCell ref="D4:E4"/>
    <mergeCell ref="D5:E5"/>
    <mergeCell ref="D6:E6"/>
    <mergeCell ref="E17:K17"/>
    <mergeCell ref="C17:D19"/>
    <mergeCell ref="B35:B36"/>
    <mergeCell ref="D35:E35"/>
    <mergeCell ref="D36:E36"/>
    <mergeCell ref="B17:B19"/>
    <mergeCell ref="I30:M30"/>
    <mergeCell ref="C31:E31"/>
    <mergeCell ref="I31:M31"/>
    <mergeCell ref="L17:M17"/>
    <mergeCell ref="B26:D26"/>
    <mergeCell ref="B27:D27"/>
  </mergeCells>
  <pageMargins left="0.7" right="0.7" top="0.75" bottom="0.75" header="0" footer="0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999"/>
  <sheetViews>
    <sheetView topLeftCell="A95" workbookViewId="0">
      <selection activeCell="P8" sqref="P8"/>
    </sheetView>
  </sheetViews>
  <sheetFormatPr defaultColWidth="14.42578125" defaultRowHeight="15" customHeight="1" x14ac:dyDescent="0.25"/>
  <cols>
    <col min="1" max="1" width="4" customWidth="1"/>
    <col min="2" max="2" width="18.85546875" customWidth="1"/>
    <col min="3" max="3" width="42.5703125" customWidth="1"/>
    <col min="4" max="4" width="14.42578125" customWidth="1"/>
    <col min="5" max="5" width="10.28515625" customWidth="1"/>
    <col min="6" max="6" width="9.28515625" customWidth="1"/>
    <col min="7" max="7" width="11.42578125" customWidth="1"/>
    <col min="8" max="8" width="9.85546875" customWidth="1"/>
    <col min="9" max="9" width="11.85546875" customWidth="1"/>
    <col min="10" max="10" width="14.5703125" customWidth="1"/>
    <col min="11" max="11" width="12.140625" customWidth="1"/>
    <col min="12" max="14" width="5.42578125" customWidth="1"/>
  </cols>
  <sheetData>
    <row r="1" spans="1:21" ht="21.75" x14ac:dyDescent="0.35">
      <c r="A1" s="260" t="s">
        <v>51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31"/>
      <c r="M1" s="31"/>
      <c r="N1" s="31"/>
    </row>
    <row r="2" spans="1:21" ht="21.75" x14ac:dyDescent="0.35">
      <c r="A2" s="260" t="s">
        <v>52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31"/>
      <c r="M2" s="31"/>
      <c r="N2" s="31"/>
    </row>
    <row r="3" spans="1:21" x14ac:dyDescent="0.25">
      <c r="A3" s="31"/>
      <c r="B3" s="32" t="s">
        <v>1</v>
      </c>
      <c r="C3" s="249" t="str">
        <f>'PO Set Target attain level'!D3</f>
        <v>DATABASE MANAGEMENT SYSTEM</v>
      </c>
      <c r="D3" s="250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21" x14ac:dyDescent="0.25">
      <c r="A4" s="31"/>
      <c r="B4" s="32" t="s">
        <v>3</v>
      </c>
      <c r="C4" s="249">
        <f>'PO Set Target attain level'!D4</f>
        <v>22319</v>
      </c>
      <c r="D4" s="250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21" x14ac:dyDescent="0.25">
      <c r="A5" s="31"/>
      <c r="B5" s="32" t="s">
        <v>53</v>
      </c>
      <c r="C5" s="249" t="str">
        <f>'PO Set Target attain level'!D5</f>
        <v>3rd SEM(CO3I SCHEME)</v>
      </c>
      <c r="D5" s="250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21" x14ac:dyDescent="0.25">
      <c r="A6" s="31"/>
      <c r="B6" s="32" t="s">
        <v>54</v>
      </c>
      <c r="C6" s="249" t="str">
        <f>'PO Set Target attain level'!D6</f>
        <v>2023-24</v>
      </c>
      <c r="D6" s="250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21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21" ht="25.5" customHeight="1" x14ac:dyDescent="0.25">
      <c r="A8" s="263" t="s">
        <v>21</v>
      </c>
      <c r="B8" s="264" t="s">
        <v>56</v>
      </c>
      <c r="C8" s="265" t="s">
        <v>57</v>
      </c>
      <c r="D8" s="266" t="s">
        <v>58</v>
      </c>
      <c r="E8" s="267" t="s">
        <v>59</v>
      </c>
      <c r="F8" s="268" t="s">
        <v>60</v>
      </c>
      <c r="G8" s="269" t="s">
        <v>61</v>
      </c>
      <c r="H8" s="251" t="s">
        <v>62</v>
      </c>
      <c r="I8" s="254" t="s">
        <v>63</v>
      </c>
      <c r="J8" s="33" t="s">
        <v>64</v>
      </c>
      <c r="K8" s="33" t="s">
        <v>65</v>
      </c>
      <c r="L8" s="31"/>
      <c r="M8" s="31"/>
      <c r="N8" s="31"/>
      <c r="O8" s="34"/>
    </row>
    <row r="9" spans="1:21" ht="18.75" customHeight="1" x14ac:dyDescent="0.25">
      <c r="A9" s="252"/>
      <c r="B9" s="252"/>
      <c r="C9" s="252"/>
      <c r="D9" s="252"/>
      <c r="E9" s="252"/>
      <c r="F9" s="252"/>
      <c r="G9" s="252"/>
      <c r="H9" s="252"/>
      <c r="I9" s="252"/>
      <c r="J9" s="255" t="s">
        <v>67</v>
      </c>
      <c r="K9" s="256"/>
      <c r="L9" s="31"/>
      <c r="M9" s="31"/>
      <c r="N9" s="31"/>
      <c r="O9" s="34"/>
      <c r="U9" s="34"/>
    </row>
    <row r="10" spans="1:21" ht="23.25" customHeight="1" x14ac:dyDescent="0.25">
      <c r="A10" s="252"/>
      <c r="B10" s="252"/>
      <c r="C10" s="252"/>
      <c r="D10" s="252"/>
      <c r="E10" s="252"/>
      <c r="F10" s="252"/>
      <c r="G10" s="252"/>
      <c r="H10" s="252"/>
      <c r="I10" s="252"/>
      <c r="J10" s="257"/>
      <c r="K10" s="209"/>
      <c r="L10" s="31"/>
      <c r="M10" s="31"/>
      <c r="N10" s="31"/>
      <c r="O10" s="34"/>
      <c r="U10" s="34"/>
    </row>
    <row r="11" spans="1:21" ht="14.25" customHeight="1" x14ac:dyDescent="0.25">
      <c r="A11" s="252"/>
      <c r="B11" s="252"/>
      <c r="C11" s="252"/>
      <c r="D11" s="253"/>
      <c r="E11" s="253"/>
      <c r="F11" s="253"/>
      <c r="G11" s="253"/>
      <c r="H11" s="253"/>
      <c r="I11" s="253"/>
      <c r="J11" s="258"/>
      <c r="K11" s="259"/>
      <c r="L11" s="31"/>
      <c r="M11" s="31"/>
      <c r="N11" s="31"/>
      <c r="O11" s="34"/>
      <c r="U11" s="34"/>
    </row>
    <row r="12" spans="1:21" ht="18.75" customHeight="1" x14ac:dyDescent="0.25">
      <c r="A12" s="253"/>
      <c r="B12" s="253"/>
      <c r="C12" s="253"/>
      <c r="D12" s="37">
        <v>16</v>
      </c>
      <c r="E12" s="37">
        <v>16</v>
      </c>
      <c r="F12" s="37">
        <v>12</v>
      </c>
      <c r="G12" s="37">
        <v>10</v>
      </c>
      <c r="H12" s="38">
        <v>10</v>
      </c>
      <c r="I12" s="39"/>
      <c r="J12" s="40">
        <f t="shared" ref="J12" si="0">SUM(D12:E12)</f>
        <v>32</v>
      </c>
      <c r="K12" s="40">
        <f t="shared" ref="K12" si="1">SUM(F12:H12)</f>
        <v>32</v>
      </c>
      <c r="L12" s="31"/>
      <c r="M12" s="31"/>
      <c r="N12" s="41"/>
      <c r="O12" s="34"/>
      <c r="U12" s="34"/>
    </row>
    <row r="13" spans="1:21" ht="15.75" x14ac:dyDescent="0.25">
      <c r="A13" s="42">
        <v>1</v>
      </c>
      <c r="B13" s="43">
        <v>2201180002</v>
      </c>
      <c r="C13" s="44" t="s">
        <v>72</v>
      </c>
      <c r="D13" s="42">
        <v>5</v>
      </c>
      <c r="E13" s="42">
        <v>4</v>
      </c>
      <c r="F13" s="42">
        <v>2</v>
      </c>
      <c r="G13" s="42">
        <v>2</v>
      </c>
      <c r="H13" s="42">
        <v>3</v>
      </c>
      <c r="I13" s="42"/>
      <c r="J13" s="40">
        <f t="shared" ref="J13:J76" si="2">SUM(D13:E13)</f>
        <v>9</v>
      </c>
      <c r="K13" s="40">
        <f t="shared" ref="K13:K76" si="3">SUM(F13:H13)</f>
        <v>7</v>
      </c>
      <c r="L13" s="31"/>
      <c r="M13" s="31"/>
      <c r="N13" s="41"/>
    </row>
    <row r="14" spans="1:21" ht="15.75" x14ac:dyDescent="0.25">
      <c r="A14" s="42">
        <v>2</v>
      </c>
      <c r="B14" s="45">
        <v>2201180003</v>
      </c>
      <c r="C14" s="46" t="s">
        <v>73</v>
      </c>
      <c r="D14" s="42">
        <v>12</v>
      </c>
      <c r="E14" s="42">
        <v>8</v>
      </c>
      <c r="F14" s="42">
        <v>6</v>
      </c>
      <c r="G14" s="42">
        <v>8</v>
      </c>
      <c r="H14" s="42">
        <v>6</v>
      </c>
      <c r="I14" s="42"/>
      <c r="J14" s="40">
        <f t="shared" si="2"/>
        <v>20</v>
      </c>
      <c r="K14" s="40">
        <f t="shared" si="3"/>
        <v>20</v>
      </c>
      <c r="L14" s="31"/>
      <c r="M14" s="31"/>
      <c r="N14" s="41"/>
    </row>
    <row r="15" spans="1:21" ht="15.75" x14ac:dyDescent="0.25">
      <c r="A15" s="42">
        <v>3</v>
      </c>
      <c r="B15" s="45">
        <v>2201180004</v>
      </c>
      <c r="C15" s="46" t="s">
        <v>74</v>
      </c>
      <c r="D15" s="42">
        <v>12</v>
      </c>
      <c r="E15" s="42">
        <v>12</v>
      </c>
      <c r="F15" s="42">
        <v>11</v>
      </c>
      <c r="G15" s="42">
        <v>8</v>
      </c>
      <c r="H15" s="42">
        <v>5</v>
      </c>
      <c r="I15" s="42"/>
      <c r="J15" s="40">
        <f t="shared" si="2"/>
        <v>24</v>
      </c>
      <c r="K15" s="40">
        <f t="shared" si="3"/>
        <v>24</v>
      </c>
      <c r="L15" s="31"/>
      <c r="M15" s="31"/>
      <c r="N15" s="41"/>
    </row>
    <row r="16" spans="1:21" ht="15.75" x14ac:dyDescent="0.25">
      <c r="A16" s="42">
        <v>4</v>
      </c>
      <c r="B16" s="45">
        <v>2201180005</v>
      </c>
      <c r="C16" s="46" t="s">
        <v>75</v>
      </c>
      <c r="D16" s="42">
        <v>15</v>
      </c>
      <c r="E16" s="42">
        <v>13</v>
      </c>
      <c r="F16" s="42">
        <v>12</v>
      </c>
      <c r="G16" s="42">
        <v>10</v>
      </c>
      <c r="H16" s="42">
        <v>7</v>
      </c>
      <c r="I16" s="42"/>
      <c r="J16" s="40">
        <f t="shared" si="2"/>
        <v>28</v>
      </c>
      <c r="K16" s="40">
        <f t="shared" si="3"/>
        <v>29</v>
      </c>
      <c r="L16" s="31"/>
      <c r="M16" s="31"/>
      <c r="N16" s="41"/>
    </row>
    <row r="17" spans="1:14" ht="15.75" x14ac:dyDescent="0.25">
      <c r="A17" s="42">
        <v>5</v>
      </c>
      <c r="B17" s="45">
        <v>2201180006</v>
      </c>
      <c r="C17" s="46" t="s">
        <v>76</v>
      </c>
      <c r="D17" s="42">
        <v>15</v>
      </c>
      <c r="E17" s="42">
        <v>8</v>
      </c>
      <c r="F17" s="42">
        <v>6</v>
      </c>
      <c r="G17" s="42">
        <v>10</v>
      </c>
      <c r="H17" s="42">
        <v>6</v>
      </c>
      <c r="I17" s="42"/>
      <c r="J17" s="40">
        <f t="shared" si="2"/>
        <v>23</v>
      </c>
      <c r="K17" s="40">
        <f t="shared" si="3"/>
        <v>22</v>
      </c>
      <c r="L17" s="31"/>
      <c r="M17" s="31"/>
      <c r="N17" s="41"/>
    </row>
    <row r="18" spans="1:14" ht="15.75" x14ac:dyDescent="0.25">
      <c r="A18" s="42">
        <v>6</v>
      </c>
      <c r="B18" s="45">
        <v>2201180009</v>
      </c>
      <c r="C18" s="46" t="s">
        <v>78</v>
      </c>
      <c r="D18" s="42">
        <v>12</v>
      </c>
      <c r="E18" s="42">
        <v>6</v>
      </c>
      <c r="F18" s="42">
        <v>4</v>
      </c>
      <c r="G18" s="42">
        <v>7</v>
      </c>
      <c r="H18" s="42">
        <v>5</v>
      </c>
      <c r="I18" s="42"/>
      <c r="J18" s="40">
        <f t="shared" si="2"/>
        <v>18</v>
      </c>
      <c r="K18" s="40">
        <f t="shared" si="3"/>
        <v>16</v>
      </c>
      <c r="L18" s="31"/>
      <c r="M18" s="31"/>
      <c r="N18" s="41"/>
    </row>
    <row r="19" spans="1:14" ht="15.75" x14ac:dyDescent="0.25">
      <c r="A19" s="42">
        <v>7</v>
      </c>
      <c r="B19" s="45">
        <v>2201180010</v>
      </c>
      <c r="C19" s="46" t="s">
        <v>79</v>
      </c>
      <c r="D19" s="42">
        <v>13</v>
      </c>
      <c r="E19" s="42">
        <v>10</v>
      </c>
      <c r="F19" s="42">
        <v>11</v>
      </c>
      <c r="G19" s="42">
        <v>10</v>
      </c>
      <c r="H19" s="42">
        <v>5</v>
      </c>
      <c r="I19" s="42"/>
      <c r="J19" s="40">
        <f t="shared" si="2"/>
        <v>23</v>
      </c>
      <c r="K19" s="40">
        <f t="shared" si="3"/>
        <v>26</v>
      </c>
      <c r="L19" s="31"/>
      <c r="M19" s="31"/>
      <c r="N19" s="41"/>
    </row>
    <row r="20" spans="1:14" ht="15.75" x14ac:dyDescent="0.25">
      <c r="A20" s="42">
        <v>8</v>
      </c>
      <c r="B20" s="45">
        <v>2201180011</v>
      </c>
      <c r="C20" s="46" t="s">
        <v>80</v>
      </c>
      <c r="D20" s="42">
        <v>8</v>
      </c>
      <c r="E20" s="42">
        <v>3</v>
      </c>
      <c r="F20" s="42">
        <v>6</v>
      </c>
      <c r="G20" s="42">
        <v>7</v>
      </c>
      <c r="H20" s="42">
        <v>3</v>
      </c>
      <c r="I20" s="42"/>
      <c r="J20" s="40">
        <f t="shared" si="2"/>
        <v>11</v>
      </c>
      <c r="K20" s="40">
        <f t="shared" si="3"/>
        <v>16</v>
      </c>
      <c r="L20" s="31"/>
      <c r="M20" s="31"/>
      <c r="N20" s="41"/>
    </row>
    <row r="21" spans="1:14" ht="15.75" customHeight="1" x14ac:dyDescent="0.25">
      <c r="A21" s="42">
        <v>9</v>
      </c>
      <c r="B21" s="45">
        <v>2201180014</v>
      </c>
      <c r="C21" s="46" t="s">
        <v>81</v>
      </c>
      <c r="D21" s="42">
        <v>11</v>
      </c>
      <c r="E21" s="42">
        <v>4</v>
      </c>
      <c r="F21" s="42">
        <v>8</v>
      </c>
      <c r="G21" s="42">
        <v>7</v>
      </c>
      <c r="H21" s="42">
        <v>2</v>
      </c>
      <c r="I21" s="42"/>
      <c r="J21" s="40">
        <f t="shared" si="2"/>
        <v>15</v>
      </c>
      <c r="K21" s="40">
        <f t="shared" si="3"/>
        <v>17</v>
      </c>
      <c r="L21" s="31"/>
      <c r="M21" s="31"/>
      <c r="N21" s="41"/>
    </row>
    <row r="22" spans="1:14" ht="15.75" customHeight="1" x14ac:dyDescent="0.25">
      <c r="A22" s="42">
        <v>10</v>
      </c>
      <c r="B22" s="45">
        <v>2201180050</v>
      </c>
      <c r="C22" s="46" t="s">
        <v>82</v>
      </c>
      <c r="D22" s="42">
        <v>11</v>
      </c>
      <c r="E22" s="42">
        <v>6</v>
      </c>
      <c r="F22" s="42">
        <v>4</v>
      </c>
      <c r="G22" s="42">
        <v>7</v>
      </c>
      <c r="H22" s="42">
        <v>6</v>
      </c>
      <c r="I22" s="42"/>
      <c r="J22" s="40">
        <f t="shared" si="2"/>
        <v>17</v>
      </c>
      <c r="K22" s="40">
        <f t="shared" si="3"/>
        <v>17</v>
      </c>
      <c r="L22" s="31"/>
      <c r="M22" s="31"/>
      <c r="N22" s="41"/>
    </row>
    <row r="23" spans="1:14" ht="15.75" customHeight="1" x14ac:dyDescent="0.25">
      <c r="A23" s="42">
        <v>11</v>
      </c>
      <c r="B23" s="45">
        <v>2201180051</v>
      </c>
      <c r="C23" s="46" t="s">
        <v>83</v>
      </c>
      <c r="D23" s="42">
        <v>14</v>
      </c>
      <c r="E23" s="42">
        <v>9</v>
      </c>
      <c r="F23" s="42">
        <v>8</v>
      </c>
      <c r="G23" s="42">
        <v>8</v>
      </c>
      <c r="H23" s="42">
        <v>6</v>
      </c>
      <c r="I23" s="42"/>
      <c r="J23" s="40">
        <f t="shared" si="2"/>
        <v>23</v>
      </c>
      <c r="K23" s="40">
        <f t="shared" si="3"/>
        <v>22</v>
      </c>
      <c r="L23" s="31"/>
      <c r="M23" s="31"/>
      <c r="N23" s="41"/>
    </row>
    <row r="24" spans="1:14" ht="15.75" customHeight="1" x14ac:dyDescent="0.25">
      <c r="A24" s="42">
        <v>12</v>
      </c>
      <c r="B24" s="45">
        <v>2201180052</v>
      </c>
      <c r="C24" s="46" t="s">
        <v>84</v>
      </c>
      <c r="D24" s="42">
        <v>15</v>
      </c>
      <c r="E24" s="42">
        <v>7</v>
      </c>
      <c r="F24" s="42">
        <v>7</v>
      </c>
      <c r="G24" s="42">
        <v>8</v>
      </c>
      <c r="H24" s="42">
        <v>2</v>
      </c>
      <c r="I24" s="42"/>
      <c r="J24" s="40">
        <f t="shared" si="2"/>
        <v>22</v>
      </c>
      <c r="K24" s="40">
        <f t="shared" si="3"/>
        <v>17</v>
      </c>
      <c r="L24" s="31"/>
      <c r="M24" s="31"/>
      <c r="N24" s="41"/>
    </row>
    <row r="25" spans="1:14" ht="15.75" customHeight="1" x14ac:dyDescent="0.25">
      <c r="A25" s="42">
        <v>13</v>
      </c>
      <c r="B25" s="45">
        <v>2201180053</v>
      </c>
      <c r="C25" s="46" t="s">
        <v>85</v>
      </c>
      <c r="D25" s="42">
        <v>15</v>
      </c>
      <c r="E25" s="42">
        <v>12</v>
      </c>
      <c r="F25" s="42">
        <v>10</v>
      </c>
      <c r="G25" s="42">
        <v>8</v>
      </c>
      <c r="H25" s="42">
        <v>4</v>
      </c>
      <c r="I25" s="42"/>
      <c r="J25" s="40">
        <f t="shared" si="2"/>
        <v>27</v>
      </c>
      <c r="K25" s="40">
        <f t="shared" si="3"/>
        <v>22</v>
      </c>
      <c r="L25" s="31"/>
      <c r="M25" s="31"/>
      <c r="N25" s="41"/>
    </row>
    <row r="26" spans="1:14" ht="15.75" customHeight="1" x14ac:dyDescent="0.25">
      <c r="A26" s="42">
        <v>14</v>
      </c>
      <c r="B26" s="45">
        <v>2201180055</v>
      </c>
      <c r="C26" s="46" t="s">
        <v>86</v>
      </c>
      <c r="D26" s="42">
        <v>14</v>
      </c>
      <c r="E26" s="42">
        <v>6</v>
      </c>
      <c r="F26" s="42">
        <v>5</v>
      </c>
      <c r="G26" s="42">
        <v>8</v>
      </c>
      <c r="H26" s="42">
        <v>6</v>
      </c>
      <c r="I26" s="42"/>
      <c r="J26" s="40">
        <f t="shared" si="2"/>
        <v>20</v>
      </c>
      <c r="K26" s="40">
        <f t="shared" si="3"/>
        <v>19</v>
      </c>
      <c r="L26" s="31"/>
      <c r="M26" s="31"/>
      <c r="N26" s="41"/>
    </row>
    <row r="27" spans="1:14" ht="15.75" customHeight="1" x14ac:dyDescent="0.25">
      <c r="A27" s="42">
        <v>15</v>
      </c>
      <c r="B27" s="45">
        <v>2201180056</v>
      </c>
      <c r="C27" s="46" t="s">
        <v>87</v>
      </c>
      <c r="D27" s="42">
        <v>15</v>
      </c>
      <c r="E27" s="42">
        <v>10</v>
      </c>
      <c r="F27" s="42">
        <v>8</v>
      </c>
      <c r="G27" s="42">
        <v>8</v>
      </c>
      <c r="H27" s="42">
        <v>10</v>
      </c>
      <c r="I27" s="42"/>
      <c r="J27" s="40">
        <f t="shared" si="2"/>
        <v>25</v>
      </c>
      <c r="K27" s="40">
        <f t="shared" si="3"/>
        <v>26</v>
      </c>
      <c r="L27" s="31"/>
      <c r="M27" s="31"/>
      <c r="N27" s="41"/>
    </row>
    <row r="28" spans="1:14" ht="15.75" customHeight="1" x14ac:dyDescent="0.25">
      <c r="A28" s="42">
        <v>16</v>
      </c>
      <c r="B28" s="45">
        <v>2201180058</v>
      </c>
      <c r="C28" s="46" t="s">
        <v>88</v>
      </c>
      <c r="D28" s="42">
        <v>14</v>
      </c>
      <c r="E28" s="42">
        <v>10</v>
      </c>
      <c r="F28" s="42">
        <v>3</v>
      </c>
      <c r="G28" s="42">
        <v>5</v>
      </c>
      <c r="H28" s="42">
        <v>3</v>
      </c>
      <c r="I28" s="42"/>
      <c r="J28" s="40">
        <f t="shared" si="2"/>
        <v>24</v>
      </c>
      <c r="K28" s="40">
        <f t="shared" si="3"/>
        <v>11</v>
      </c>
      <c r="L28" s="31"/>
      <c r="M28" s="31"/>
      <c r="N28" s="41"/>
    </row>
    <row r="29" spans="1:14" ht="15.75" customHeight="1" x14ac:dyDescent="0.25">
      <c r="A29" s="42">
        <v>17</v>
      </c>
      <c r="B29" s="45">
        <v>2201180059</v>
      </c>
      <c r="C29" s="46" t="s">
        <v>89</v>
      </c>
      <c r="D29" s="42">
        <v>8</v>
      </c>
      <c r="E29" s="42">
        <v>5</v>
      </c>
      <c r="F29" s="42">
        <v>7</v>
      </c>
      <c r="G29" s="42">
        <v>8</v>
      </c>
      <c r="H29" s="42">
        <v>5</v>
      </c>
      <c r="I29" s="42"/>
      <c r="J29" s="40">
        <f t="shared" si="2"/>
        <v>13</v>
      </c>
      <c r="K29" s="40">
        <f t="shared" si="3"/>
        <v>20</v>
      </c>
      <c r="L29" s="31"/>
      <c r="M29" s="31"/>
      <c r="N29" s="41"/>
    </row>
    <row r="30" spans="1:14" ht="15.75" customHeight="1" x14ac:dyDescent="0.25">
      <c r="A30" s="42">
        <v>18</v>
      </c>
      <c r="B30" s="45">
        <v>2201180060</v>
      </c>
      <c r="C30" s="46" t="s">
        <v>90</v>
      </c>
      <c r="D30" s="42">
        <v>16</v>
      </c>
      <c r="E30" s="42">
        <v>15</v>
      </c>
      <c r="F30" s="42">
        <v>10</v>
      </c>
      <c r="G30" s="42">
        <v>10</v>
      </c>
      <c r="H30" s="42">
        <v>9</v>
      </c>
      <c r="I30" s="42"/>
      <c r="J30" s="40">
        <f t="shared" si="2"/>
        <v>31</v>
      </c>
      <c r="K30" s="40">
        <f t="shared" si="3"/>
        <v>29</v>
      </c>
      <c r="L30" s="31"/>
      <c r="M30" s="31"/>
      <c r="N30" s="41"/>
    </row>
    <row r="31" spans="1:14" ht="15.75" customHeight="1" x14ac:dyDescent="0.25">
      <c r="A31" s="42">
        <v>19</v>
      </c>
      <c r="B31" s="45">
        <v>2201180061</v>
      </c>
      <c r="C31" s="46" t="s">
        <v>91</v>
      </c>
      <c r="D31" s="42">
        <v>12</v>
      </c>
      <c r="E31" s="42">
        <v>5</v>
      </c>
      <c r="F31" s="42">
        <v>7</v>
      </c>
      <c r="G31" s="42">
        <v>10</v>
      </c>
      <c r="H31" s="42">
        <v>5</v>
      </c>
      <c r="I31" s="42"/>
      <c r="J31" s="40">
        <f t="shared" si="2"/>
        <v>17</v>
      </c>
      <c r="K31" s="40">
        <f t="shared" si="3"/>
        <v>22</v>
      </c>
      <c r="L31" s="31"/>
      <c r="M31" s="31"/>
      <c r="N31" s="41"/>
    </row>
    <row r="32" spans="1:14" ht="15.75" customHeight="1" x14ac:dyDescent="0.25">
      <c r="A32" s="42">
        <v>20</v>
      </c>
      <c r="B32" s="45">
        <v>2201180062</v>
      </c>
      <c r="C32" s="46" t="s">
        <v>92</v>
      </c>
      <c r="D32" s="42">
        <v>15</v>
      </c>
      <c r="E32" s="42">
        <v>9</v>
      </c>
      <c r="F32" s="42">
        <v>10</v>
      </c>
      <c r="G32" s="42">
        <v>10</v>
      </c>
      <c r="H32" s="42">
        <v>6</v>
      </c>
      <c r="I32" s="42"/>
      <c r="J32" s="40">
        <f t="shared" si="2"/>
        <v>24</v>
      </c>
      <c r="K32" s="40">
        <f t="shared" si="3"/>
        <v>26</v>
      </c>
      <c r="L32" s="31"/>
      <c r="M32" s="31"/>
      <c r="N32" s="41"/>
    </row>
    <row r="33" spans="1:14" ht="15.75" customHeight="1" x14ac:dyDescent="0.25">
      <c r="A33" s="42">
        <v>21</v>
      </c>
      <c r="B33" s="45">
        <v>2201180063</v>
      </c>
      <c r="C33" s="46" t="s">
        <v>93</v>
      </c>
      <c r="D33" s="42">
        <v>12</v>
      </c>
      <c r="E33" s="42">
        <v>9</v>
      </c>
      <c r="F33" s="42">
        <v>10</v>
      </c>
      <c r="G33" s="42">
        <v>10</v>
      </c>
      <c r="H33" s="42">
        <v>5</v>
      </c>
      <c r="I33" s="42"/>
      <c r="J33" s="40">
        <f t="shared" si="2"/>
        <v>21</v>
      </c>
      <c r="K33" s="40">
        <f t="shared" si="3"/>
        <v>25</v>
      </c>
      <c r="L33" s="31"/>
      <c r="M33" s="31"/>
      <c r="N33" s="41"/>
    </row>
    <row r="34" spans="1:14" ht="15.75" customHeight="1" x14ac:dyDescent="0.25">
      <c r="A34" s="42">
        <v>22</v>
      </c>
      <c r="B34" s="45">
        <v>2201180064</v>
      </c>
      <c r="C34" s="46" t="s">
        <v>94</v>
      </c>
      <c r="D34" s="42">
        <v>11</v>
      </c>
      <c r="E34" s="42">
        <v>4</v>
      </c>
      <c r="F34" s="42">
        <v>3</v>
      </c>
      <c r="G34" s="42">
        <v>10</v>
      </c>
      <c r="H34" s="42">
        <v>9</v>
      </c>
      <c r="I34" s="42"/>
      <c r="J34" s="40">
        <f t="shared" si="2"/>
        <v>15</v>
      </c>
      <c r="K34" s="40">
        <f t="shared" si="3"/>
        <v>22</v>
      </c>
      <c r="L34" s="31"/>
      <c r="M34" s="31"/>
      <c r="N34" s="41"/>
    </row>
    <row r="35" spans="1:14" ht="15.75" customHeight="1" x14ac:dyDescent="0.25">
      <c r="A35" s="42">
        <v>23</v>
      </c>
      <c r="B35" s="45">
        <v>2201180065</v>
      </c>
      <c r="C35" s="46" t="s">
        <v>95</v>
      </c>
      <c r="D35" s="42">
        <v>16</v>
      </c>
      <c r="E35" s="42">
        <v>14</v>
      </c>
      <c r="F35" s="42">
        <v>9</v>
      </c>
      <c r="G35" s="42">
        <v>10</v>
      </c>
      <c r="H35" s="42">
        <v>8</v>
      </c>
      <c r="I35" s="42"/>
      <c r="J35" s="40">
        <f t="shared" si="2"/>
        <v>30</v>
      </c>
      <c r="K35" s="40">
        <f t="shared" si="3"/>
        <v>27</v>
      </c>
      <c r="L35" s="31"/>
      <c r="M35" s="31"/>
      <c r="N35" s="41"/>
    </row>
    <row r="36" spans="1:14" ht="15.75" customHeight="1" x14ac:dyDescent="0.25">
      <c r="A36" s="42">
        <v>24</v>
      </c>
      <c r="B36" s="45">
        <v>2201180148</v>
      </c>
      <c r="C36" s="46" t="s">
        <v>96</v>
      </c>
      <c r="D36" s="42">
        <v>14</v>
      </c>
      <c r="E36" s="42">
        <v>11</v>
      </c>
      <c r="F36" s="42">
        <v>6</v>
      </c>
      <c r="G36" s="42">
        <v>10</v>
      </c>
      <c r="H36" s="42">
        <v>10</v>
      </c>
      <c r="I36" s="42"/>
      <c r="J36" s="40">
        <f t="shared" si="2"/>
        <v>25</v>
      </c>
      <c r="K36" s="40">
        <f t="shared" si="3"/>
        <v>26</v>
      </c>
      <c r="L36" s="31"/>
      <c r="M36" s="31"/>
      <c r="N36" s="41"/>
    </row>
    <row r="37" spans="1:14" ht="15.75" customHeight="1" x14ac:dyDescent="0.25">
      <c r="A37" s="42">
        <v>25</v>
      </c>
      <c r="B37" s="45">
        <v>2201180227</v>
      </c>
      <c r="C37" s="46" t="s">
        <v>97</v>
      </c>
      <c r="D37" s="42">
        <v>14</v>
      </c>
      <c r="E37" s="42">
        <v>9</v>
      </c>
      <c r="F37" s="42">
        <v>5</v>
      </c>
      <c r="G37" s="42">
        <v>4</v>
      </c>
      <c r="H37" s="42">
        <v>5</v>
      </c>
      <c r="I37" s="42"/>
      <c r="J37" s="40">
        <f t="shared" si="2"/>
        <v>23</v>
      </c>
      <c r="K37" s="40">
        <f t="shared" si="3"/>
        <v>14</v>
      </c>
      <c r="L37" s="31"/>
      <c r="M37" s="31"/>
      <c r="N37" s="41"/>
    </row>
    <row r="38" spans="1:14" ht="15.75" customHeight="1" x14ac:dyDescent="0.25">
      <c r="A38" s="42">
        <v>26</v>
      </c>
      <c r="B38" s="45">
        <v>2201180228</v>
      </c>
      <c r="C38" s="46" t="s">
        <v>98</v>
      </c>
      <c r="D38" s="42">
        <v>14</v>
      </c>
      <c r="E38" s="42">
        <v>8</v>
      </c>
      <c r="F38" s="42">
        <v>9</v>
      </c>
      <c r="G38" s="42">
        <v>9</v>
      </c>
      <c r="H38" s="42">
        <v>9</v>
      </c>
      <c r="I38" s="42"/>
      <c r="J38" s="40">
        <f t="shared" si="2"/>
        <v>22</v>
      </c>
      <c r="K38" s="40">
        <f t="shared" si="3"/>
        <v>27</v>
      </c>
      <c r="L38" s="31"/>
      <c r="M38" s="31"/>
      <c r="N38" s="41"/>
    </row>
    <row r="39" spans="1:14" ht="15.75" customHeight="1" x14ac:dyDescent="0.25">
      <c r="A39" s="42">
        <v>27</v>
      </c>
      <c r="B39" s="45">
        <v>2201180229</v>
      </c>
      <c r="C39" s="46" t="s">
        <v>99</v>
      </c>
      <c r="D39" s="42">
        <v>13</v>
      </c>
      <c r="E39" s="42">
        <v>7</v>
      </c>
      <c r="F39" s="42">
        <v>9</v>
      </c>
      <c r="G39" s="42">
        <v>7</v>
      </c>
      <c r="H39" s="42">
        <v>5</v>
      </c>
      <c r="I39" s="42"/>
      <c r="J39" s="40">
        <f t="shared" si="2"/>
        <v>20</v>
      </c>
      <c r="K39" s="40">
        <f t="shared" si="3"/>
        <v>21</v>
      </c>
      <c r="L39" s="31"/>
      <c r="M39" s="31"/>
      <c r="N39" s="41"/>
    </row>
    <row r="40" spans="1:14" ht="15.75" customHeight="1" x14ac:dyDescent="0.25">
      <c r="A40" s="42">
        <v>28</v>
      </c>
      <c r="B40" s="45">
        <v>2201180230</v>
      </c>
      <c r="C40" s="46" t="s">
        <v>100</v>
      </c>
      <c r="D40" s="42">
        <v>12</v>
      </c>
      <c r="E40" s="42">
        <v>6</v>
      </c>
      <c r="F40" s="42">
        <v>3</v>
      </c>
      <c r="G40" s="42">
        <v>4</v>
      </c>
      <c r="H40" s="42">
        <v>0</v>
      </c>
      <c r="I40" s="42"/>
      <c r="J40" s="40">
        <f t="shared" si="2"/>
        <v>18</v>
      </c>
      <c r="K40" s="40">
        <f t="shared" si="3"/>
        <v>7</v>
      </c>
      <c r="L40" s="31"/>
      <c r="M40" s="31"/>
      <c r="N40" s="41"/>
    </row>
    <row r="41" spans="1:14" ht="15.75" customHeight="1" x14ac:dyDescent="0.25">
      <c r="A41" s="42">
        <v>29</v>
      </c>
      <c r="B41" s="45">
        <v>2201180232</v>
      </c>
      <c r="C41" s="46" t="s">
        <v>101</v>
      </c>
      <c r="D41" s="42">
        <v>14</v>
      </c>
      <c r="E41" s="42">
        <v>13</v>
      </c>
      <c r="F41" s="42">
        <v>8</v>
      </c>
      <c r="G41" s="42">
        <v>10</v>
      </c>
      <c r="H41" s="42">
        <v>10</v>
      </c>
      <c r="I41" s="42"/>
      <c r="J41" s="40">
        <f t="shared" si="2"/>
        <v>27</v>
      </c>
      <c r="K41" s="40">
        <f t="shared" si="3"/>
        <v>28</v>
      </c>
      <c r="L41" s="31"/>
      <c r="M41" s="31"/>
      <c r="N41" s="41"/>
    </row>
    <row r="42" spans="1:14" ht="15.75" customHeight="1" x14ac:dyDescent="0.25">
      <c r="A42" s="42">
        <v>30</v>
      </c>
      <c r="B42" s="45">
        <v>2201180233</v>
      </c>
      <c r="C42" s="46" t="s">
        <v>102</v>
      </c>
      <c r="D42" s="42">
        <v>12</v>
      </c>
      <c r="E42" s="42">
        <v>9</v>
      </c>
      <c r="F42" s="42">
        <v>10</v>
      </c>
      <c r="G42" s="42">
        <v>7</v>
      </c>
      <c r="H42" s="42">
        <v>7</v>
      </c>
      <c r="I42" s="42"/>
      <c r="J42" s="40">
        <f t="shared" si="2"/>
        <v>21</v>
      </c>
      <c r="K42" s="40">
        <f t="shared" si="3"/>
        <v>24</v>
      </c>
      <c r="L42" s="31"/>
      <c r="M42" s="31"/>
      <c r="N42" s="41"/>
    </row>
    <row r="43" spans="1:14" ht="15.75" customHeight="1" x14ac:dyDescent="0.25">
      <c r="A43" s="42">
        <v>31</v>
      </c>
      <c r="B43" s="45">
        <v>2201180234</v>
      </c>
      <c r="C43" s="46" t="s">
        <v>103</v>
      </c>
      <c r="D43" s="42">
        <v>15</v>
      </c>
      <c r="E43" s="42">
        <v>8</v>
      </c>
      <c r="F43" s="42">
        <v>11</v>
      </c>
      <c r="G43" s="42">
        <v>8</v>
      </c>
      <c r="H43" s="42">
        <v>9</v>
      </c>
      <c r="I43" s="42"/>
      <c r="J43" s="40">
        <f t="shared" si="2"/>
        <v>23</v>
      </c>
      <c r="K43" s="40">
        <f t="shared" si="3"/>
        <v>28</v>
      </c>
      <c r="L43" s="31"/>
      <c r="M43" s="31"/>
      <c r="N43" s="41"/>
    </row>
    <row r="44" spans="1:14" ht="15.75" customHeight="1" x14ac:dyDescent="0.25">
      <c r="A44" s="42">
        <v>32</v>
      </c>
      <c r="B44" s="45">
        <v>2201180235</v>
      </c>
      <c r="C44" s="46" t="s">
        <v>104</v>
      </c>
      <c r="D44" s="42">
        <v>13</v>
      </c>
      <c r="E44" s="42">
        <v>13</v>
      </c>
      <c r="F44" s="42">
        <v>5</v>
      </c>
      <c r="G44" s="42">
        <v>9</v>
      </c>
      <c r="H44" s="42">
        <v>8</v>
      </c>
      <c r="I44" s="42"/>
      <c r="J44" s="40">
        <f t="shared" si="2"/>
        <v>26</v>
      </c>
      <c r="K44" s="40">
        <f t="shared" si="3"/>
        <v>22</v>
      </c>
      <c r="L44" s="31"/>
      <c r="M44" s="31"/>
      <c r="N44" s="41"/>
    </row>
    <row r="45" spans="1:14" ht="15.75" customHeight="1" x14ac:dyDescent="0.25">
      <c r="A45" s="42">
        <v>33</v>
      </c>
      <c r="B45" s="45">
        <v>2201180237</v>
      </c>
      <c r="C45" s="46" t="s">
        <v>105</v>
      </c>
      <c r="D45" s="42">
        <v>15</v>
      </c>
      <c r="E45" s="42">
        <v>9</v>
      </c>
      <c r="F45" s="42">
        <v>10</v>
      </c>
      <c r="G45" s="42">
        <v>10</v>
      </c>
      <c r="H45" s="42">
        <v>3</v>
      </c>
      <c r="I45" s="42"/>
      <c r="J45" s="40">
        <f t="shared" si="2"/>
        <v>24</v>
      </c>
      <c r="K45" s="40">
        <f t="shared" si="3"/>
        <v>23</v>
      </c>
      <c r="L45" s="31"/>
      <c r="M45" s="31"/>
      <c r="N45" s="41"/>
    </row>
    <row r="46" spans="1:14" ht="15.75" customHeight="1" x14ac:dyDescent="0.25">
      <c r="A46" s="42">
        <v>34</v>
      </c>
      <c r="B46" s="45">
        <v>2201180238</v>
      </c>
      <c r="C46" s="46" t="s">
        <v>106</v>
      </c>
      <c r="D46" s="42">
        <v>5</v>
      </c>
      <c r="E46" s="42">
        <v>1</v>
      </c>
      <c r="F46" s="42">
        <v>0</v>
      </c>
      <c r="G46" s="42">
        <v>4</v>
      </c>
      <c r="H46" s="42">
        <v>5</v>
      </c>
      <c r="I46" s="42"/>
      <c r="J46" s="40">
        <f t="shared" si="2"/>
        <v>6</v>
      </c>
      <c r="K46" s="40">
        <f t="shared" si="3"/>
        <v>9</v>
      </c>
      <c r="L46" s="31"/>
      <c r="M46" s="31"/>
      <c r="N46" s="41"/>
    </row>
    <row r="47" spans="1:14" ht="15.75" customHeight="1" x14ac:dyDescent="0.25">
      <c r="A47" s="42">
        <v>35</v>
      </c>
      <c r="B47" s="45">
        <v>2201180241</v>
      </c>
      <c r="C47" s="46" t="s">
        <v>107</v>
      </c>
      <c r="D47" s="42">
        <v>14</v>
      </c>
      <c r="E47" s="42">
        <v>6</v>
      </c>
      <c r="F47" s="42">
        <v>9</v>
      </c>
      <c r="G47" s="42">
        <v>10</v>
      </c>
      <c r="H47" s="42">
        <v>5</v>
      </c>
      <c r="I47" s="42"/>
      <c r="J47" s="40">
        <f t="shared" si="2"/>
        <v>20</v>
      </c>
      <c r="K47" s="40">
        <f t="shared" si="3"/>
        <v>24</v>
      </c>
      <c r="L47" s="31"/>
      <c r="M47" s="31"/>
      <c r="N47" s="41"/>
    </row>
    <row r="48" spans="1:14" ht="15.75" customHeight="1" x14ac:dyDescent="0.25">
      <c r="A48" s="42">
        <v>36</v>
      </c>
      <c r="B48" s="45">
        <v>2201180242</v>
      </c>
      <c r="C48" s="46" t="s">
        <v>108</v>
      </c>
      <c r="D48" s="42">
        <v>14</v>
      </c>
      <c r="E48" s="42">
        <v>6</v>
      </c>
      <c r="F48" s="42">
        <v>6</v>
      </c>
      <c r="G48" s="42">
        <v>4</v>
      </c>
      <c r="H48" s="42">
        <v>5</v>
      </c>
      <c r="I48" s="42"/>
      <c r="J48" s="40">
        <f t="shared" si="2"/>
        <v>20</v>
      </c>
      <c r="K48" s="40">
        <f t="shared" si="3"/>
        <v>15</v>
      </c>
      <c r="L48" s="31"/>
      <c r="M48" s="31"/>
      <c r="N48" s="41"/>
    </row>
    <row r="49" spans="1:14" ht="15.75" customHeight="1" x14ac:dyDescent="0.25">
      <c r="A49" s="42">
        <v>37</v>
      </c>
      <c r="B49" s="45">
        <v>2201180243</v>
      </c>
      <c r="C49" s="46" t="s">
        <v>109</v>
      </c>
      <c r="D49" s="42">
        <v>15</v>
      </c>
      <c r="E49" s="42">
        <v>8</v>
      </c>
      <c r="F49" s="42">
        <v>12</v>
      </c>
      <c r="G49" s="42">
        <v>8</v>
      </c>
      <c r="H49" s="42">
        <v>3</v>
      </c>
      <c r="I49" s="42"/>
      <c r="J49" s="40">
        <f t="shared" si="2"/>
        <v>23</v>
      </c>
      <c r="K49" s="40">
        <f t="shared" si="3"/>
        <v>23</v>
      </c>
      <c r="L49" s="31"/>
      <c r="M49" s="31"/>
      <c r="N49" s="41"/>
    </row>
    <row r="50" spans="1:14" ht="15.75" customHeight="1" x14ac:dyDescent="0.25">
      <c r="A50" s="42">
        <v>38</v>
      </c>
      <c r="B50" s="45">
        <v>2201180280</v>
      </c>
      <c r="C50" s="46" t="s">
        <v>110</v>
      </c>
      <c r="D50" s="42">
        <v>16</v>
      </c>
      <c r="E50" s="42">
        <v>8</v>
      </c>
      <c r="F50" s="42">
        <v>3</v>
      </c>
      <c r="G50" s="42">
        <v>10</v>
      </c>
      <c r="H50" s="42">
        <v>6</v>
      </c>
      <c r="I50" s="42"/>
      <c r="J50" s="40">
        <f t="shared" si="2"/>
        <v>24</v>
      </c>
      <c r="K50" s="40">
        <f t="shared" si="3"/>
        <v>19</v>
      </c>
      <c r="L50" s="31"/>
      <c r="M50" s="31"/>
      <c r="N50" s="41"/>
    </row>
    <row r="51" spans="1:14" ht="15.75" customHeight="1" x14ac:dyDescent="0.25">
      <c r="A51" s="42">
        <v>39</v>
      </c>
      <c r="B51" s="45">
        <v>2201180282</v>
      </c>
      <c r="C51" s="46" t="s">
        <v>111</v>
      </c>
      <c r="D51" s="42">
        <v>15</v>
      </c>
      <c r="E51" s="42">
        <v>8</v>
      </c>
      <c r="F51" s="42">
        <v>10</v>
      </c>
      <c r="G51" s="42">
        <v>10</v>
      </c>
      <c r="H51" s="42">
        <v>3</v>
      </c>
      <c r="I51" s="42"/>
      <c r="J51" s="40">
        <f t="shared" si="2"/>
        <v>23</v>
      </c>
      <c r="K51" s="40">
        <f t="shared" si="3"/>
        <v>23</v>
      </c>
      <c r="L51" s="31"/>
      <c r="M51" s="31"/>
      <c r="N51" s="41"/>
    </row>
    <row r="52" spans="1:14" ht="15.75" customHeight="1" x14ac:dyDescent="0.25">
      <c r="A52" s="42">
        <v>40</v>
      </c>
      <c r="B52" s="45">
        <v>2201180283</v>
      </c>
      <c r="C52" s="46" t="s">
        <v>112</v>
      </c>
      <c r="D52" s="42">
        <v>12</v>
      </c>
      <c r="E52" s="42">
        <v>8</v>
      </c>
      <c r="F52" s="42">
        <v>5</v>
      </c>
      <c r="G52" s="42">
        <v>7</v>
      </c>
      <c r="H52" s="42">
        <v>2</v>
      </c>
      <c r="I52" s="42"/>
      <c r="J52" s="40">
        <f t="shared" si="2"/>
        <v>20</v>
      </c>
      <c r="K52" s="40">
        <f t="shared" si="3"/>
        <v>14</v>
      </c>
      <c r="L52" s="31"/>
      <c r="M52" s="31"/>
      <c r="N52" s="41"/>
    </row>
    <row r="53" spans="1:14" ht="15.75" customHeight="1" x14ac:dyDescent="0.25">
      <c r="A53" s="42">
        <v>41</v>
      </c>
      <c r="B53" s="45">
        <v>2201180401</v>
      </c>
      <c r="C53" s="46" t="s">
        <v>113</v>
      </c>
      <c r="D53" s="42">
        <v>9</v>
      </c>
      <c r="E53" s="42">
        <v>4</v>
      </c>
      <c r="F53" s="42">
        <v>2</v>
      </c>
      <c r="G53" s="42">
        <v>4</v>
      </c>
      <c r="H53" s="42">
        <v>4</v>
      </c>
      <c r="I53" s="42"/>
      <c r="J53" s="40">
        <f t="shared" si="2"/>
        <v>13</v>
      </c>
      <c r="K53" s="40">
        <f t="shared" si="3"/>
        <v>10</v>
      </c>
      <c r="L53" s="31"/>
      <c r="M53" s="31"/>
      <c r="N53" s="41"/>
    </row>
    <row r="54" spans="1:14" ht="15.75" customHeight="1" x14ac:dyDescent="0.25">
      <c r="A54" s="42">
        <v>42</v>
      </c>
      <c r="B54" s="45">
        <v>2201180404</v>
      </c>
      <c r="C54" s="46" t="s">
        <v>114</v>
      </c>
      <c r="D54" s="42">
        <v>9</v>
      </c>
      <c r="E54" s="42">
        <v>7</v>
      </c>
      <c r="F54" s="42">
        <v>6</v>
      </c>
      <c r="G54" s="42">
        <v>5</v>
      </c>
      <c r="H54" s="42">
        <v>5</v>
      </c>
      <c r="I54" s="42"/>
      <c r="J54" s="40">
        <f t="shared" si="2"/>
        <v>16</v>
      </c>
      <c r="K54" s="40">
        <f t="shared" si="3"/>
        <v>16</v>
      </c>
      <c r="L54" s="31"/>
      <c r="M54" s="31"/>
      <c r="N54" s="41"/>
    </row>
    <row r="55" spans="1:14" ht="15.75" customHeight="1" x14ac:dyDescent="0.25">
      <c r="A55" s="42">
        <v>43</v>
      </c>
      <c r="B55" s="45">
        <v>2201180405</v>
      </c>
      <c r="C55" s="46" t="s">
        <v>115</v>
      </c>
      <c r="D55" s="42">
        <v>5</v>
      </c>
      <c r="E55" s="42">
        <v>3</v>
      </c>
      <c r="F55" s="42">
        <v>1</v>
      </c>
      <c r="G55" s="42">
        <v>6</v>
      </c>
      <c r="H55" s="42">
        <v>2</v>
      </c>
      <c r="I55" s="42"/>
      <c r="J55" s="40">
        <f t="shared" si="2"/>
        <v>8</v>
      </c>
      <c r="K55" s="40">
        <f t="shared" si="3"/>
        <v>9</v>
      </c>
      <c r="L55" s="31"/>
      <c r="M55" s="31"/>
      <c r="N55" s="41"/>
    </row>
    <row r="56" spans="1:14" ht="15.75" customHeight="1" x14ac:dyDescent="0.25">
      <c r="A56" s="42">
        <v>44</v>
      </c>
      <c r="B56" s="45">
        <v>2201180406</v>
      </c>
      <c r="C56" s="46" t="s">
        <v>116</v>
      </c>
      <c r="D56" s="42">
        <v>9</v>
      </c>
      <c r="E56" s="42">
        <v>5</v>
      </c>
      <c r="F56" s="42">
        <v>6</v>
      </c>
      <c r="G56" s="42">
        <v>7</v>
      </c>
      <c r="H56" s="42">
        <v>3</v>
      </c>
      <c r="I56" s="42"/>
      <c r="J56" s="40">
        <f t="shared" si="2"/>
        <v>14</v>
      </c>
      <c r="K56" s="40">
        <f t="shared" si="3"/>
        <v>16</v>
      </c>
      <c r="L56" s="31"/>
      <c r="M56" s="31"/>
      <c r="N56" s="41"/>
    </row>
    <row r="57" spans="1:14" ht="15.75" customHeight="1" x14ac:dyDescent="0.25">
      <c r="A57" s="42">
        <v>45</v>
      </c>
      <c r="B57" s="45">
        <v>2201180407</v>
      </c>
      <c r="C57" s="46" t="s">
        <v>117</v>
      </c>
      <c r="D57" s="42">
        <v>15</v>
      </c>
      <c r="E57" s="42">
        <v>10</v>
      </c>
      <c r="F57" s="42">
        <v>12</v>
      </c>
      <c r="G57" s="42">
        <v>10</v>
      </c>
      <c r="H57" s="42">
        <v>3</v>
      </c>
      <c r="I57" s="42"/>
      <c r="J57" s="40">
        <f t="shared" si="2"/>
        <v>25</v>
      </c>
      <c r="K57" s="40">
        <f t="shared" si="3"/>
        <v>25</v>
      </c>
      <c r="L57" s="31"/>
      <c r="M57" s="31"/>
      <c r="N57" s="41"/>
    </row>
    <row r="58" spans="1:14" ht="15.75" customHeight="1" x14ac:dyDescent="0.25">
      <c r="A58" s="42">
        <v>46</v>
      </c>
      <c r="B58" s="45">
        <v>2201180408</v>
      </c>
      <c r="C58" s="46" t="s">
        <v>118</v>
      </c>
      <c r="D58" s="42">
        <v>16</v>
      </c>
      <c r="E58" s="42">
        <v>16</v>
      </c>
      <c r="F58" s="42">
        <v>12</v>
      </c>
      <c r="G58" s="42">
        <v>10</v>
      </c>
      <c r="H58" s="42">
        <v>10</v>
      </c>
      <c r="I58" s="42"/>
      <c r="J58" s="40">
        <f t="shared" si="2"/>
        <v>32</v>
      </c>
      <c r="K58" s="40">
        <f t="shared" si="3"/>
        <v>32</v>
      </c>
      <c r="L58" s="31"/>
      <c r="M58" s="31"/>
      <c r="N58" s="41"/>
    </row>
    <row r="59" spans="1:14" ht="15.75" customHeight="1" x14ac:dyDescent="0.25">
      <c r="A59" s="42">
        <v>47</v>
      </c>
      <c r="B59" s="45">
        <v>2201180410</v>
      </c>
      <c r="C59" s="46" t="s">
        <v>119</v>
      </c>
      <c r="D59" s="42">
        <v>10</v>
      </c>
      <c r="E59" s="42">
        <v>5</v>
      </c>
      <c r="F59" s="42">
        <v>8</v>
      </c>
      <c r="G59" s="42">
        <v>10</v>
      </c>
      <c r="H59" s="42">
        <v>4</v>
      </c>
      <c r="I59" s="42"/>
      <c r="J59" s="40">
        <f t="shared" si="2"/>
        <v>15</v>
      </c>
      <c r="K59" s="40">
        <f t="shared" si="3"/>
        <v>22</v>
      </c>
      <c r="L59" s="31"/>
      <c r="M59" s="31"/>
      <c r="N59" s="41"/>
    </row>
    <row r="60" spans="1:14" ht="15.75" customHeight="1" x14ac:dyDescent="0.25">
      <c r="A60" s="42">
        <v>48</v>
      </c>
      <c r="B60" s="45">
        <v>2201180411</v>
      </c>
      <c r="C60" s="46" t="s">
        <v>120</v>
      </c>
      <c r="D60" s="42">
        <v>15</v>
      </c>
      <c r="E60" s="42">
        <v>12</v>
      </c>
      <c r="F60" s="42">
        <v>9</v>
      </c>
      <c r="G60" s="42">
        <v>10</v>
      </c>
      <c r="H60" s="42">
        <v>10</v>
      </c>
      <c r="I60" s="42"/>
      <c r="J60" s="40">
        <f t="shared" si="2"/>
        <v>27</v>
      </c>
      <c r="K60" s="40">
        <f t="shared" si="3"/>
        <v>29</v>
      </c>
      <c r="L60" s="31"/>
      <c r="M60" s="31"/>
      <c r="N60" s="41"/>
    </row>
    <row r="61" spans="1:14" ht="15.75" customHeight="1" x14ac:dyDescent="0.25">
      <c r="A61" s="42">
        <v>49</v>
      </c>
      <c r="B61" s="45">
        <v>2201180412</v>
      </c>
      <c r="C61" s="46" t="s">
        <v>121</v>
      </c>
      <c r="D61" s="42">
        <v>14</v>
      </c>
      <c r="E61" s="42">
        <v>9</v>
      </c>
      <c r="F61" s="42">
        <v>9</v>
      </c>
      <c r="G61" s="42">
        <v>5</v>
      </c>
      <c r="H61" s="42">
        <v>5</v>
      </c>
      <c r="I61" s="42"/>
      <c r="J61" s="40">
        <f t="shared" si="2"/>
        <v>23</v>
      </c>
      <c r="K61" s="40">
        <f t="shared" si="3"/>
        <v>19</v>
      </c>
      <c r="L61" s="31"/>
      <c r="M61" s="31"/>
      <c r="N61" s="41"/>
    </row>
    <row r="62" spans="1:14" ht="15.75" customHeight="1" x14ac:dyDescent="0.25">
      <c r="A62" s="42">
        <v>50</v>
      </c>
      <c r="B62" s="45">
        <v>2201180413</v>
      </c>
      <c r="C62" s="46" t="s">
        <v>122</v>
      </c>
      <c r="D62" s="42">
        <v>8</v>
      </c>
      <c r="E62" s="42">
        <v>5</v>
      </c>
      <c r="F62" s="42">
        <v>12</v>
      </c>
      <c r="G62" s="42">
        <v>8</v>
      </c>
      <c r="H62" s="42">
        <v>5</v>
      </c>
      <c r="I62" s="42"/>
      <c r="J62" s="40">
        <f t="shared" si="2"/>
        <v>13</v>
      </c>
      <c r="K62" s="40">
        <f t="shared" si="3"/>
        <v>25</v>
      </c>
      <c r="L62" s="31"/>
      <c r="M62" s="31"/>
      <c r="N62" s="48"/>
    </row>
    <row r="63" spans="1:14" ht="15.75" customHeight="1" x14ac:dyDescent="0.25">
      <c r="A63" s="42">
        <v>51</v>
      </c>
      <c r="B63" s="45">
        <v>2201180414</v>
      </c>
      <c r="C63" s="46" t="s">
        <v>123</v>
      </c>
      <c r="D63" s="42">
        <v>13</v>
      </c>
      <c r="E63" s="42">
        <v>9</v>
      </c>
      <c r="F63" s="42">
        <v>4</v>
      </c>
      <c r="G63" s="42">
        <v>10</v>
      </c>
      <c r="H63" s="42">
        <v>4</v>
      </c>
      <c r="I63" s="42"/>
      <c r="J63" s="40">
        <f t="shared" si="2"/>
        <v>22</v>
      </c>
      <c r="K63" s="40">
        <f t="shared" si="3"/>
        <v>18</v>
      </c>
      <c r="L63" s="31"/>
      <c r="M63" s="31"/>
      <c r="N63" s="48"/>
    </row>
    <row r="64" spans="1:14" ht="15.75" customHeight="1" x14ac:dyDescent="0.25">
      <c r="A64" s="42">
        <v>52</v>
      </c>
      <c r="B64" s="45">
        <v>2201180415</v>
      </c>
      <c r="C64" s="46" t="s">
        <v>124</v>
      </c>
      <c r="D64" s="42">
        <v>10</v>
      </c>
      <c r="E64" s="42">
        <v>4</v>
      </c>
      <c r="F64" s="42">
        <v>10</v>
      </c>
      <c r="G64" s="42">
        <v>8</v>
      </c>
      <c r="H64" s="42">
        <v>4</v>
      </c>
      <c r="I64" s="42"/>
      <c r="J64" s="40">
        <f t="shared" si="2"/>
        <v>14</v>
      </c>
      <c r="K64" s="40">
        <f t="shared" si="3"/>
        <v>22</v>
      </c>
      <c r="L64" s="31"/>
      <c r="M64" s="31"/>
      <c r="N64" s="41"/>
    </row>
    <row r="65" spans="1:14" ht="15.75" customHeight="1" x14ac:dyDescent="0.25">
      <c r="A65" s="42">
        <v>53</v>
      </c>
      <c r="B65" s="45">
        <v>2201180416</v>
      </c>
      <c r="C65" s="46" t="s">
        <v>125</v>
      </c>
      <c r="D65" s="42">
        <v>3</v>
      </c>
      <c r="E65" s="42">
        <v>6</v>
      </c>
      <c r="F65" s="42">
        <v>5</v>
      </c>
      <c r="G65" s="42">
        <v>5</v>
      </c>
      <c r="H65" s="42">
        <v>1</v>
      </c>
      <c r="I65" s="42"/>
      <c r="J65" s="40">
        <f t="shared" si="2"/>
        <v>9</v>
      </c>
      <c r="K65" s="40">
        <f t="shared" si="3"/>
        <v>11</v>
      </c>
      <c r="L65" s="31"/>
      <c r="M65" s="31"/>
      <c r="N65" s="41"/>
    </row>
    <row r="66" spans="1:14" ht="15.75" customHeight="1" x14ac:dyDescent="0.25">
      <c r="A66" s="42">
        <v>54</v>
      </c>
      <c r="B66" s="45">
        <v>2201180417</v>
      </c>
      <c r="C66" s="46" t="s">
        <v>126</v>
      </c>
      <c r="D66" s="42">
        <v>15</v>
      </c>
      <c r="E66" s="42">
        <v>15</v>
      </c>
      <c r="F66" s="42">
        <v>12</v>
      </c>
      <c r="G66" s="42">
        <v>10</v>
      </c>
      <c r="H66" s="42">
        <v>10</v>
      </c>
      <c r="I66" s="42"/>
      <c r="J66" s="40">
        <f t="shared" si="2"/>
        <v>30</v>
      </c>
      <c r="K66" s="40">
        <f t="shared" si="3"/>
        <v>32</v>
      </c>
      <c r="L66" s="31"/>
      <c r="M66" s="31"/>
      <c r="N66" s="41"/>
    </row>
    <row r="67" spans="1:14" ht="15.75" customHeight="1" x14ac:dyDescent="0.25">
      <c r="A67" s="42">
        <v>55</v>
      </c>
      <c r="B67" s="45">
        <v>2201180418</v>
      </c>
      <c r="C67" s="46" t="s">
        <v>127</v>
      </c>
      <c r="D67" s="42">
        <v>12</v>
      </c>
      <c r="E67" s="42">
        <v>9</v>
      </c>
      <c r="F67" s="42">
        <v>10</v>
      </c>
      <c r="G67" s="42">
        <v>8</v>
      </c>
      <c r="H67" s="42">
        <v>10</v>
      </c>
      <c r="I67" s="42"/>
      <c r="J67" s="40">
        <f t="shared" si="2"/>
        <v>21</v>
      </c>
      <c r="K67" s="40">
        <f t="shared" si="3"/>
        <v>28</v>
      </c>
      <c r="L67" s="31"/>
      <c r="M67" s="31"/>
      <c r="N67" s="48"/>
    </row>
    <row r="68" spans="1:14" ht="15.75" customHeight="1" x14ac:dyDescent="0.25">
      <c r="A68" s="42">
        <v>56</v>
      </c>
      <c r="B68" s="45">
        <v>2201180419</v>
      </c>
      <c r="C68" s="46" t="s">
        <v>128</v>
      </c>
      <c r="D68" s="42">
        <v>15</v>
      </c>
      <c r="E68" s="42">
        <v>13</v>
      </c>
      <c r="F68" s="42">
        <v>8</v>
      </c>
      <c r="G68" s="42">
        <v>10</v>
      </c>
      <c r="H68" s="42">
        <v>10</v>
      </c>
      <c r="I68" s="42"/>
      <c r="J68" s="40">
        <f t="shared" si="2"/>
        <v>28</v>
      </c>
      <c r="K68" s="40">
        <f t="shared" si="3"/>
        <v>28</v>
      </c>
      <c r="L68" s="31"/>
      <c r="M68" s="31"/>
      <c r="N68" s="31"/>
    </row>
    <row r="69" spans="1:14" ht="15.75" customHeight="1" x14ac:dyDescent="0.25">
      <c r="A69" s="42">
        <v>57</v>
      </c>
      <c r="B69" s="45">
        <v>23510250259</v>
      </c>
      <c r="C69" s="46" t="s">
        <v>129</v>
      </c>
      <c r="D69" s="42">
        <v>10</v>
      </c>
      <c r="E69" s="42">
        <v>5</v>
      </c>
      <c r="F69" s="42">
        <v>0</v>
      </c>
      <c r="G69" s="42">
        <v>0</v>
      </c>
      <c r="H69" s="42">
        <v>0</v>
      </c>
      <c r="I69" s="42"/>
      <c r="J69" s="40">
        <f t="shared" si="2"/>
        <v>15</v>
      </c>
      <c r="K69" s="40">
        <f t="shared" si="3"/>
        <v>0</v>
      </c>
      <c r="L69" s="31"/>
      <c r="M69" s="31"/>
      <c r="N69" s="31"/>
    </row>
    <row r="70" spans="1:14" ht="15.75" customHeight="1" x14ac:dyDescent="0.25">
      <c r="A70" s="42">
        <v>58</v>
      </c>
      <c r="B70" s="45">
        <v>23510250260</v>
      </c>
      <c r="C70" s="46" t="s">
        <v>130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/>
      <c r="J70" s="40">
        <f t="shared" si="2"/>
        <v>0</v>
      </c>
      <c r="K70" s="40">
        <f t="shared" si="3"/>
        <v>0</v>
      </c>
      <c r="L70" s="31"/>
      <c r="M70" s="31"/>
      <c r="N70" s="31"/>
    </row>
    <row r="71" spans="1:14" ht="15.75" customHeight="1" x14ac:dyDescent="0.25">
      <c r="A71" s="42">
        <v>59</v>
      </c>
      <c r="B71" s="45">
        <v>23510250261</v>
      </c>
      <c r="C71" s="46" t="s">
        <v>131</v>
      </c>
      <c r="D71" s="42">
        <v>14</v>
      </c>
      <c r="E71" s="42">
        <v>10</v>
      </c>
      <c r="F71" s="42">
        <v>6</v>
      </c>
      <c r="G71" s="42">
        <v>3</v>
      </c>
      <c r="H71" s="42">
        <v>2</v>
      </c>
      <c r="I71" s="42"/>
      <c r="J71" s="40">
        <f t="shared" si="2"/>
        <v>24</v>
      </c>
      <c r="K71" s="40">
        <f t="shared" si="3"/>
        <v>11</v>
      </c>
      <c r="L71" s="31"/>
      <c r="M71" s="31"/>
      <c r="N71" s="31"/>
    </row>
    <row r="72" spans="1:14" ht="15.75" customHeight="1" x14ac:dyDescent="0.25">
      <c r="A72" s="42">
        <v>60</v>
      </c>
      <c r="B72" s="45">
        <v>23510250262</v>
      </c>
      <c r="C72" s="46" t="s">
        <v>132</v>
      </c>
      <c r="D72" s="42">
        <v>13</v>
      </c>
      <c r="E72" s="42">
        <v>9</v>
      </c>
      <c r="F72" s="42">
        <v>6</v>
      </c>
      <c r="G72" s="42">
        <v>3</v>
      </c>
      <c r="H72" s="42">
        <v>3</v>
      </c>
      <c r="I72" s="42"/>
      <c r="J72" s="40">
        <f t="shared" si="2"/>
        <v>22</v>
      </c>
      <c r="K72" s="40">
        <f t="shared" si="3"/>
        <v>12</v>
      </c>
      <c r="L72" s="31"/>
      <c r="M72" s="31"/>
      <c r="N72" s="31"/>
    </row>
    <row r="73" spans="1:14" ht="15.75" customHeight="1" x14ac:dyDescent="0.25">
      <c r="A73" s="42">
        <v>61</v>
      </c>
      <c r="B73" s="45">
        <v>23510250263</v>
      </c>
      <c r="C73" s="46" t="s">
        <v>133</v>
      </c>
      <c r="D73" s="42">
        <v>7</v>
      </c>
      <c r="E73" s="42">
        <v>3</v>
      </c>
      <c r="F73" s="42">
        <v>2</v>
      </c>
      <c r="G73" s="42">
        <v>2</v>
      </c>
      <c r="H73" s="42">
        <v>3</v>
      </c>
      <c r="I73" s="42"/>
      <c r="J73" s="40">
        <f t="shared" si="2"/>
        <v>10</v>
      </c>
      <c r="K73" s="40">
        <f t="shared" si="3"/>
        <v>7</v>
      </c>
      <c r="L73" s="31"/>
      <c r="M73" s="31"/>
      <c r="N73" s="31"/>
    </row>
    <row r="74" spans="1:14" ht="15.75" customHeight="1" x14ac:dyDescent="0.25">
      <c r="A74" s="42">
        <v>62</v>
      </c>
      <c r="B74" s="45">
        <v>23510250264</v>
      </c>
      <c r="C74" s="46" t="s">
        <v>134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/>
      <c r="J74" s="40">
        <f t="shared" si="2"/>
        <v>0</v>
      </c>
      <c r="K74" s="40">
        <f t="shared" si="3"/>
        <v>0</v>
      </c>
      <c r="L74" s="31"/>
      <c r="M74" s="31"/>
      <c r="N74" s="31"/>
    </row>
    <row r="75" spans="1:14" ht="15.75" customHeight="1" x14ac:dyDescent="0.25">
      <c r="A75" s="42">
        <v>63</v>
      </c>
      <c r="B75" s="45"/>
      <c r="C75" s="46"/>
      <c r="D75" s="42"/>
      <c r="E75" s="42"/>
      <c r="F75" s="42"/>
      <c r="G75" s="42"/>
      <c r="H75" s="42"/>
      <c r="I75" s="42"/>
      <c r="J75" s="40">
        <f t="shared" si="2"/>
        <v>0</v>
      </c>
      <c r="K75" s="40">
        <f t="shared" si="3"/>
        <v>0</v>
      </c>
      <c r="L75" s="31"/>
      <c r="M75" s="31"/>
      <c r="N75" s="31"/>
    </row>
    <row r="76" spans="1:14" ht="15.75" customHeight="1" x14ac:dyDescent="0.25">
      <c r="A76" s="42">
        <v>64</v>
      </c>
      <c r="B76" s="45"/>
      <c r="C76" s="46"/>
      <c r="D76" s="42"/>
      <c r="E76" s="42"/>
      <c r="F76" s="42"/>
      <c r="G76" s="42"/>
      <c r="H76" s="42"/>
      <c r="I76" s="42"/>
      <c r="J76" s="40">
        <f t="shared" si="2"/>
        <v>0</v>
      </c>
      <c r="K76" s="40">
        <f t="shared" si="3"/>
        <v>0</v>
      </c>
      <c r="L76" s="31"/>
      <c r="M76" s="31"/>
      <c r="N76" s="31"/>
    </row>
    <row r="77" spans="1:14" ht="15.75" customHeight="1" x14ac:dyDescent="0.25">
      <c r="A77" s="42">
        <v>65</v>
      </c>
      <c r="B77" s="45"/>
      <c r="C77" s="46"/>
      <c r="D77" s="49"/>
      <c r="E77" s="49"/>
      <c r="F77" s="42"/>
      <c r="G77" s="42"/>
      <c r="H77" s="42"/>
      <c r="I77" s="42"/>
      <c r="J77" s="40">
        <f t="shared" ref="J77:J89" si="4">SUM(D77:E77)</f>
        <v>0</v>
      </c>
      <c r="K77" s="40">
        <f t="shared" ref="K77:K89" si="5">SUM(F77:H77)</f>
        <v>0</v>
      </c>
      <c r="L77" s="31"/>
      <c r="M77" s="31"/>
      <c r="N77" s="31"/>
    </row>
    <row r="78" spans="1:14" ht="15.75" customHeight="1" x14ac:dyDescent="0.25">
      <c r="A78" s="42">
        <v>66</v>
      </c>
      <c r="B78" s="45"/>
      <c r="C78" s="46"/>
      <c r="D78" s="49"/>
      <c r="E78" s="49"/>
      <c r="F78" s="49"/>
      <c r="G78" s="49"/>
      <c r="H78" s="49"/>
      <c r="I78" s="42"/>
      <c r="J78" s="40">
        <f t="shared" si="4"/>
        <v>0</v>
      </c>
      <c r="K78" s="40">
        <f t="shared" si="5"/>
        <v>0</v>
      </c>
      <c r="L78" s="31"/>
      <c r="M78" s="31"/>
      <c r="N78" s="31"/>
    </row>
    <row r="79" spans="1:14" ht="15.75" customHeight="1" x14ac:dyDescent="0.25">
      <c r="A79" s="42">
        <v>67</v>
      </c>
      <c r="B79" s="45"/>
      <c r="C79" s="46"/>
      <c r="D79" s="42"/>
      <c r="E79" s="42"/>
      <c r="F79" s="42"/>
      <c r="G79" s="42"/>
      <c r="H79" s="42"/>
      <c r="I79" s="42"/>
      <c r="J79" s="40">
        <f t="shared" si="4"/>
        <v>0</v>
      </c>
      <c r="K79" s="40">
        <f t="shared" si="5"/>
        <v>0</v>
      </c>
      <c r="L79" s="31"/>
      <c r="M79" s="31"/>
      <c r="N79" s="31"/>
    </row>
    <row r="80" spans="1:14" ht="15.75" customHeight="1" x14ac:dyDescent="0.25">
      <c r="A80" s="42">
        <v>68</v>
      </c>
      <c r="B80" s="45"/>
      <c r="C80" s="46"/>
      <c r="D80" s="42"/>
      <c r="E80" s="42"/>
      <c r="F80" s="42"/>
      <c r="G80" s="42"/>
      <c r="H80" s="42"/>
      <c r="I80" s="42"/>
      <c r="J80" s="40">
        <f t="shared" si="4"/>
        <v>0</v>
      </c>
      <c r="K80" s="40">
        <f t="shared" si="5"/>
        <v>0</v>
      </c>
      <c r="L80" s="31"/>
      <c r="M80" s="31"/>
      <c r="N80" s="31"/>
    </row>
    <row r="81" spans="1:14" ht="15.75" customHeight="1" x14ac:dyDescent="0.25">
      <c r="A81" s="42">
        <v>69</v>
      </c>
      <c r="B81" s="45"/>
      <c r="C81" s="46"/>
      <c r="D81" s="42"/>
      <c r="E81" s="42"/>
      <c r="F81" s="42"/>
      <c r="G81" s="42"/>
      <c r="H81" s="42"/>
      <c r="I81" s="42"/>
      <c r="J81" s="40">
        <f t="shared" si="4"/>
        <v>0</v>
      </c>
      <c r="K81" s="40">
        <f t="shared" si="5"/>
        <v>0</v>
      </c>
      <c r="L81" s="31"/>
      <c r="M81" s="31"/>
      <c r="N81" s="31"/>
    </row>
    <row r="82" spans="1:14" ht="15.75" customHeight="1" x14ac:dyDescent="0.25">
      <c r="A82" s="42">
        <v>70</v>
      </c>
      <c r="B82" s="50"/>
      <c r="C82" s="50"/>
      <c r="D82" s="42"/>
      <c r="E82" s="42"/>
      <c r="F82" s="42"/>
      <c r="G82" s="42"/>
      <c r="H82" s="42"/>
      <c r="I82" s="42"/>
      <c r="J82" s="40">
        <f t="shared" si="4"/>
        <v>0</v>
      </c>
      <c r="K82" s="40">
        <f t="shared" si="5"/>
        <v>0</v>
      </c>
      <c r="L82" s="31"/>
      <c r="M82" s="31"/>
      <c r="N82" s="31"/>
    </row>
    <row r="83" spans="1:14" ht="15.75" customHeight="1" x14ac:dyDescent="0.25">
      <c r="A83" s="42">
        <v>71</v>
      </c>
      <c r="B83" s="50"/>
      <c r="C83" s="50"/>
      <c r="D83" s="42"/>
      <c r="E83" s="42"/>
      <c r="F83" s="42"/>
      <c r="G83" s="42"/>
      <c r="H83" s="42"/>
      <c r="I83" s="42"/>
      <c r="J83" s="40">
        <f t="shared" si="4"/>
        <v>0</v>
      </c>
      <c r="K83" s="40">
        <f t="shared" si="5"/>
        <v>0</v>
      </c>
      <c r="L83" s="31"/>
      <c r="M83" s="31"/>
      <c r="N83" s="31"/>
    </row>
    <row r="84" spans="1:14" ht="15.75" customHeight="1" x14ac:dyDescent="0.25">
      <c r="A84" s="42">
        <v>72</v>
      </c>
      <c r="B84" s="50"/>
      <c r="C84" s="50"/>
      <c r="D84" s="42"/>
      <c r="E84" s="42"/>
      <c r="F84" s="42"/>
      <c r="G84" s="42"/>
      <c r="H84" s="42"/>
      <c r="I84" s="42"/>
      <c r="J84" s="40">
        <f t="shared" si="4"/>
        <v>0</v>
      </c>
      <c r="K84" s="40">
        <f t="shared" si="5"/>
        <v>0</v>
      </c>
      <c r="L84" s="31"/>
      <c r="M84" s="31"/>
      <c r="N84" s="31"/>
    </row>
    <row r="85" spans="1:14" ht="15.75" customHeight="1" x14ac:dyDescent="0.25">
      <c r="A85" s="42">
        <v>73</v>
      </c>
      <c r="B85" s="50"/>
      <c r="C85" s="50"/>
      <c r="D85" s="42"/>
      <c r="E85" s="42"/>
      <c r="F85" s="42"/>
      <c r="G85" s="42"/>
      <c r="H85" s="42"/>
      <c r="I85" s="42"/>
      <c r="J85" s="40">
        <f t="shared" si="4"/>
        <v>0</v>
      </c>
      <c r="K85" s="40">
        <f t="shared" si="5"/>
        <v>0</v>
      </c>
      <c r="L85" s="31"/>
      <c r="M85" s="31"/>
      <c r="N85" s="31"/>
    </row>
    <row r="86" spans="1:14" ht="15.75" customHeight="1" x14ac:dyDescent="0.25">
      <c r="A86" s="42">
        <v>74</v>
      </c>
      <c r="B86" s="50"/>
      <c r="C86" s="50"/>
      <c r="D86" s="42"/>
      <c r="E86" s="42"/>
      <c r="F86" s="42"/>
      <c r="G86" s="42"/>
      <c r="H86" s="42"/>
      <c r="I86" s="42"/>
      <c r="J86" s="40">
        <f t="shared" si="4"/>
        <v>0</v>
      </c>
      <c r="K86" s="40">
        <f t="shared" si="5"/>
        <v>0</v>
      </c>
      <c r="L86" s="31"/>
      <c r="M86" s="31"/>
      <c r="N86" s="31"/>
    </row>
    <row r="87" spans="1:14" ht="15.75" customHeight="1" x14ac:dyDescent="0.25">
      <c r="A87" s="42">
        <v>75</v>
      </c>
      <c r="B87" s="50"/>
      <c r="C87" s="50"/>
      <c r="D87" s="42"/>
      <c r="E87" s="42"/>
      <c r="F87" s="42"/>
      <c r="G87" s="42"/>
      <c r="H87" s="42"/>
      <c r="I87" s="42"/>
      <c r="J87" s="40">
        <f t="shared" si="4"/>
        <v>0</v>
      </c>
      <c r="K87" s="40">
        <f t="shared" si="5"/>
        <v>0</v>
      </c>
      <c r="L87" s="31"/>
      <c r="M87" s="31"/>
      <c r="N87" s="31"/>
    </row>
    <row r="88" spans="1:14" ht="15.75" customHeight="1" x14ac:dyDescent="0.25">
      <c r="A88" s="42">
        <v>76</v>
      </c>
      <c r="B88" s="50"/>
      <c r="C88" s="50"/>
      <c r="D88" s="42"/>
      <c r="E88" s="42"/>
      <c r="F88" s="42"/>
      <c r="G88" s="42"/>
      <c r="H88" s="42"/>
      <c r="I88" s="42"/>
      <c r="J88" s="40">
        <f t="shared" si="4"/>
        <v>0</v>
      </c>
      <c r="K88" s="40">
        <f t="shared" si="5"/>
        <v>0</v>
      </c>
      <c r="L88" s="31"/>
      <c r="M88" s="31"/>
      <c r="N88" s="31"/>
    </row>
    <row r="89" spans="1:14" ht="15.75" customHeight="1" x14ac:dyDescent="0.25">
      <c r="A89" s="42">
        <v>77</v>
      </c>
      <c r="B89" s="50"/>
      <c r="C89" s="50"/>
      <c r="D89" s="42"/>
      <c r="E89" s="42"/>
      <c r="F89" s="42"/>
      <c r="G89" s="42"/>
      <c r="H89" s="42"/>
      <c r="I89" s="42"/>
      <c r="J89" s="40">
        <f t="shared" si="4"/>
        <v>0</v>
      </c>
      <c r="K89" s="40">
        <f t="shared" si="5"/>
        <v>0</v>
      </c>
      <c r="L89" s="31"/>
      <c r="M89" s="31"/>
      <c r="N89" s="31"/>
    </row>
    <row r="90" spans="1:14" ht="15.75" customHeight="1" x14ac:dyDescent="0.25">
      <c r="A90" s="42">
        <v>78</v>
      </c>
      <c r="B90" s="50"/>
      <c r="C90" s="50"/>
      <c r="D90" s="42"/>
      <c r="E90" s="42"/>
      <c r="F90" s="42"/>
      <c r="G90" s="42"/>
      <c r="H90" s="42"/>
      <c r="I90" s="42"/>
      <c r="J90" s="40">
        <f t="shared" ref="J90:J94" si="6">SUM(D90:F90)</f>
        <v>0</v>
      </c>
      <c r="K90" s="40">
        <f t="shared" ref="K90:K93" si="7">SUM(G90:I90)</f>
        <v>0</v>
      </c>
      <c r="L90" s="31"/>
      <c r="M90" s="31"/>
      <c r="N90" s="31"/>
    </row>
    <row r="91" spans="1:14" ht="15.75" customHeight="1" x14ac:dyDescent="0.25">
      <c r="A91" s="42">
        <v>79</v>
      </c>
      <c r="B91" s="50"/>
      <c r="C91" s="50"/>
      <c r="D91" s="42"/>
      <c r="E91" s="42"/>
      <c r="F91" s="42"/>
      <c r="G91" s="42"/>
      <c r="H91" s="42"/>
      <c r="I91" s="42"/>
      <c r="J91" s="40">
        <f t="shared" si="6"/>
        <v>0</v>
      </c>
      <c r="K91" s="40">
        <f t="shared" si="7"/>
        <v>0</v>
      </c>
      <c r="L91" s="31"/>
      <c r="M91" s="31"/>
      <c r="N91" s="31"/>
    </row>
    <row r="92" spans="1:14" ht="15.75" customHeight="1" x14ac:dyDescent="0.25">
      <c r="A92" s="42">
        <v>80</v>
      </c>
      <c r="B92" s="50"/>
      <c r="C92" s="50"/>
      <c r="D92" s="42"/>
      <c r="E92" s="42"/>
      <c r="F92" s="42"/>
      <c r="G92" s="42"/>
      <c r="H92" s="42"/>
      <c r="I92" s="42"/>
      <c r="J92" s="40">
        <f t="shared" si="6"/>
        <v>0</v>
      </c>
      <c r="K92" s="40">
        <f t="shared" si="7"/>
        <v>0</v>
      </c>
      <c r="L92" s="31"/>
      <c r="M92" s="31"/>
      <c r="N92" s="31"/>
    </row>
    <row r="93" spans="1:14" ht="15.75" customHeight="1" x14ac:dyDescent="0.25">
      <c r="A93" s="42">
        <v>81</v>
      </c>
      <c r="B93" s="50"/>
      <c r="C93" s="50"/>
      <c r="D93" s="42"/>
      <c r="E93" s="42"/>
      <c r="F93" s="42"/>
      <c r="G93" s="42"/>
      <c r="H93" s="42"/>
      <c r="I93" s="42"/>
      <c r="J93" s="40">
        <f t="shared" si="6"/>
        <v>0</v>
      </c>
      <c r="K93" s="40">
        <f t="shared" si="7"/>
        <v>0</v>
      </c>
      <c r="L93" s="31"/>
      <c r="M93" s="31"/>
      <c r="N93" s="31"/>
    </row>
    <row r="94" spans="1:14" ht="15.75" customHeight="1" x14ac:dyDescent="0.25">
      <c r="A94" s="42">
        <v>82</v>
      </c>
      <c r="B94" s="50"/>
      <c r="C94" s="50"/>
      <c r="D94" s="42"/>
      <c r="E94" s="42"/>
      <c r="F94" s="42"/>
      <c r="G94" s="42"/>
      <c r="H94" s="42"/>
      <c r="I94" s="42"/>
      <c r="J94" s="40">
        <f t="shared" si="6"/>
        <v>0</v>
      </c>
      <c r="K94" s="40">
        <f>G94+H94+I94</f>
        <v>0</v>
      </c>
      <c r="L94" s="31"/>
      <c r="M94" s="31"/>
      <c r="N94" s="31"/>
    </row>
    <row r="95" spans="1:14" ht="51.75" customHeight="1" x14ac:dyDescent="0.25">
      <c r="A95" s="270" t="s">
        <v>135</v>
      </c>
      <c r="B95" s="211"/>
      <c r="C95" s="51">
        <v>0.4</v>
      </c>
      <c r="D95" s="271">
        <f t="shared" ref="D95:I95" si="8">$C$95*D12</f>
        <v>6.4</v>
      </c>
      <c r="E95" s="271">
        <f t="shared" si="8"/>
        <v>6.4</v>
      </c>
      <c r="F95" s="271">
        <f t="shared" si="8"/>
        <v>4.8000000000000007</v>
      </c>
      <c r="G95" s="271">
        <f t="shared" si="8"/>
        <v>4</v>
      </c>
      <c r="H95" s="271">
        <f t="shared" si="8"/>
        <v>4</v>
      </c>
      <c r="I95" s="271">
        <f t="shared" si="8"/>
        <v>0</v>
      </c>
      <c r="J95" s="273"/>
      <c r="K95" s="273"/>
      <c r="L95" s="31"/>
      <c r="M95" s="31"/>
      <c r="N95" s="31"/>
    </row>
    <row r="96" spans="1:14" ht="15.75" customHeight="1" x14ac:dyDescent="0.25">
      <c r="A96" s="261" t="s">
        <v>136</v>
      </c>
      <c r="B96" s="211"/>
      <c r="C96" s="231"/>
      <c r="D96" s="215"/>
      <c r="E96" s="215"/>
      <c r="F96" s="215"/>
      <c r="G96" s="215"/>
      <c r="H96" s="215"/>
      <c r="I96" s="215"/>
      <c r="J96" s="215"/>
      <c r="K96" s="215"/>
      <c r="L96" s="31"/>
      <c r="M96" s="31"/>
      <c r="N96" s="31"/>
    </row>
    <row r="97" spans="1:14" ht="15.75" customHeight="1" x14ac:dyDescent="0.25">
      <c r="A97" s="211"/>
      <c r="B97" s="211"/>
      <c r="C97" s="231"/>
      <c r="D97" s="262">
        <f t="shared" ref="D97:E97" si="9">COUNTIF(D13:D94,"&gt;=" &amp;D95)</f>
        <v>56</v>
      </c>
      <c r="E97" s="262">
        <f t="shared" si="9"/>
        <v>38</v>
      </c>
      <c r="F97" s="262">
        <f t="shared" ref="F97:G97" si="10">COUNTIF(F16:F94,"&gt;=" &amp;F95)</f>
        <v>45</v>
      </c>
      <c r="G97" s="262">
        <f t="shared" si="10"/>
        <v>53</v>
      </c>
      <c r="H97" s="262">
        <f t="shared" ref="H97:I97" si="11">COUNTIF(H13:H94,"&gt;=" &amp;H95)</f>
        <v>42</v>
      </c>
      <c r="I97" s="262">
        <f t="shared" si="11"/>
        <v>0</v>
      </c>
      <c r="J97" s="272"/>
      <c r="K97" s="272"/>
      <c r="L97" s="31"/>
      <c r="M97" s="31"/>
      <c r="N97" s="31"/>
    </row>
    <row r="98" spans="1:14" ht="15.75" customHeight="1" x14ac:dyDescent="0.25">
      <c r="A98" s="31"/>
      <c r="B98" s="31"/>
      <c r="C98" s="31"/>
      <c r="D98" s="215"/>
      <c r="E98" s="215"/>
      <c r="F98" s="215"/>
      <c r="G98" s="215"/>
      <c r="H98" s="215"/>
      <c r="I98" s="215"/>
      <c r="J98" s="215"/>
      <c r="K98" s="215"/>
      <c r="L98" s="31"/>
      <c r="M98" s="31"/>
      <c r="N98" s="31"/>
    </row>
    <row r="99" spans="1:14" ht="15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 spans="1:14" ht="15.7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</row>
    <row r="101" spans="1:14" ht="15.7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</row>
    <row r="102" spans="1:14" ht="43.5" customHeight="1" x14ac:dyDescent="0.25">
      <c r="A102" s="31"/>
      <c r="B102" s="235" t="s">
        <v>137</v>
      </c>
      <c r="C102" s="222"/>
      <c r="D102" s="222"/>
      <c r="E102" s="220"/>
      <c r="F102" s="236" t="s">
        <v>138</v>
      </c>
      <c r="G102" s="220"/>
      <c r="H102" s="52"/>
      <c r="I102" s="237" t="s">
        <v>139</v>
      </c>
      <c r="J102" s="220"/>
      <c r="K102" s="31"/>
      <c r="L102" s="31"/>
      <c r="M102" s="31"/>
      <c r="N102" s="31"/>
    </row>
    <row r="103" spans="1:14" ht="15" customHeight="1" x14ac:dyDescent="0.25">
      <c r="A103" s="31"/>
      <c r="B103" s="238" t="s">
        <v>140</v>
      </c>
      <c r="C103" s="241" t="s">
        <v>141</v>
      </c>
      <c r="D103" s="222"/>
      <c r="E103" s="53">
        <v>50</v>
      </c>
      <c r="F103" s="242">
        <v>62</v>
      </c>
      <c r="G103" s="229"/>
      <c r="H103" s="54">
        <f>E103*F103/100</f>
        <v>31</v>
      </c>
      <c r="I103" s="243">
        <v>1</v>
      </c>
      <c r="J103" s="244"/>
      <c r="K103" s="31"/>
      <c r="L103" s="31"/>
      <c r="M103" s="31"/>
      <c r="N103" s="31"/>
    </row>
    <row r="104" spans="1:14" ht="15.75" customHeight="1" x14ac:dyDescent="0.25">
      <c r="A104" s="31"/>
      <c r="B104" s="239"/>
      <c r="C104" s="241" t="s">
        <v>141</v>
      </c>
      <c r="D104" s="222"/>
      <c r="E104" s="53">
        <v>60</v>
      </c>
      <c r="F104" s="230"/>
      <c r="G104" s="231"/>
      <c r="H104" s="55">
        <f>E104*F103/100</f>
        <v>37.200000000000003</v>
      </c>
      <c r="I104" s="245">
        <v>2</v>
      </c>
      <c r="J104" s="246"/>
      <c r="K104" s="31"/>
      <c r="L104" s="31"/>
      <c r="M104" s="31"/>
      <c r="N104" s="31"/>
    </row>
    <row r="105" spans="1:14" ht="15.75" customHeight="1" x14ac:dyDescent="0.25">
      <c r="A105" s="31"/>
      <c r="B105" s="240"/>
      <c r="C105" s="241" t="s">
        <v>141</v>
      </c>
      <c r="D105" s="222"/>
      <c r="E105" s="56">
        <v>70</v>
      </c>
      <c r="F105" s="232"/>
      <c r="G105" s="233"/>
      <c r="H105" s="57">
        <f>E105*F103/100</f>
        <v>43.4</v>
      </c>
      <c r="I105" s="247">
        <v>3</v>
      </c>
      <c r="J105" s="248"/>
      <c r="K105" s="31"/>
      <c r="L105" s="31"/>
      <c r="M105" s="31"/>
      <c r="N105" s="31"/>
    </row>
    <row r="106" spans="1:14" ht="15.75" customHeight="1" x14ac:dyDescent="0.25">
      <c r="A106" s="31"/>
      <c r="B106" s="58"/>
      <c r="C106" s="58"/>
      <c r="D106" s="58"/>
      <c r="E106" s="58"/>
      <c r="F106" s="58"/>
      <c r="G106" s="58"/>
      <c r="H106" s="234"/>
      <c r="I106" s="218"/>
      <c r="J106" s="218"/>
      <c r="K106" s="31"/>
      <c r="L106" s="31"/>
      <c r="M106" s="31"/>
      <c r="N106" s="31"/>
    </row>
    <row r="107" spans="1:14" ht="15.75" customHeight="1" x14ac:dyDescent="0.25">
      <c r="A107" s="31"/>
      <c r="B107" s="58"/>
      <c r="C107" s="58"/>
      <c r="D107" s="58"/>
      <c r="E107" s="58"/>
      <c r="F107" s="58"/>
      <c r="G107" s="58"/>
      <c r="H107" s="234"/>
      <c r="I107" s="218"/>
      <c r="J107" s="218"/>
      <c r="K107" s="31"/>
      <c r="L107" s="31"/>
      <c r="M107" s="31"/>
      <c r="N107" s="31"/>
    </row>
    <row r="108" spans="1:14" ht="24" customHeight="1" x14ac:dyDescent="0.25">
      <c r="A108" s="31"/>
      <c r="B108" s="58"/>
      <c r="C108" s="59" t="s">
        <v>142</v>
      </c>
      <c r="D108" s="60" t="s">
        <v>9</v>
      </c>
      <c r="E108" s="60" t="s">
        <v>11</v>
      </c>
      <c r="F108" s="60" t="s">
        <v>13</v>
      </c>
      <c r="G108" s="60" t="s">
        <v>15</v>
      </c>
      <c r="H108" s="60" t="s">
        <v>143</v>
      </c>
      <c r="I108" s="61" t="s">
        <v>144</v>
      </c>
      <c r="J108" s="58"/>
      <c r="K108" s="31"/>
      <c r="L108" s="31"/>
      <c r="M108" s="31"/>
      <c r="N108" s="31"/>
    </row>
    <row r="109" spans="1:14" ht="23.25" customHeight="1" x14ac:dyDescent="0.25">
      <c r="A109" s="31"/>
      <c r="B109" s="58"/>
      <c r="C109" s="62" t="s">
        <v>145</v>
      </c>
      <c r="D109" s="63">
        <f t="shared" ref="D109:I109" si="12">IF(D97&gt;=$H105,3,IF(D97&gt;=$H104,2,IF(D97&gt;=$H103,1,0)))</f>
        <v>3</v>
      </c>
      <c r="E109" s="63">
        <f t="shared" si="12"/>
        <v>2</v>
      </c>
      <c r="F109" s="63">
        <f t="shared" si="12"/>
        <v>3</v>
      </c>
      <c r="G109" s="63">
        <f t="shared" si="12"/>
        <v>3</v>
      </c>
      <c r="H109" s="63">
        <f t="shared" si="12"/>
        <v>2</v>
      </c>
      <c r="I109" s="63">
        <f t="shared" si="12"/>
        <v>0</v>
      </c>
      <c r="J109" s="58"/>
      <c r="K109" s="31"/>
      <c r="L109" s="31"/>
      <c r="M109" s="31"/>
      <c r="N109" s="31"/>
    </row>
    <row r="110" spans="1:14" ht="15.7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</row>
    <row r="111" spans="1:14" ht="15.7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 spans="1:14" ht="15.7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 spans="1:14" ht="15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 spans="1:14" ht="24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 spans="1:14" ht="15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 spans="1:14" ht="15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 spans="1:14" ht="15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 spans="1:14" ht="15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 spans="1:14" ht="15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4" ht="15.75" customHeight="1" x14ac:dyDescent="0.25">
      <c r="A120" s="31"/>
      <c r="B120" s="31"/>
      <c r="C120" s="31"/>
      <c r="D120" s="31"/>
      <c r="E120" s="31"/>
      <c r="F120" s="31" t="s">
        <v>146</v>
      </c>
      <c r="G120" s="31"/>
      <c r="H120" s="31"/>
      <c r="I120" s="31"/>
      <c r="J120" s="31"/>
      <c r="K120" s="31"/>
      <c r="L120" s="31"/>
      <c r="M120" s="31"/>
      <c r="N120" s="31"/>
    </row>
    <row r="121" spans="1:14" ht="15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1:14" ht="15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4" ht="15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4" ht="15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1:14" ht="15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1:14" ht="15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1:14" ht="15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1:14" ht="15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1:14" ht="15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1:14" ht="15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1:14" ht="15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1:14" ht="15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1:14" ht="15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1:14" ht="15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1:14" ht="15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1:14" ht="15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1:14" ht="15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 spans="1:14" ht="15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 spans="1:14" ht="15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1:14" ht="15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 spans="1:14" ht="15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1:14" ht="15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1:14" ht="15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1:14" ht="15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1:14" ht="15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 spans="1:14" ht="15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 spans="1:14" ht="15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 spans="1:14" ht="15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1:14" ht="15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 spans="1:14" ht="15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 spans="1:14" ht="15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  <row r="152" spans="1:14" ht="15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</row>
    <row r="153" spans="1:14" ht="15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</row>
    <row r="154" spans="1:14" ht="15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</row>
    <row r="155" spans="1:14" ht="15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 spans="1:14" ht="15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 spans="1:14" ht="15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 spans="1:14" ht="15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</row>
    <row r="159" spans="1:14" ht="15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 spans="1:14" ht="15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 spans="1:14" ht="15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 spans="1:14" ht="15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</row>
    <row r="163" spans="1:14" ht="15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</row>
    <row r="164" spans="1:14" ht="15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</row>
    <row r="165" spans="1:14" ht="15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</row>
    <row r="166" spans="1:14" ht="15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</row>
    <row r="167" spans="1:14" ht="15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</row>
    <row r="168" spans="1:14" ht="15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</row>
    <row r="169" spans="1:14" ht="15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</row>
    <row r="170" spans="1:14" ht="15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</row>
    <row r="171" spans="1:14" ht="15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</row>
    <row r="172" spans="1:14" ht="15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</row>
    <row r="173" spans="1:14" ht="15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</row>
    <row r="174" spans="1:14" ht="15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</row>
    <row r="175" spans="1:14" ht="15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</row>
    <row r="176" spans="1:14" ht="15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</row>
    <row r="177" spans="1:14" ht="15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</row>
    <row r="178" spans="1:14" ht="15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</row>
    <row r="179" spans="1:14" ht="15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</row>
    <row r="180" spans="1:14" ht="15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</row>
    <row r="181" spans="1:14" ht="15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</row>
    <row r="182" spans="1:14" ht="15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</row>
    <row r="183" spans="1:14" ht="15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</row>
    <row r="184" spans="1:14" ht="15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</row>
    <row r="185" spans="1:14" ht="15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</row>
    <row r="186" spans="1:14" ht="15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</row>
    <row r="187" spans="1:14" ht="15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</row>
    <row r="188" spans="1:14" ht="15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</row>
    <row r="189" spans="1:14" ht="15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</row>
    <row r="190" spans="1:14" ht="15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</row>
    <row r="191" spans="1:14" ht="15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</row>
    <row r="192" spans="1:14" ht="15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</row>
    <row r="193" spans="1:14" ht="15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</row>
    <row r="194" spans="1:14" ht="15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</row>
    <row r="195" spans="1:14" ht="15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</row>
    <row r="196" spans="1:14" ht="15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</row>
    <row r="197" spans="1:14" ht="15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</row>
    <row r="198" spans="1:14" ht="15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</row>
    <row r="199" spans="1:14" ht="15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</row>
    <row r="200" spans="1:14" ht="15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</row>
    <row r="201" spans="1:14" ht="15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</row>
    <row r="202" spans="1:14" ht="15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</row>
    <row r="203" spans="1:14" ht="15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</row>
    <row r="204" spans="1:14" ht="15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</row>
    <row r="205" spans="1:14" ht="15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</row>
    <row r="206" spans="1:14" ht="15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</row>
    <row r="207" spans="1:14" ht="15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</row>
    <row r="208" spans="1:14" ht="15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</row>
    <row r="209" spans="1:14" ht="15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</row>
    <row r="210" spans="1:14" ht="15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</row>
    <row r="211" spans="1:14" ht="15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</row>
    <row r="212" spans="1:14" ht="15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</row>
    <row r="213" spans="1:14" ht="15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</row>
    <row r="214" spans="1:14" ht="15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</row>
    <row r="215" spans="1:14" ht="15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</row>
    <row r="216" spans="1:14" ht="15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</row>
    <row r="217" spans="1:14" ht="15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</row>
    <row r="218" spans="1:14" ht="15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</row>
    <row r="219" spans="1:14" ht="15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</row>
    <row r="220" spans="1:14" ht="15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</row>
    <row r="221" spans="1:14" ht="15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</row>
    <row r="222" spans="1:14" ht="15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</row>
    <row r="223" spans="1:14" ht="15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</row>
    <row r="224" spans="1:14" ht="15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</row>
    <row r="225" spans="1:14" ht="15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</row>
    <row r="226" spans="1:14" ht="15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</row>
    <row r="227" spans="1:14" ht="15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</row>
    <row r="228" spans="1:14" ht="15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</row>
    <row r="229" spans="1:14" ht="15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</row>
    <row r="230" spans="1:14" ht="15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</row>
    <row r="231" spans="1:14" ht="15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</row>
    <row r="232" spans="1:14" ht="15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</row>
    <row r="233" spans="1:14" ht="15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</row>
    <row r="234" spans="1:14" ht="15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</row>
    <row r="235" spans="1:14" ht="15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</row>
    <row r="236" spans="1:14" ht="15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</row>
    <row r="237" spans="1:14" ht="15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</row>
    <row r="238" spans="1:14" ht="15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</row>
    <row r="239" spans="1:14" ht="15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</row>
    <row r="240" spans="1:14" ht="15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</row>
    <row r="241" spans="1:14" ht="15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</row>
    <row r="242" spans="1:14" ht="15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</row>
    <row r="243" spans="1:14" ht="15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</row>
    <row r="244" spans="1:14" ht="15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</row>
    <row r="245" spans="1:14" ht="15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</row>
    <row r="246" spans="1:14" ht="15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</row>
    <row r="247" spans="1:14" ht="15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</row>
    <row r="248" spans="1:14" ht="15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</row>
    <row r="249" spans="1:14" ht="15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</row>
    <row r="250" spans="1:14" ht="15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</row>
    <row r="251" spans="1:14" ht="15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</row>
    <row r="252" spans="1:14" ht="15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</row>
    <row r="253" spans="1:14" ht="15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</row>
    <row r="254" spans="1:14" ht="15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</row>
    <row r="255" spans="1:14" ht="15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</row>
    <row r="256" spans="1:14" ht="15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</row>
    <row r="257" spans="1:14" ht="15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</row>
    <row r="258" spans="1:14" ht="15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</row>
    <row r="259" spans="1:14" ht="15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</row>
    <row r="260" spans="1:14" ht="15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</row>
    <row r="261" spans="1:14" ht="15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</row>
    <row r="262" spans="1:14" ht="15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</row>
    <row r="263" spans="1:14" ht="15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</row>
    <row r="264" spans="1:14" ht="15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</row>
    <row r="265" spans="1:14" ht="15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</row>
    <row r="266" spans="1:14" ht="15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</row>
    <row r="267" spans="1:14" ht="15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</row>
    <row r="268" spans="1:14" ht="15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</row>
    <row r="269" spans="1:14" ht="15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</row>
    <row r="270" spans="1:14" ht="15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</row>
    <row r="271" spans="1:14" ht="15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</row>
    <row r="272" spans="1:14" ht="15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</row>
    <row r="273" spans="1:14" ht="15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</row>
    <row r="274" spans="1:14" ht="15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</row>
    <row r="275" spans="1:14" ht="15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</row>
    <row r="276" spans="1:14" ht="15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</row>
    <row r="277" spans="1:14" ht="15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</row>
    <row r="278" spans="1:14" ht="15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</row>
    <row r="279" spans="1:14" ht="15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</row>
    <row r="280" spans="1:14" ht="15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</row>
    <row r="281" spans="1:14" ht="15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</row>
    <row r="282" spans="1:14" ht="15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</row>
    <row r="283" spans="1:14" ht="15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</row>
    <row r="284" spans="1:14" ht="15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</row>
    <row r="285" spans="1:14" ht="15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</row>
    <row r="286" spans="1:14" ht="15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</row>
    <row r="287" spans="1:14" ht="15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</row>
    <row r="288" spans="1:14" ht="15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</row>
    <row r="289" spans="1:14" ht="15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</row>
    <row r="290" spans="1:14" ht="15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</row>
    <row r="291" spans="1:14" ht="15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</row>
    <row r="292" spans="1:14" ht="15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</row>
    <row r="293" spans="1:14" ht="15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</row>
    <row r="294" spans="1:14" ht="15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</row>
    <row r="295" spans="1:14" ht="15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</row>
    <row r="296" spans="1:14" ht="15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</row>
    <row r="297" spans="1:14" ht="15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</row>
    <row r="298" spans="1:14" ht="15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</row>
    <row r="299" spans="1:14" ht="15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</row>
    <row r="300" spans="1:14" ht="15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</row>
    <row r="301" spans="1:14" ht="15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</row>
    <row r="302" spans="1:14" ht="15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</row>
    <row r="303" spans="1:14" ht="15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</row>
    <row r="304" spans="1:14" ht="15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</row>
    <row r="305" spans="1:14" ht="15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</row>
    <row r="306" spans="1:14" ht="15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</row>
    <row r="307" spans="1:14" ht="15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</row>
    <row r="308" spans="1:14" ht="15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</row>
    <row r="309" spans="1:14" ht="15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</row>
    <row r="310" spans="1:14" ht="15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</row>
    <row r="311" spans="1:14" ht="15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</row>
    <row r="312" spans="1:14" ht="15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</row>
    <row r="313" spans="1:14" ht="15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</row>
    <row r="314" spans="1:14" ht="15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</row>
    <row r="315" spans="1:14" ht="15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</row>
    <row r="316" spans="1:14" ht="15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</row>
    <row r="317" spans="1:14" ht="15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</row>
    <row r="318" spans="1:14" ht="15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</row>
    <row r="319" spans="1:14" ht="15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</row>
    <row r="320" spans="1:14" ht="15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</row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7">
    <mergeCell ref="J97:J98"/>
    <mergeCell ref="K97:K98"/>
    <mergeCell ref="D95:D96"/>
    <mergeCell ref="D97:D98"/>
    <mergeCell ref="E97:E98"/>
    <mergeCell ref="F95:F96"/>
    <mergeCell ref="G95:G96"/>
    <mergeCell ref="H95:H96"/>
    <mergeCell ref="I95:I96"/>
    <mergeCell ref="H97:H98"/>
    <mergeCell ref="I97:I98"/>
    <mergeCell ref="J95:J96"/>
    <mergeCell ref="K95:K96"/>
    <mergeCell ref="A96:C97"/>
    <mergeCell ref="F97:F98"/>
    <mergeCell ref="G97:G98"/>
    <mergeCell ref="A8:A12"/>
    <mergeCell ref="B8:B12"/>
    <mergeCell ref="C8:C12"/>
    <mergeCell ref="D8:D11"/>
    <mergeCell ref="E8:E11"/>
    <mergeCell ref="F8:F11"/>
    <mergeCell ref="G8:G11"/>
    <mergeCell ref="A95:B95"/>
    <mergeCell ref="E95:E96"/>
    <mergeCell ref="C6:D6"/>
    <mergeCell ref="H8:H11"/>
    <mergeCell ref="I8:I11"/>
    <mergeCell ref="J9:K11"/>
    <mergeCell ref="A1:K1"/>
    <mergeCell ref="A2:K2"/>
    <mergeCell ref="C3:D3"/>
    <mergeCell ref="C4:D4"/>
    <mergeCell ref="C5:D5"/>
    <mergeCell ref="H107:J107"/>
    <mergeCell ref="B102:E102"/>
    <mergeCell ref="F102:G102"/>
    <mergeCell ref="I102:J102"/>
    <mergeCell ref="B103:B105"/>
    <mergeCell ref="C103:D103"/>
    <mergeCell ref="F103:G105"/>
    <mergeCell ref="C104:D104"/>
    <mergeCell ref="I103:J103"/>
    <mergeCell ref="I104:J104"/>
    <mergeCell ref="C105:D105"/>
    <mergeCell ref="I105:J105"/>
    <mergeCell ref="H106:J106"/>
  </mergeCells>
  <pageMargins left="0.7" right="0.7" top="0.75" bottom="0.75" header="0" footer="0"/>
  <pageSetup orientation="landscape"/>
  <ignoredErrors>
    <ignoredError sqref="J12:K12 J13:J16" formulaRange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1000"/>
  <sheetViews>
    <sheetView workbookViewId="0">
      <selection activeCell="D98" sqref="D98"/>
    </sheetView>
  </sheetViews>
  <sheetFormatPr defaultColWidth="14.42578125" defaultRowHeight="15" customHeight="1" x14ac:dyDescent="0.25"/>
  <cols>
    <col min="1" max="1" width="13.7109375" customWidth="1"/>
    <col min="2" max="2" width="12.85546875" customWidth="1"/>
    <col min="3" max="3" width="16.28515625" customWidth="1"/>
    <col min="4" max="4" width="42.42578125" customWidth="1"/>
    <col min="5" max="5" width="13.42578125" customWidth="1"/>
    <col min="6" max="8" width="6.5703125" customWidth="1"/>
    <col min="9" max="22" width="8.7109375" customWidth="1"/>
  </cols>
  <sheetData>
    <row r="1" spans="2:22" ht="20.25" x14ac:dyDescent="0.25">
      <c r="B1" s="274" t="s">
        <v>147</v>
      </c>
      <c r="C1" s="211"/>
      <c r="D1" s="211"/>
      <c r="E1" s="211"/>
      <c r="F1" s="21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2:22" ht="20.25" x14ac:dyDescent="0.25">
      <c r="B2" s="31"/>
      <c r="C2" s="31"/>
      <c r="D2" s="64" t="s">
        <v>148</v>
      </c>
      <c r="E2" s="14"/>
      <c r="F2" s="31"/>
      <c r="G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2:22" ht="13.5" customHeight="1" x14ac:dyDescent="0.25">
      <c r="B3" s="31"/>
      <c r="C3" s="31"/>
      <c r="D3" s="64"/>
      <c r="E3" s="14"/>
      <c r="F3" s="31"/>
      <c r="G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2:22" x14ac:dyDescent="0.25">
      <c r="B4" s="31"/>
      <c r="C4" s="32" t="s">
        <v>1</v>
      </c>
      <c r="D4" s="275" t="str">
        <f>'CO_Attainment for Unit Tests'!C3</f>
        <v>DATABASE MANAGEMENT SYSTEM</v>
      </c>
      <c r="E4" s="218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2:22" x14ac:dyDescent="0.25">
      <c r="B5" s="31"/>
      <c r="C5" s="32" t="s">
        <v>3</v>
      </c>
      <c r="D5" s="275">
        <f>'CO_Attainment for Unit Tests'!C4</f>
        <v>22319</v>
      </c>
      <c r="E5" s="218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2:22" x14ac:dyDescent="0.25">
      <c r="B6" s="31"/>
      <c r="C6" s="32" t="s">
        <v>53</v>
      </c>
      <c r="D6" s="275" t="str">
        <f>'CO_Attainment for Unit Tests'!C5</f>
        <v>3rd SEM(CO3I SCHEME)</v>
      </c>
      <c r="E6" s="21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2:22" x14ac:dyDescent="0.25">
      <c r="B7" s="31"/>
      <c r="C7" s="32" t="s">
        <v>6</v>
      </c>
      <c r="D7" s="275" t="str">
        <f>'CO_Attainment for Unit Tests'!C6</f>
        <v>2023-24</v>
      </c>
      <c r="E7" s="218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2:22" x14ac:dyDescent="0.25">
      <c r="E8" s="14"/>
    </row>
    <row r="9" spans="2:22" ht="15.75" customHeight="1" x14ac:dyDescent="0.25">
      <c r="B9" s="283" t="s">
        <v>21</v>
      </c>
      <c r="C9" s="278" t="s">
        <v>56</v>
      </c>
      <c r="D9" s="265" t="s">
        <v>57</v>
      </c>
      <c r="E9" s="278" t="s">
        <v>149</v>
      </c>
      <c r="J9" s="65"/>
    </row>
    <row r="10" spans="2:22" x14ac:dyDescent="0.25">
      <c r="B10" s="252"/>
      <c r="C10" s="252"/>
      <c r="D10" s="252"/>
      <c r="E10" s="252"/>
      <c r="J10" s="66"/>
    </row>
    <row r="11" spans="2:22" x14ac:dyDescent="0.25">
      <c r="B11" s="252"/>
      <c r="C11" s="252"/>
      <c r="D11" s="252"/>
      <c r="E11" s="252"/>
    </row>
    <row r="12" spans="2:22" ht="27.75" customHeight="1" x14ac:dyDescent="0.25">
      <c r="B12" s="252"/>
      <c r="C12" s="252"/>
      <c r="D12" s="252"/>
      <c r="E12" s="253"/>
    </row>
    <row r="13" spans="2:22" x14ac:dyDescent="0.25">
      <c r="B13" s="253"/>
      <c r="C13" s="253"/>
      <c r="D13" s="253"/>
      <c r="E13" s="38">
        <v>70</v>
      </c>
    </row>
    <row r="14" spans="2:22" ht="15.75" x14ac:dyDescent="0.25">
      <c r="B14" s="42">
        <v>1</v>
      </c>
      <c r="C14" s="42">
        <f>'CO_Attainment for Unit Tests'!B13</f>
        <v>2201180002</v>
      </c>
      <c r="D14" s="67" t="str">
        <f>'CO_Attainment for Unit Tests'!C13</f>
        <v>GARAD ANJALI NITIN</v>
      </c>
      <c r="E14" s="68">
        <v>10</v>
      </c>
      <c r="I14" s="41"/>
    </row>
    <row r="15" spans="2:22" ht="15" customHeight="1" x14ac:dyDescent="0.25">
      <c r="B15" s="42">
        <v>2</v>
      </c>
      <c r="C15" s="42">
        <f>'CO_Attainment for Unit Tests'!B14</f>
        <v>2201180003</v>
      </c>
      <c r="D15" s="67" t="str">
        <f>'CO_Attainment for Unit Tests'!C14</f>
        <v>WALANDE GAURI DAYANAND</v>
      </c>
      <c r="E15" s="68">
        <v>51</v>
      </c>
      <c r="I15" s="41"/>
    </row>
    <row r="16" spans="2:22" ht="15.75" x14ac:dyDescent="0.25">
      <c r="B16" s="42">
        <v>3</v>
      </c>
      <c r="C16" s="42">
        <f>'CO_Attainment for Unit Tests'!B15</f>
        <v>2201180004</v>
      </c>
      <c r="D16" s="67" t="str">
        <f>'CO_Attainment for Unit Tests'!C15</f>
        <v>ZUNJURE SARTHAK BALAJI</v>
      </c>
      <c r="E16" s="68">
        <v>45</v>
      </c>
      <c r="I16" s="41"/>
    </row>
    <row r="17" spans="2:9" ht="15.75" x14ac:dyDescent="0.25">
      <c r="B17" s="42">
        <v>4</v>
      </c>
      <c r="C17" s="42">
        <f>'CO_Attainment for Unit Tests'!B16</f>
        <v>2201180005</v>
      </c>
      <c r="D17" s="67" t="str">
        <f>'CO_Attainment for Unit Tests'!C16</f>
        <v>BHANDE GAYATRI DAMODAR</v>
      </c>
      <c r="E17" s="68">
        <v>56</v>
      </c>
      <c r="I17" s="41"/>
    </row>
    <row r="18" spans="2:9" ht="15.75" x14ac:dyDescent="0.25">
      <c r="B18" s="42">
        <v>5</v>
      </c>
      <c r="C18" s="42">
        <f>'CO_Attainment for Unit Tests'!B17</f>
        <v>2201180006</v>
      </c>
      <c r="D18" s="67" t="str">
        <f>'CO_Attainment for Unit Tests'!C17</f>
        <v>MUNDHE GAYATRI PARMESHWAR</v>
      </c>
      <c r="E18" s="68">
        <v>54</v>
      </c>
      <c r="I18" s="41"/>
    </row>
    <row r="19" spans="2:9" ht="15.75" x14ac:dyDescent="0.25">
      <c r="B19" s="42">
        <v>6</v>
      </c>
      <c r="C19" s="42">
        <f>'CO_Attainment for Unit Tests'!B18</f>
        <v>2201180009</v>
      </c>
      <c r="D19" s="67" t="str">
        <f>'CO_Attainment for Unit Tests'!C18</f>
        <v>YADAV RADHA SAMADHAN</v>
      </c>
      <c r="E19" s="68">
        <v>41</v>
      </c>
      <c r="I19" s="41"/>
    </row>
    <row r="20" spans="2:9" ht="15.75" x14ac:dyDescent="0.25">
      <c r="B20" s="42">
        <v>7</v>
      </c>
      <c r="C20" s="42">
        <f>'CO_Attainment for Unit Tests'!B19</f>
        <v>2201180010</v>
      </c>
      <c r="D20" s="67" t="str">
        <f>'CO_Attainment for Unit Tests'!C19</f>
        <v>DESHMANE MANSI SIDDHESHWAR</v>
      </c>
      <c r="E20" s="68">
        <v>45</v>
      </c>
      <c r="I20" s="41"/>
    </row>
    <row r="21" spans="2:9" ht="15.75" customHeight="1" x14ac:dyDescent="0.25">
      <c r="B21" s="42">
        <v>8</v>
      </c>
      <c r="C21" s="42">
        <f>'CO_Attainment for Unit Tests'!B20</f>
        <v>2201180011</v>
      </c>
      <c r="D21" s="67" t="str">
        <f>'CO_Attainment for Unit Tests'!C20</f>
        <v>GAWALGADADE POOJA ARVIND</v>
      </c>
      <c r="E21" s="68">
        <v>30</v>
      </c>
      <c r="I21" s="41"/>
    </row>
    <row r="22" spans="2:9" ht="15.75" customHeight="1" x14ac:dyDescent="0.25">
      <c r="B22" s="42">
        <v>9</v>
      </c>
      <c r="C22" s="42">
        <f>'CO_Attainment for Unit Tests'!B21</f>
        <v>2201180014</v>
      </c>
      <c r="D22" s="67" t="str">
        <f>'CO_Attainment for Unit Tests'!C21</f>
        <v>JAIN TANISHA SHAILESH</v>
      </c>
      <c r="E22" s="68">
        <v>51</v>
      </c>
      <c r="I22" s="41"/>
    </row>
    <row r="23" spans="2:9" ht="15.75" customHeight="1" x14ac:dyDescent="0.25">
      <c r="B23" s="42">
        <v>10</v>
      </c>
      <c r="C23" s="42">
        <f>'CO_Attainment for Unit Tests'!B22</f>
        <v>2201180050</v>
      </c>
      <c r="D23" s="67" t="str">
        <f>'CO_Attainment for Unit Tests'!C22</f>
        <v>MAINDARGE SIDDHI PRASAD</v>
      </c>
      <c r="E23" s="68">
        <v>51</v>
      </c>
      <c r="I23" s="41"/>
    </row>
    <row r="24" spans="2:9" ht="15.75" customHeight="1" x14ac:dyDescent="0.25">
      <c r="B24" s="42">
        <v>11</v>
      </c>
      <c r="C24" s="42">
        <f>'CO_Attainment for Unit Tests'!B23</f>
        <v>2201180051</v>
      </c>
      <c r="D24" s="67" t="str">
        <f>'CO_Attainment for Unit Tests'!C23</f>
        <v>BHOSALE VAISHNAVI DAYANAND</v>
      </c>
      <c r="E24" s="68">
        <v>41</v>
      </c>
      <c r="I24" s="41"/>
    </row>
    <row r="25" spans="2:9" ht="15.75" customHeight="1" x14ac:dyDescent="0.25">
      <c r="B25" s="42">
        <v>12</v>
      </c>
      <c r="C25" s="42">
        <f>'CO_Attainment for Unit Tests'!B24</f>
        <v>2201180052</v>
      </c>
      <c r="D25" s="67" t="str">
        <f>'CO_Attainment for Unit Tests'!C24</f>
        <v>ATTAR SANIYA VAJIR</v>
      </c>
      <c r="E25" s="68">
        <v>54</v>
      </c>
      <c r="I25" s="41"/>
    </row>
    <row r="26" spans="2:9" ht="15.75" customHeight="1" x14ac:dyDescent="0.25">
      <c r="B26" s="42">
        <v>13</v>
      </c>
      <c r="C26" s="42">
        <f>'CO_Attainment for Unit Tests'!B25</f>
        <v>2201180053</v>
      </c>
      <c r="D26" s="67" t="str">
        <f>'CO_Attainment for Unit Tests'!C25</f>
        <v>NALWADE SNEHA NETAJI</v>
      </c>
      <c r="E26" s="68">
        <v>54</v>
      </c>
      <c r="I26" s="41"/>
    </row>
    <row r="27" spans="2:9" ht="15.75" customHeight="1" x14ac:dyDescent="0.25">
      <c r="B27" s="42">
        <v>14</v>
      </c>
      <c r="C27" s="42">
        <f>'CO_Attainment for Unit Tests'!B26</f>
        <v>2201180055</v>
      </c>
      <c r="D27" s="67" t="str">
        <f>'CO_Attainment for Unit Tests'!C26</f>
        <v>AADHE PANKAJ RAM</v>
      </c>
      <c r="E27" s="68">
        <v>45</v>
      </c>
      <c r="I27" s="41"/>
    </row>
    <row r="28" spans="2:9" ht="15" customHeight="1" x14ac:dyDescent="0.25">
      <c r="B28" s="42">
        <v>15</v>
      </c>
      <c r="C28" s="42">
        <f>'CO_Attainment for Unit Tests'!B27</f>
        <v>2201180056</v>
      </c>
      <c r="D28" s="67" t="str">
        <f>'CO_Attainment for Unit Tests'!C27</f>
        <v>BUDGE VISHAKHA VENKAT</v>
      </c>
      <c r="E28" s="68">
        <v>60</v>
      </c>
      <c r="I28" s="41"/>
    </row>
    <row r="29" spans="2:9" ht="15.75" customHeight="1" x14ac:dyDescent="0.25">
      <c r="B29" s="42">
        <v>16</v>
      </c>
      <c r="C29" s="42">
        <f>'CO_Attainment for Unit Tests'!B28</f>
        <v>2201180058</v>
      </c>
      <c r="D29" s="67" t="str">
        <f>'CO_Attainment for Unit Tests'!C28</f>
        <v>PAWAR PRATIKSHA VITTHAL</v>
      </c>
      <c r="E29" s="68">
        <v>56</v>
      </c>
      <c r="I29" s="41"/>
    </row>
    <row r="30" spans="2:9" ht="15.75" customHeight="1" x14ac:dyDescent="0.25">
      <c r="B30" s="42">
        <v>17</v>
      </c>
      <c r="C30" s="42">
        <f>'CO_Attainment for Unit Tests'!B29</f>
        <v>2201180059</v>
      </c>
      <c r="D30" s="67" t="str">
        <f>'CO_Attainment for Unit Tests'!C29</f>
        <v>WAGHMARE RAU HANMANT</v>
      </c>
      <c r="E30" s="68">
        <v>42</v>
      </c>
      <c r="I30" s="41"/>
    </row>
    <row r="31" spans="2:9" ht="15.75" customHeight="1" x14ac:dyDescent="0.25">
      <c r="B31" s="42">
        <v>18</v>
      </c>
      <c r="C31" s="42">
        <f>'CO_Attainment for Unit Tests'!B30</f>
        <v>2201180060</v>
      </c>
      <c r="D31" s="67" t="str">
        <f>'CO_Attainment for Unit Tests'!C30</f>
        <v>MAHAJAN SHRUTI DILIP</v>
      </c>
      <c r="E31" s="68">
        <v>57</v>
      </c>
      <c r="I31" s="41"/>
    </row>
    <row r="32" spans="2:9" ht="15.75" customHeight="1" x14ac:dyDescent="0.25">
      <c r="B32" s="42">
        <v>19</v>
      </c>
      <c r="C32" s="42">
        <f>'CO_Attainment for Unit Tests'!B31</f>
        <v>2201180061</v>
      </c>
      <c r="D32" s="67" t="str">
        <f>'CO_Attainment for Unit Tests'!C31</f>
        <v>CHANDANE GAYATRI PRASHANT</v>
      </c>
      <c r="E32" s="68">
        <v>45</v>
      </c>
      <c r="I32" s="41"/>
    </row>
    <row r="33" spans="2:9" ht="15.75" customHeight="1" x14ac:dyDescent="0.25">
      <c r="B33" s="42">
        <v>20</v>
      </c>
      <c r="C33" s="42">
        <f>'CO_Attainment for Unit Tests'!B32</f>
        <v>2201180062</v>
      </c>
      <c r="D33" s="67" t="str">
        <f>'CO_Attainment for Unit Tests'!C32</f>
        <v>JOSHI SHRAVANI SHRIKANT</v>
      </c>
      <c r="E33" s="68">
        <v>56</v>
      </c>
      <c r="I33" s="41"/>
    </row>
    <row r="34" spans="2:9" ht="15.75" customHeight="1" x14ac:dyDescent="0.25">
      <c r="B34" s="42">
        <v>21</v>
      </c>
      <c r="C34" s="42">
        <f>'CO_Attainment for Unit Tests'!B33</f>
        <v>2201180063</v>
      </c>
      <c r="D34" s="67" t="str">
        <f>'CO_Attainment for Unit Tests'!C33</f>
        <v>MANE ANUSHKA BALASAHEB</v>
      </c>
      <c r="E34" s="68">
        <v>56</v>
      </c>
      <c r="I34" s="41"/>
    </row>
    <row r="35" spans="2:9" ht="15.75" customHeight="1" x14ac:dyDescent="0.25">
      <c r="B35" s="42">
        <v>22</v>
      </c>
      <c r="C35" s="42">
        <f>'CO_Attainment for Unit Tests'!B34</f>
        <v>2201180064</v>
      </c>
      <c r="D35" s="67" t="str">
        <f>'CO_Attainment for Unit Tests'!C34</f>
        <v>GADEKAR MAHESH BALAJI</v>
      </c>
      <c r="E35" s="68">
        <v>55</v>
      </c>
      <c r="I35" s="41"/>
    </row>
    <row r="36" spans="2:9" ht="15.75" customHeight="1" x14ac:dyDescent="0.25">
      <c r="B36" s="42">
        <v>23</v>
      </c>
      <c r="C36" s="42">
        <f>'CO_Attainment for Unit Tests'!B35</f>
        <v>2201180065</v>
      </c>
      <c r="D36" s="67" t="str">
        <f>'CO_Attainment for Unit Tests'!C35</f>
        <v>DESHMUKH SWANANDI UDAYRAO</v>
      </c>
      <c r="E36" s="68">
        <v>41</v>
      </c>
      <c r="I36" s="41"/>
    </row>
    <row r="37" spans="2:9" ht="15.75" customHeight="1" x14ac:dyDescent="0.25">
      <c r="B37" s="42">
        <v>24</v>
      </c>
      <c r="C37" s="42">
        <f>'CO_Attainment for Unit Tests'!B36</f>
        <v>2201180148</v>
      </c>
      <c r="D37" s="67" t="str">
        <f>'CO_Attainment for Unit Tests'!C36</f>
        <v>LAGDIVE SHIVAM NITIN</v>
      </c>
      <c r="E37" s="68">
        <v>60</v>
      </c>
      <c r="I37" s="41"/>
    </row>
    <row r="38" spans="2:9" ht="15.75" customHeight="1" x14ac:dyDescent="0.25">
      <c r="B38" s="42">
        <v>25</v>
      </c>
      <c r="C38" s="42">
        <f>'CO_Attainment for Unit Tests'!B37</f>
        <v>2201180227</v>
      </c>
      <c r="D38" s="67" t="str">
        <f>'CO_Attainment for Unit Tests'!C37</f>
        <v>SARPHALE POOJA SADASHIV</v>
      </c>
      <c r="E38" s="68">
        <v>52</v>
      </c>
      <c r="I38" s="41"/>
    </row>
    <row r="39" spans="2:9" ht="15.75" customHeight="1" x14ac:dyDescent="0.25">
      <c r="B39" s="42">
        <v>26</v>
      </c>
      <c r="C39" s="42">
        <f>'CO_Attainment for Unit Tests'!B38</f>
        <v>2201180228</v>
      </c>
      <c r="D39" s="67" t="str">
        <f>'CO_Attainment for Unit Tests'!C38</f>
        <v>WAGHMARE ABHISHEK SOMNATH</v>
      </c>
      <c r="E39" s="68">
        <v>61</v>
      </c>
      <c r="I39" s="41"/>
    </row>
    <row r="40" spans="2:9" ht="15.75" customHeight="1" x14ac:dyDescent="0.25">
      <c r="B40" s="42">
        <v>27</v>
      </c>
      <c r="C40" s="42">
        <f>'CO_Attainment for Unit Tests'!B39</f>
        <v>2201180229</v>
      </c>
      <c r="D40" s="67" t="str">
        <f>'CO_Attainment for Unit Tests'!C39</f>
        <v>KAMBALE ROHINI RUPESH</v>
      </c>
      <c r="E40" s="68">
        <v>39</v>
      </c>
      <c r="I40" s="41"/>
    </row>
    <row r="41" spans="2:9" ht="15.75" customHeight="1" x14ac:dyDescent="0.25">
      <c r="B41" s="42">
        <v>28</v>
      </c>
      <c r="C41" s="42">
        <f>'CO_Attainment for Unit Tests'!B40</f>
        <v>2201180230</v>
      </c>
      <c r="D41" s="67" t="str">
        <f>'CO_Attainment for Unit Tests'!C40</f>
        <v>ROCHKARI SANSKRUTI SUDHIR</v>
      </c>
      <c r="E41" s="68">
        <v>28</v>
      </c>
      <c r="I41" s="41"/>
    </row>
    <row r="42" spans="2:9" ht="15.75" customHeight="1" x14ac:dyDescent="0.25">
      <c r="B42" s="42">
        <v>29</v>
      </c>
      <c r="C42" s="42">
        <f>'CO_Attainment for Unit Tests'!B41</f>
        <v>2201180232</v>
      </c>
      <c r="D42" s="67" t="str">
        <f>'CO_Attainment for Unit Tests'!C41</f>
        <v>NIMBALKAR APURVA BHUJANG</v>
      </c>
      <c r="E42" s="68">
        <v>61</v>
      </c>
      <c r="I42" s="41"/>
    </row>
    <row r="43" spans="2:9" ht="15.75" customHeight="1" x14ac:dyDescent="0.25">
      <c r="B43" s="42">
        <v>30</v>
      </c>
      <c r="C43" s="42">
        <f>'CO_Attainment for Unit Tests'!B42</f>
        <v>2201180233</v>
      </c>
      <c r="D43" s="67" t="str">
        <f>'CO_Attainment for Unit Tests'!C42</f>
        <v>KSHIRSAGAR SAMARTH DATTATRAY</v>
      </c>
      <c r="E43" s="68">
        <v>51</v>
      </c>
      <c r="I43" s="41"/>
    </row>
    <row r="44" spans="2:9" ht="15.75" customHeight="1" x14ac:dyDescent="0.25">
      <c r="B44" s="42">
        <v>31</v>
      </c>
      <c r="C44" s="42">
        <f>'CO_Attainment for Unit Tests'!B43</f>
        <v>2201180234</v>
      </c>
      <c r="D44" s="67" t="str">
        <f>'CO_Attainment for Unit Tests'!C43</f>
        <v>MASIHA SILVIYA SANTOSH</v>
      </c>
      <c r="E44" s="68">
        <v>57</v>
      </c>
      <c r="I44" s="41"/>
    </row>
    <row r="45" spans="2:9" ht="15.75" customHeight="1" x14ac:dyDescent="0.25">
      <c r="B45" s="42">
        <v>32</v>
      </c>
      <c r="C45" s="42">
        <f>'CO_Attainment for Unit Tests'!B44</f>
        <v>2201180235</v>
      </c>
      <c r="D45" s="67" t="str">
        <f>'CO_Attainment for Unit Tests'!C44</f>
        <v>KAWADE PRIYA SHANKAR</v>
      </c>
      <c r="E45" s="68">
        <v>54</v>
      </c>
      <c r="I45" s="41"/>
    </row>
    <row r="46" spans="2:9" ht="15" customHeight="1" x14ac:dyDescent="0.25">
      <c r="B46" s="42">
        <v>33</v>
      </c>
      <c r="C46" s="42">
        <f>'CO_Attainment for Unit Tests'!B45</f>
        <v>2201180237</v>
      </c>
      <c r="D46" s="67" t="str">
        <f>'CO_Attainment for Unit Tests'!C45</f>
        <v>PATIL PRANITA PRAVIN</v>
      </c>
      <c r="E46" s="68">
        <v>58</v>
      </c>
      <c r="I46" s="41"/>
    </row>
    <row r="47" spans="2:9" ht="15.75" customHeight="1" x14ac:dyDescent="0.25">
      <c r="B47" s="42">
        <v>34</v>
      </c>
      <c r="C47" s="42">
        <f>'CO_Attainment for Unit Tests'!B46</f>
        <v>2201180238</v>
      </c>
      <c r="D47" s="67" t="str">
        <f>'CO_Attainment for Unit Tests'!C46</f>
        <v>GAVALI ROHAN DNYANDEO</v>
      </c>
      <c r="E47" s="68">
        <v>28</v>
      </c>
      <c r="I47" s="41"/>
    </row>
    <row r="48" spans="2:9" ht="15.75" customHeight="1" x14ac:dyDescent="0.25">
      <c r="B48" s="42">
        <v>35</v>
      </c>
      <c r="C48" s="42">
        <f>'CO_Attainment for Unit Tests'!B47</f>
        <v>2201180241</v>
      </c>
      <c r="D48" s="67" t="str">
        <f>'CO_Attainment for Unit Tests'!C47</f>
        <v>GAIKWAD VASUDHA SANDIPAN</v>
      </c>
      <c r="E48" s="68">
        <v>44</v>
      </c>
      <c r="I48" s="41"/>
    </row>
    <row r="49" spans="2:9" ht="15.75" customHeight="1" x14ac:dyDescent="0.25">
      <c r="B49" s="42">
        <v>36</v>
      </c>
      <c r="C49" s="42">
        <f>'CO_Attainment for Unit Tests'!B48</f>
        <v>2201180242</v>
      </c>
      <c r="D49" s="67" t="str">
        <f>'CO_Attainment for Unit Tests'!C48</f>
        <v>GORE SANKET NARENDRA</v>
      </c>
      <c r="E49" s="68">
        <v>33</v>
      </c>
      <c r="I49" s="41"/>
    </row>
    <row r="50" spans="2:9" ht="15.75" customHeight="1" x14ac:dyDescent="0.25">
      <c r="B50" s="42">
        <v>37</v>
      </c>
      <c r="C50" s="42">
        <f>'CO_Attainment for Unit Tests'!B49</f>
        <v>2201180243</v>
      </c>
      <c r="D50" s="67" t="str">
        <f>'CO_Attainment for Unit Tests'!C49</f>
        <v>HINGANE SAKSHI SATISH</v>
      </c>
      <c r="E50" s="68">
        <v>55</v>
      </c>
      <c r="I50" s="41"/>
    </row>
    <row r="51" spans="2:9" ht="15.75" customHeight="1" x14ac:dyDescent="0.25">
      <c r="B51" s="42">
        <v>38</v>
      </c>
      <c r="C51" s="42">
        <f>'CO_Attainment for Unit Tests'!B50</f>
        <v>2201180280</v>
      </c>
      <c r="D51" s="67" t="str">
        <f>'CO_Attainment for Unit Tests'!C50</f>
        <v>JADHAV SHREYAS YADAVRAO</v>
      </c>
      <c r="E51" s="68">
        <v>47</v>
      </c>
      <c r="I51" s="41"/>
    </row>
    <row r="52" spans="2:9" ht="15.75" customHeight="1" x14ac:dyDescent="0.25">
      <c r="B52" s="42">
        <v>39</v>
      </c>
      <c r="C52" s="42">
        <f>'CO_Attainment for Unit Tests'!B51</f>
        <v>2201180282</v>
      </c>
      <c r="D52" s="67" t="str">
        <f>'CO_Attainment for Unit Tests'!C51</f>
        <v>WAKALE KOMAL SANTOSH</v>
      </c>
      <c r="E52" s="68">
        <v>46</v>
      </c>
      <c r="I52" s="41"/>
    </row>
    <row r="53" spans="2:9" ht="15.75" customHeight="1" x14ac:dyDescent="0.25">
      <c r="B53" s="42">
        <v>40</v>
      </c>
      <c r="C53" s="42">
        <f>'CO_Attainment for Unit Tests'!B52</f>
        <v>2201180283</v>
      </c>
      <c r="D53" s="67" t="str">
        <f>'CO_Attainment for Unit Tests'!C52</f>
        <v>KALE PRANITA NAMDEV</v>
      </c>
      <c r="E53" s="68">
        <v>36</v>
      </c>
      <c r="I53" s="41"/>
    </row>
    <row r="54" spans="2:9" ht="15.75" customHeight="1" x14ac:dyDescent="0.25">
      <c r="B54" s="42">
        <v>41</v>
      </c>
      <c r="C54" s="42">
        <f>'CO_Attainment for Unit Tests'!B53</f>
        <v>2201180401</v>
      </c>
      <c r="D54" s="67" t="str">
        <f>'CO_Attainment for Unit Tests'!C53</f>
        <v>KHARKE MAHESH HANUMANT</v>
      </c>
      <c r="E54" s="68">
        <v>19</v>
      </c>
      <c r="I54" s="41"/>
    </row>
    <row r="55" spans="2:9" ht="15.75" customHeight="1" x14ac:dyDescent="0.25">
      <c r="B55" s="42">
        <v>42</v>
      </c>
      <c r="C55" s="42">
        <f>'CO_Attainment for Unit Tests'!B54</f>
        <v>2201180404</v>
      </c>
      <c r="D55" s="67" t="str">
        <f>'CO_Attainment for Unit Tests'!C54</f>
        <v>PARVE SHRIRAM SUDHIR</v>
      </c>
      <c r="E55" s="68">
        <v>28</v>
      </c>
      <c r="I55" s="41"/>
    </row>
    <row r="56" spans="2:9" ht="15.75" customHeight="1" x14ac:dyDescent="0.25">
      <c r="B56" s="42">
        <v>43</v>
      </c>
      <c r="C56" s="42">
        <f>'CO_Attainment for Unit Tests'!B55</f>
        <v>2201180405</v>
      </c>
      <c r="D56" s="67" t="str">
        <f>'CO_Attainment for Unit Tests'!C55</f>
        <v>KOLNURE SURAJ RAJENDRA</v>
      </c>
      <c r="E56" s="68">
        <v>23</v>
      </c>
      <c r="I56" s="41"/>
    </row>
    <row r="57" spans="2:9" ht="15.75" customHeight="1" x14ac:dyDescent="0.25">
      <c r="B57" s="42">
        <v>44</v>
      </c>
      <c r="C57" s="42">
        <f>'CO_Attainment for Unit Tests'!B56</f>
        <v>2201180406</v>
      </c>
      <c r="D57" s="67" t="str">
        <f>'CO_Attainment for Unit Tests'!C56</f>
        <v>KANDALE ADITYA VILAS</v>
      </c>
      <c r="E57" s="68">
        <v>35</v>
      </c>
      <c r="I57" s="41"/>
    </row>
    <row r="58" spans="2:9" ht="15.75" customHeight="1" x14ac:dyDescent="0.25">
      <c r="B58" s="42">
        <v>45</v>
      </c>
      <c r="C58" s="42">
        <f>'CO_Attainment for Unit Tests'!B57</f>
        <v>2201180407</v>
      </c>
      <c r="D58" s="67" t="str">
        <f>'CO_Attainment for Unit Tests'!C57</f>
        <v>BARATE VARSHARANI DADASAHEB</v>
      </c>
      <c r="E58" s="68">
        <v>51</v>
      </c>
      <c r="I58" s="41"/>
    </row>
    <row r="59" spans="2:9" ht="15" customHeight="1" x14ac:dyDescent="0.25">
      <c r="B59" s="42">
        <v>46</v>
      </c>
      <c r="C59" s="42">
        <f>'CO_Attainment for Unit Tests'!B58</f>
        <v>2201180408</v>
      </c>
      <c r="D59" s="67" t="str">
        <f>'CO_Attainment for Unit Tests'!C58</f>
        <v>BARATE AADITI DADASAHEB</v>
      </c>
      <c r="E59" s="68">
        <v>59</v>
      </c>
      <c r="I59" s="41"/>
    </row>
    <row r="60" spans="2:9" ht="15.75" customHeight="1" x14ac:dyDescent="0.25">
      <c r="B60" s="42">
        <v>47</v>
      </c>
      <c r="C60" s="42">
        <f>'CO_Attainment for Unit Tests'!B59</f>
        <v>2201180410</v>
      </c>
      <c r="D60" s="67" t="str">
        <f>'CO_Attainment for Unit Tests'!C59</f>
        <v>THORAVE SANIKA AMBADAS</v>
      </c>
      <c r="E60" s="68">
        <v>45</v>
      </c>
      <c r="I60" s="41"/>
    </row>
    <row r="61" spans="2:9" ht="15.75" customHeight="1" x14ac:dyDescent="0.25">
      <c r="B61" s="42">
        <v>48</v>
      </c>
      <c r="C61" s="42">
        <f>'CO_Attainment for Unit Tests'!B60</f>
        <v>2201180411</v>
      </c>
      <c r="D61" s="67" t="str">
        <f>'CO_Attainment for Unit Tests'!C60</f>
        <v>KULKARNI AAKANKSHA KAMLESH</v>
      </c>
      <c r="E61" s="68">
        <v>61</v>
      </c>
      <c r="I61" s="41"/>
    </row>
    <row r="62" spans="2:9" ht="15.75" customHeight="1" x14ac:dyDescent="0.25">
      <c r="B62" s="42">
        <v>49</v>
      </c>
      <c r="C62" s="42">
        <f>'CO_Attainment for Unit Tests'!B61</f>
        <v>2201180412</v>
      </c>
      <c r="D62" s="67" t="str">
        <f>'CO_Attainment for Unit Tests'!C61</f>
        <v>GAIKWAD GAYATRI SURESH</v>
      </c>
      <c r="E62" s="68">
        <v>34</v>
      </c>
      <c r="I62" s="41"/>
    </row>
    <row r="63" spans="2:9" ht="15.75" customHeight="1" x14ac:dyDescent="0.25">
      <c r="B63" s="42">
        <v>50</v>
      </c>
      <c r="C63" s="42">
        <f>'CO_Attainment for Unit Tests'!B62</f>
        <v>2201180413</v>
      </c>
      <c r="D63" s="67" t="str">
        <f>'CO_Attainment for Unit Tests'!C62</f>
        <v>SAROLKAR SAKSHI SHAMSUNDAR</v>
      </c>
      <c r="E63" s="68">
        <v>50</v>
      </c>
      <c r="I63" s="41"/>
    </row>
    <row r="64" spans="2:9" ht="15.75" customHeight="1" x14ac:dyDescent="0.25">
      <c r="B64" s="42">
        <v>51</v>
      </c>
      <c r="C64" s="42">
        <f>'CO_Attainment for Unit Tests'!B63</f>
        <v>2201180414</v>
      </c>
      <c r="D64" s="67" t="str">
        <f>'CO_Attainment for Unit Tests'!C63</f>
        <v>JAGTAP SANKET NARAYAN</v>
      </c>
      <c r="E64" s="68">
        <v>49</v>
      </c>
      <c r="I64" s="41"/>
    </row>
    <row r="65" spans="2:9" ht="15.75" customHeight="1" x14ac:dyDescent="0.25">
      <c r="B65" s="42">
        <v>52</v>
      </c>
      <c r="C65" s="42">
        <f>'CO_Attainment for Unit Tests'!B64</f>
        <v>2201180415</v>
      </c>
      <c r="D65" s="67" t="str">
        <f>'CO_Attainment for Unit Tests'!C64</f>
        <v>DHAPPADHULE VAISHNAVI SACHIN</v>
      </c>
      <c r="E65" s="68">
        <v>37</v>
      </c>
      <c r="I65" s="41"/>
    </row>
    <row r="66" spans="2:9" ht="15.75" customHeight="1" x14ac:dyDescent="0.25">
      <c r="B66" s="42">
        <v>53</v>
      </c>
      <c r="C66" s="42">
        <f>'CO_Attainment for Unit Tests'!B65</f>
        <v>2201180416</v>
      </c>
      <c r="D66" s="67" t="str">
        <f>'CO_Attainment for Unit Tests'!C65</f>
        <v>WAGHMARE AMAR BABAN</v>
      </c>
      <c r="E66" s="68">
        <v>44</v>
      </c>
      <c r="I66" s="41"/>
    </row>
    <row r="67" spans="2:9" ht="15.75" customHeight="1" x14ac:dyDescent="0.25">
      <c r="B67" s="42">
        <v>54</v>
      </c>
      <c r="C67" s="42">
        <f>'CO_Attainment for Unit Tests'!B66</f>
        <v>2201180417</v>
      </c>
      <c r="D67" s="67" t="str">
        <f>'CO_Attainment for Unit Tests'!C66</f>
        <v>DHEPE VAISHNAVI REVANNATH</v>
      </c>
      <c r="E67" s="68">
        <v>67</v>
      </c>
      <c r="I67" s="41"/>
    </row>
    <row r="68" spans="2:9" ht="15.75" customHeight="1" x14ac:dyDescent="0.25">
      <c r="B68" s="42">
        <v>55</v>
      </c>
      <c r="C68" s="42">
        <f>'CO_Attainment for Unit Tests'!B67</f>
        <v>2201180418</v>
      </c>
      <c r="D68" s="67" t="str">
        <f>'CO_Attainment for Unit Tests'!C67</f>
        <v>BAGADE GUNMANJIRI PURUSHOTTAM</v>
      </c>
      <c r="E68" s="68">
        <v>51</v>
      </c>
      <c r="I68" s="41"/>
    </row>
    <row r="69" spans="2:9" ht="15.75" customHeight="1" x14ac:dyDescent="0.25">
      <c r="B69" s="42">
        <v>56</v>
      </c>
      <c r="C69" s="42">
        <f>'CO_Attainment for Unit Tests'!B68</f>
        <v>2201180419</v>
      </c>
      <c r="D69" s="67" t="str">
        <f>'CO_Attainment for Unit Tests'!C68</f>
        <v>MULE SNEHA SANJIVAN</v>
      </c>
      <c r="E69" s="68">
        <v>56</v>
      </c>
      <c r="I69" s="41"/>
    </row>
    <row r="70" spans="2:9" ht="15.75" customHeight="1" x14ac:dyDescent="0.25">
      <c r="B70" s="42">
        <v>57</v>
      </c>
      <c r="C70" s="42">
        <f>'CO_Attainment for Unit Tests'!B69</f>
        <v>23510250259</v>
      </c>
      <c r="D70" s="67" t="str">
        <f>'CO_Attainment for Unit Tests'!C69</f>
        <v>BANSODE VINAYAK BABRUWAN</v>
      </c>
      <c r="E70" s="68">
        <v>0</v>
      </c>
      <c r="I70" s="48"/>
    </row>
    <row r="71" spans="2:9" ht="15.75" customHeight="1" x14ac:dyDescent="0.25">
      <c r="B71" s="42">
        <v>58</v>
      </c>
      <c r="C71" s="42">
        <f>'CO_Attainment for Unit Tests'!B70</f>
        <v>23510250260</v>
      </c>
      <c r="D71" s="67" t="str">
        <f>'CO_Attainment for Unit Tests'!C70</f>
        <v>ISHWARI ASHOK HAWALE</v>
      </c>
      <c r="E71" s="68">
        <v>0</v>
      </c>
      <c r="I71" s="48"/>
    </row>
    <row r="72" spans="2:9" ht="15.75" customHeight="1" x14ac:dyDescent="0.25">
      <c r="B72" s="42">
        <v>59</v>
      </c>
      <c r="C72" s="42">
        <f>'CO_Attainment for Unit Tests'!B71</f>
        <v>23510250261</v>
      </c>
      <c r="D72" s="67" t="str">
        <f>'CO_Attainment for Unit Tests'!C71</f>
        <v>JADHAV SANJYOT SHYAM</v>
      </c>
      <c r="E72" s="68">
        <v>40</v>
      </c>
      <c r="I72" s="41"/>
    </row>
    <row r="73" spans="2:9" ht="15.75" customHeight="1" x14ac:dyDescent="0.25">
      <c r="B73" s="42">
        <v>60</v>
      </c>
      <c r="C73" s="42">
        <f>'CO_Attainment for Unit Tests'!B72</f>
        <v>23510250262</v>
      </c>
      <c r="D73" s="67" t="str">
        <f>'CO_Attainment for Unit Tests'!C72</f>
        <v>KANLOD SHUBHAM GANPAT</v>
      </c>
      <c r="E73" s="68">
        <v>47</v>
      </c>
      <c r="I73" s="41"/>
    </row>
    <row r="74" spans="2:9" ht="15.75" customHeight="1" x14ac:dyDescent="0.25">
      <c r="B74" s="42">
        <v>61</v>
      </c>
      <c r="C74" s="42">
        <f>'CO_Attainment for Unit Tests'!B73</f>
        <v>23510250263</v>
      </c>
      <c r="D74" s="67" t="str">
        <f>'CO_Attainment for Unit Tests'!C73</f>
        <v>PHULARI VISHVJEET UMESH</v>
      </c>
      <c r="E74" s="68">
        <v>12</v>
      </c>
      <c r="I74" s="41"/>
    </row>
    <row r="75" spans="2:9" ht="15.75" customHeight="1" x14ac:dyDescent="0.25">
      <c r="B75" s="42">
        <v>62</v>
      </c>
      <c r="C75" s="42">
        <f>'CO_Attainment for Unit Tests'!B74</f>
        <v>23510250264</v>
      </c>
      <c r="D75" s="67" t="str">
        <f>'CO_Attainment for Unit Tests'!C74</f>
        <v>VHOTTE SHRUTIKA VAIJNATH</v>
      </c>
      <c r="E75" s="68">
        <v>0</v>
      </c>
      <c r="I75" s="48"/>
    </row>
    <row r="76" spans="2:9" ht="15.75" customHeight="1" x14ac:dyDescent="0.25">
      <c r="B76" s="42">
        <v>63</v>
      </c>
      <c r="C76" s="42">
        <f>'CO_Attainment for Unit Tests'!B75</f>
        <v>0</v>
      </c>
      <c r="D76" s="67">
        <f>'CO_Attainment for Unit Tests'!C75</f>
        <v>0</v>
      </c>
      <c r="E76" s="68"/>
    </row>
    <row r="77" spans="2:9" ht="15.75" customHeight="1" x14ac:dyDescent="0.25">
      <c r="B77" s="42">
        <v>64</v>
      </c>
      <c r="C77" s="42">
        <f>'CO_Attainment for Unit Tests'!B76</f>
        <v>0</v>
      </c>
      <c r="D77" s="67">
        <f>'CO_Attainment for Unit Tests'!C76</f>
        <v>0</v>
      </c>
      <c r="E77" s="68"/>
    </row>
    <row r="78" spans="2:9" ht="15.75" customHeight="1" x14ac:dyDescent="0.25">
      <c r="B78" s="42">
        <v>65</v>
      </c>
      <c r="C78" s="42">
        <f>'CO_Attainment for Unit Tests'!B77</f>
        <v>0</v>
      </c>
      <c r="D78" s="67">
        <f>'CO_Attainment for Unit Tests'!C77</f>
        <v>0</v>
      </c>
      <c r="E78" s="68"/>
    </row>
    <row r="79" spans="2:9" ht="15.75" customHeight="1" x14ac:dyDescent="0.25">
      <c r="B79" s="42">
        <v>66</v>
      </c>
      <c r="C79" s="42">
        <f>'CO_Attainment for Unit Tests'!B78</f>
        <v>0</v>
      </c>
      <c r="D79" s="67">
        <f>'CO_Attainment for Unit Tests'!C78</f>
        <v>0</v>
      </c>
      <c r="E79" s="68"/>
    </row>
    <row r="80" spans="2:9" ht="15.75" customHeight="1" x14ac:dyDescent="0.25">
      <c r="B80" s="42">
        <v>67</v>
      </c>
      <c r="C80" s="42">
        <f>'CO_Attainment for Unit Tests'!B78</f>
        <v>0</v>
      </c>
      <c r="D80" s="67">
        <f>'CO_Attainment for Unit Tests'!C75</f>
        <v>0</v>
      </c>
      <c r="E80" s="68"/>
    </row>
    <row r="81" spans="2:5" ht="15.75" customHeight="1" x14ac:dyDescent="0.25">
      <c r="B81" s="42">
        <v>68</v>
      </c>
      <c r="C81" s="42">
        <f>'CO_Attainment for Unit Tests'!B79</f>
        <v>0</v>
      </c>
      <c r="D81" s="67">
        <f>'CO_Attainment for Unit Tests'!C76</f>
        <v>0</v>
      </c>
      <c r="E81" s="68"/>
    </row>
    <row r="82" spans="2:5" ht="15.75" customHeight="1" x14ac:dyDescent="0.25">
      <c r="B82" s="42">
        <v>69</v>
      </c>
      <c r="C82" s="42">
        <f>'CO_Attainment for Unit Tests'!B80</f>
        <v>0</v>
      </c>
      <c r="D82" s="67">
        <f>'CO_Attainment for Unit Tests'!C77</f>
        <v>0</v>
      </c>
      <c r="E82" s="68"/>
    </row>
    <row r="83" spans="2:5" ht="15.75" customHeight="1" x14ac:dyDescent="0.25">
      <c r="B83" s="42">
        <v>70</v>
      </c>
      <c r="C83" s="42">
        <f>'CO_Attainment for Unit Tests'!B81</f>
        <v>0</v>
      </c>
      <c r="D83" s="67">
        <f>'CO_Attainment for Unit Tests'!C78</f>
        <v>0</v>
      </c>
      <c r="E83" s="68"/>
    </row>
    <row r="84" spans="2:5" ht="15.75" customHeight="1" x14ac:dyDescent="0.25">
      <c r="B84" s="42">
        <v>71</v>
      </c>
      <c r="C84" s="42">
        <f>'CO_Attainment for Unit Tests'!B82</f>
        <v>0</v>
      </c>
      <c r="D84" s="67">
        <f>'CO_Attainment for Unit Tests'!C82</f>
        <v>0</v>
      </c>
      <c r="E84" s="69"/>
    </row>
    <row r="85" spans="2:5" ht="15.75" customHeight="1" x14ac:dyDescent="0.25">
      <c r="B85" s="42">
        <v>72</v>
      </c>
      <c r="C85" s="42">
        <f>'CO_Attainment for Unit Tests'!B83</f>
        <v>0</v>
      </c>
      <c r="D85" s="67">
        <f>'CO_Attainment for Unit Tests'!C83</f>
        <v>0</v>
      </c>
      <c r="E85" s="50"/>
    </row>
    <row r="86" spans="2:5" ht="15.75" customHeight="1" x14ac:dyDescent="0.25">
      <c r="B86" s="42">
        <v>73</v>
      </c>
      <c r="C86" s="42">
        <f>'CO_Attainment for Unit Tests'!B84</f>
        <v>0</v>
      </c>
      <c r="D86" s="67">
        <f>'CO_Attainment for Unit Tests'!C84</f>
        <v>0</v>
      </c>
      <c r="E86" s="50"/>
    </row>
    <row r="87" spans="2:5" ht="15.75" customHeight="1" x14ac:dyDescent="0.25">
      <c r="B87" s="42">
        <v>74</v>
      </c>
      <c r="C87" s="42">
        <f>'CO_Attainment for Unit Tests'!B85</f>
        <v>0</v>
      </c>
      <c r="D87" s="67">
        <f>'CO_Attainment for Unit Tests'!C85</f>
        <v>0</v>
      </c>
      <c r="E87" s="50"/>
    </row>
    <row r="88" spans="2:5" ht="15" customHeight="1" x14ac:dyDescent="0.25">
      <c r="B88" s="42">
        <v>75</v>
      </c>
      <c r="C88" s="42">
        <f>'CO_Attainment for Unit Tests'!B86</f>
        <v>0</v>
      </c>
      <c r="D88" s="67">
        <f>'CO_Attainment for Unit Tests'!C86</f>
        <v>0</v>
      </c>
      <c r="E88" s="50"/>
    </row>
    <row r="89" spans="2:5" ht="15.75" customHeight="1" x14ac:dyDescent="0.25">
      <c r="B89" s="42">
        <v>76</v>
      </c>
      <c r="C89" s="42">
        <f>'CO_Attainment for Unit Tests'!B87</f>
        <v>0</v>
      </c>
      <c r="D89" s="67">
        <f>'CO_Attainment for Unit Tests'!C87</f>
        <v>0</v>
      </c>
      <c r="E89" s="50"/>
    </row>
    <row r="90" spans="2:5" ht="15.75" customHeight="1" x14ac:dyDescent="0.25">
      <c r="B90" s="42">
        <v>77</v>
      </c>
      <c r="C90" s="42">
        <f>'CO_Attainment for Unit Tests'!B88</f>
        <v>0</v>
      </c>
      <c r="D90" s="67">
        <f>'CO_Attainment for Unit Tests'!C88</f>
        <v>0</v>
      </c>
      <c r="E90" s="50"/>
    </row>
    <row r="91" spans="2:5" ht="15.75" customHeight="1" x14ac:dyDescent="0.25">
      <c r="B91" s="42">
        <v>78</v>
      </c>
      <c r="C91" s="42">
        <f>'CO_Attainment for Unit Tests'!B89</f>
        <v>0</v>
      </c>
      <c r="D91" s="67">
        <f>'CO_Attainment for Unit Tests'!C89</f>
        <v>0</v>
      </c>
      <c r="E91" s="50"/>
    </row>
    <row r="92" spans="2:5" ht="15.75" customHeight="1" x14ac:dyDescent="0.25">
      <c r="B92" s="42">
        <v>79</v>
      </c>
      <c r="C92" s="42">
        <f>'CO_Attainment for Unit Tests'!B90</f>
        <v>0</v>
      </c>
      <c r="D92" s="67">
        <f>'CO_Attainment for Unit Tests'!C90</f>
        <v>0</v>
      </c>
      <c r="E92" s="50"/>
    </row>
    <row r="93" spans="2:5" ht="15.75" customHeight="1" x14ac:dyDescent="0.25">
      <c r="B93" s="42">
        <v>80</v>
      </c>
      <c r="C93" s="42">
        <f>'CO_Attainment for Unit Tests'!B91</f>
        <v>0</v>
      </c>
      <c r="D93" s="67">
        <f>'CO_Attainment for Unit Tests'!C91</f>
        <v>0</v>
      </c>
      <c r="E93" s="50"/>
    </row>
    <row r="94" spans="2:5" ht="24.75" customHeight="1" x14ac:dyDescent="0.25">
      <c r="B94" s="42">
        <v>81</v>
      </c>
      <c r="C94" s="42">
        <f>'CO_Attainment for Unit Tests'!B92</f>
        <v>0</v>
      </c>
      <c r="D94" s="67">
        <f>'CO_Attainment for Unit Tests'!C92</f>
        <v>0</v>
      </c>
      <c r="E94" s="50"/>
    </row>
    <row r="95" spans="2:5" ht="15.75" customHeight="1" x14ac:dyDescent="0.25">
      <c r="B95" s="42">
        <v>82</v>
      </c>
      <c r="C95" s="42">
        <f>'CO_Attainment for Unit Tests'!B93</f>
        <v>0</v>
      </c>
      <c r="D95" s="67">
        <f>'CO_Attainment for Unit Tests'!C93</f>
        <v>0</v>
      </c>
      <c r="E95" s="50"/>
    </row>
    <row r="96" spans="2:5" ht="15.75" customHeight="1" x14ac:dyDescent="0.25">
      <c r="B96" s="42">
        <v>83</v>
      </c>
      <c r="C96" s="42">
        <f>'CO_Attainment for Unit Tests'!B94</f>
        <v>0</v>
      </c>
      <c r="D96" s="67">
        <f>'CO_Attainment for Unit Tests'!C94</f>
        <v>0</v>
      </c>
      <c r="E96" s="50"/>
    </row>
    <row r="97" spans="1:9" ht="33" customHeight="1" x14ac:dyDescent="0.25">
      <c r="B97" s="4"/>
      <c r="C97" s="4"/>
      <c r="D97" s="70" t="s">
        <v>150</v>
      </c>
      <c r="E97" s="279">
        <f>D98*E13/100</f>
        <v>26.579000000000001</v>
      </c>
    </row>
    <row r="98" spans="1:9" ht="15.75" customHeight="1" thickBot="1" x14ac:dyDescent="0.3">
      <c r="D98" s="198">
        <v>37.97</v>
      </c>
      <c r="E98" s="233"/>
    </row>
    <row r="99" spans="1:9" ht="15" customHeight="1" thickBot="1" x14ac:dyDescent="0.3">
      <c r="D99" s="197" t="s">
        <v>136</v>
      </c>
      <c r="E99" s="72">
        <f>COUNTIF(E14:E96,"&gt;=" &amp;E97)</f>
        <v>55</v>
      </c>
    </row>
    <row r="100" spans="1:9" ht="15.75" customHeight="1" x14ac:dyDescent="0.25">
      <c r="B100" s="4" t="s">
        <v>151</v>
      </c>
      <c r="D100" s="73"/>
      <c r="E100" s="74"/>
    </row>
    <row r="101" spans="1:9" ht="15.75" customHeight="1" x14ac:dyDescent="0.25">
      <c r="D101" s="73"/>
      <c r="E101" s="74"/>
    </row>
    <row r="102" spans="1:9" ht="15.75" customHeight="1" x14ac:dyDescent="0.25">
      <c r="E102" s="14"/>
    </row>
    <row r="103" spans="1:9" ht="33.75" customHeight="1" x14ac:dyDescent="0.25">
      <c r="A103" s="235" t="s">
        <v>137</v>
      </c>
      <c r="B103" s="222"/>
      <c r="C103" s="222"/>
      <c r="D103" s="220"/>
      <c r="E103" s="75" t="s">
        <v>138</v>
      </c>
      <c r="F103" s="52"/>
      <c r="G103" s="76" t="s">
        <v>139</v>
      </c>
      <c r="H103" s="77"/>
      <c r="I103" s="77"/>
    </row>
    <row r="104" spans="1:9" ht="15" customHeight="1" x14ac:dyDescent="0.25">
      <c r="A104" s="238" t="s">
        <v>140</v>
      </c>
      <c r="B104" s="78">
        <v>0.5</v>
      </c>
      <c r="C104" s="280" t="s">
        <v>152</v>
      </c>
      <c r="D104" s="281"/>
      <c r="E104" s="282">
        <f>COUNTA(D14:D96)-COUNTIFS(D14:D96,0)</f>
        <v>62</v>
      </c>
      <c r="F104" s="194">
        <f t="shared" ref="F104:F106" si="0">B104*$E$104</f>
        <v>31</v>
      </c>
      <c r="G104" s="80">
        <v>1</v>
      </c>
      <c r="H104" s="77"/>
      <c r="I104" s="77"/>
    </row>
    <row r="105" spans="1:9" ht="15.75" customHeight="1" x14ac:dyDescent="0.25">
      <c r="A105" s="239"/>
      <c r="B105" s="81">
        <v>0.6</v>
      </c>
      <c r="C105" s="284" t="s">
        <v>152</v>
      </c>
      <c r="D105" s="246"/>
      <c r="E105" s="214"/>
      <c r="F105" s="195">
        <f t="shared" si="0"/>
        <v>37.199999999999996</v>
      </c>
      <c r="G105" s="83">
        <v>2</v>
      </c>
      <c r="H105" s="77"/>
      <c r="I105" s="77"/>
    </row>
    <row r="106" spans="1:9" ht="15.75" customHeight="1" x14ac:dyDescent="0.25">
      <c r="A106" s="240"/>
      <c r="B106" s="84">
        <v>0.7</v>
      </c>
      <c r="C106" s="285" t="s">
        <v>153</v>
      </c>
      <c r="D106" s="248"/>
      <c r="E106" s="215"/>
      <c r="F106" s="96">
        <f t="shared" si="0"/>
        <v>43.4</v>
      </c>
      <c r="G106" s="86">
        <v>3</v>
      </c>
      <c r="H106" s="77"/>
      <c r="I106" s="77"/>
    </row>
    <row r="107" spans="1:9" ht="15.75" customHeight="1" x14ac:dyDescent="0.25">
      <c r="A107" s="77"/>
      <c r="B107" s="77"/>
      <c r="C107" s="77"/>
      <c r="D107" s="77"/>
      <c r="E107" s="87"/>
      <c r="F107" s="77"/>
      <c r="G107" s="77"/>
      <c r="H107" s="77"/>
      <c r="I107" s="77"/>
    </row>
    <row r="108" spans="1:9" ht="15.75" customHeight="1" x14ac:dyDescent="0.25">
      <c r="A108" s="77"/>
      <c r="B108" s="77"/>
      <c r="C108" s="77"/>
      <c r="D108" s="77"/>
      <c r="E108" s="87"/>
      <c r="F108" s="77"/>
      <c r="G108" s="77"/>
      <c r="H108" s="77"/>
      <c r="I108" s="77"/>
    </row>
    <row r="109" spans="1:9" ht="71.25" customHeight="1" x14ac:dyDescent="0.25">
      <c r="A109" s="286" t="s">
        <v>154</v>
      </c>
      <c r="B109" s="287"/>
      <c r="C109" s="60" t="s">
        <v>9</v>
      </c>
      <c r="D109" s="60" t="s">
        <v>11</v>
      </c>
      <c r="E109" s="60" t="s">
        <v>13</v>
      </c>
      <c r="F109" s="60" t="s">
        <v>15</v>
      </c>
      <c r="G109" s="60" t="s">
        <v>143</v>
      </c>
      <c r="H109" s="61" t="s">
        <v>144</v>
      </c>
      <c r="I109" s="77"/>
    </row>
    <row r="110" spans="1:9" ht="39" customHeight="1" x14ac:dyDescent="0.25">
      <c r="A110" s="276" t="s">
        <v>155</v>
      </c>
      <c r="B110" s="277"/>
      <c r="C110" s="63">
        <f>IF(E99&gt;=$F106,3,IF(E99&gt;=$F105,2,IF(E99&gt;=$F104,1,0)))</f>
        <v>3</v>
      </c>
      <c r="D110" s="63">
        <f t="shared" ref="D110:H110" si="1">$C110</f>
        <v>3</v>
      </c>
      <c r="E110" s="63">
        <f t="shared" si="1"/>
        <v>3</v>
      </c>
      <c r="F110" s="63">
        <f t="shared" si="1"/>
        <v>3</v>
      </c>
      <c r="G110" s="63">
        <f t="shared" si="1"/>
        <v>3</v>
      </c>
      <c r="H110" s="63">
        <f t="shared" si="1"/>
        <v>3</v>
      </c>
      <c r="I110" s="77"/>
    </row>
    <row r="111" spans="1:9" ht="15.75" customHeight="1" x14ac:dyDescent="0.25">
      <c r="A111" s="77" t="s">
        <v>156</v>
      </c>
      <c r="B111" s="77"/>
      <c r="C111" s="77"/>
      <c r="D111" s="77"/>
      <c r="E111" s="87"/>
      <c r="F111" s="77"/>
      <c r="G111" s="77"/>
      <c r="H111" s="77"/>
      <c r="I111" s="77"/>
    </row>
    <row r="112" spans="1:9" ht="15.75" customHeight="1" x14ac:dyDescent="0.25">
      <c r="A112" s="77"/>
      <c r="B112" s="77"/>
      <c r="C112" s="77"/>
      <c r="D112" s="77"/>
      <c r="E112" s="87"/>
      <c r="F112" s="77"/>
      <c r="G112" s="77"/>
      <c r="H112" s="77"/>
      <c r="I112" s="77"/>
    </row>
    <row r="113" spans="5:5" ht="15.75" customHeight="1" x14ac:dyDescent="0.25">
      <c r="E113" s="14"/>
    </row>
    <row r="114" spans="5:5" ht="15.75" customHeight="1" x14ac:dyDescent="0.25">
      <c r="E114" s="14"/>
    </row>
    <row r="115" spans="5:5" ht="15.75" customHeight="1" x14ac:dyDescent="0.25">
      <c r="E115" s="14"/>
    </row>
    <row r="116" spans="5:5" ht="15.75" customHeight="1" x14ac:dyDescent="0.25">
      <c r="E116" s="14"/>
    </row>
    <row r="117" spans="5:5" ht="15.75" customHeight="1" x14ac:dyDescent="0.25">
      <c r="E117" s="14"/>
    </row>
    <row r="118" spans="5:5" ht="15.75" customHeight="1" x14ac:dyDescent="0.25">
      <c r="E118" s="14"/>
    </row>
    <row r="119" spans="5:5" ht="15.75" customHeight="1" x14ac:dyDescent="0.25">
      <c r="E119" s="14"/>
    </row>
    <row r="120" spans="5:5" ht="15.75" customHeight="1" x14ac:dyDescent="0.25">
      <c r="E120" s="14"/>
    </row>
    <row r="121" spans="5:5" ht="15.75" customHeight="1" x14ac:dyDescent="0.25">
      <c r="E121" s="14"/>
    </row>
    <row r="122" spans="5:5" ht="15.75" customHeight="1" x14ac:dyDescent="0.25">
      <c r="E122" s="14"/>
    </row>
    <row r="123" spans="5:5" ht="15.75" customHeight="1" x14ac:dyDescent="0.25">
      <c r="E123" s="14"/>
    </row>
    <row r="124" spans="5:5" ht="15.75" customHeight="1" x14ac:dyDescent="0.25">
      <c r="E124" s="14"/>
    </row>
    <row r="125" spans="5:5" ht="15.75" customHeight="1" x14ac:dyDescent="0.25">
      <c r="E125" s="14"/>
    </row>
    <row r="126" spans="5:5" ht="15.75" customHeight="1" x14ac:dyDescent="0.25">
      <c r="E126" s="14"/>
    </row>
    <row r="127" spans="5:5" ht="15.75" customHeight="1" x14ac:dyDescent="0.25">
      <c r="E127" s="14"/>
    </row>
    <row r="128" spans="5:5" ht="15.75" customHeight="1" x14ac:dyDescent="0.25">
      <c r="E128" s="14"/>
    </row>
    <row r="129" spans="5:5" ht="15.75" customHeight="1" x14ac:dyDescent="0.25">
      <c r="E129" s="14"/>
    </row>
    <row r="130" spans="5:5" ht="15.75" customHeight="1" x14ac:dyDescent="0.25">
      <c r="E130" s="14"/>
    </row>
    <row r="131" spans="5:5" ht="15.75" customHeight="1" x14ac:dyDescent="0.25">
      <c r="E131" s="14"/>
    </row>
    <row r="132" spans="5:5" ht="15.75" customHeight="1" x14ac:dyDescent="0.25">
      <c r="E132" s="14"/>
    </row>
    <row r="133" spans="5:5" ht="15.75" customHeight="1" x14ac:dyDescent="0.25">
      <c r="E133" s="14"/>
    </row>
    <row r="134" spans="5:5" ht="15.75" customHeight="1" x14ac:dyDescent="0.25">
      <c r="E134" s="14"/>
    </row>
    <row r="135" spans="5:5" ht="15.75" customHeight="1" x14ac:dyDescent="0.25">
      <c r="E135" s="14"/>
    </row>
    <row r="136" spans="5:5" ht="15.75" customHeight="1" x14ac:dyDescent="0.25">
      <c r="E136" s="14"/>
    </row>
    <row r="137" spans="5:5" ht="15.75" customHeight="1" x14ac:dyDescent="0.25">
      <c r="E137" s="14"/>
    </row>
    <row r="138" spans="5:5" ht="15.75" customHeight="1" x14ac:dyDescent="0.25">
      <c r="E138" s="14"/>
    </row>
    <row r="139" spans="5:5" ht="15.75" customHeight="1" x14ac:dyDescent="0.25">
      <c r="E139" s="14"/>
    </row>
    <row r="140" spans="5:5" ht="15.75" customHeight="1" x14ac:dyDescent="0.25">
      <c r="E140" s="14"/>
    </row>
    <row r="141" spans="5:5" ht="15.75" customHeight="1" x14ac:dyDescent="0.25">
      <c r="E141" s="14"/>
    </row>
    <row r="142" spans="5:5" ht="15.75" customHeight="1" x14ac:dyDescent="0.25">
      <c r="E142" s="14"/>
    </row>
    <row r="143" spans="5:5" ht="15.75" customHeight="1" x14ac:dyDescent="0.25">
      <c r="E143" s="14"/>
    </row>
    <row r="144" spans="5:5" ht="15.75" customHeight="1" x14ac:dyDescent="0.25">
      <c r="E144" s="14"/>
    </row>
    <row r="145" spans="5:5" ht="15.75" customHeight="1" x14ac:dyDescent="0.25">
      <c r="E145" s="14"/>
    </row>
    <row r="146" spans="5:5" ht="15.75" customHeight="1" x14ac:dyDescent="0.25">
      <c r="E146" s="14"/>
    </row>
    <row r="147" spans="5:5" ht="15.75" customHeight="1" x14ac:dyDescent="0.25">
      <c r="E147" s="14"/>
    </row>
    <row r="148" spans="5:5" ht="15.75" customHeight="1" x14ac:dyDescent="0.25">
      <c r="E148" s="14"/>
    </row>
    <row r="149" spans="5:5" ht="15.75" customHeight="1" x14ac:dyDescent="0.25">
      <c r="E149" s="14"/>
    </row>
    <row r="150" spans="5:5" ht="15.75" customHeight="1" x14ac:dyDescent="0.25">
      <c r="E150" s="14"/>
    </row>
    <row r="151" spans="5:5" ht="15.75" customHeight="1" x14ac:dyDescent="0.25">
      <c r="E151" s="14"/>
    </row>
    <row r="152" spans="5:5" ht="15.75" customHeight="1" x14ac:dyDescent="0.25">
      <c r="E152" s="14"/>
    </row>
    <row r="153" spans="5:5" ht="15.75" customHeight="1" x14ac:dyDescent="0.25">
      <c r="E153" s="14"/>
    </row>
    <row r="154" spans="5:5" ht="15.75" customHeight="1" x14ac:dyDescent="0.25">
      <c r="E154" s="14"/>
    </row>
    <row r="155" spans="5:5" ht="15.75" customHeight="1" x14ac:dyDescent="0.25">
      <c r="E155" s="14"/>
    </row>
    <row r="156" spans="5:5" ht="15.75" customHeight="1" x14ac:dyDescent="0.25">
      <c r="E156" s="14"/>
    </row>
    <row r="157" spans="5:5" ht="15.75" customHeight="1" x14ac:dyDescent="0.25">
      <c r="E157" s="14"/>
    </row>
    <row r="158" spans="5:5" ht="15.75" customHeight="1" x14ac:dyDescent="0.25">
      <c r="E158" s="14"/>
    </row>
    <row r="159" spans="5:5" ht="15.75" customHeight="1" x14ac:dyDescent="0.25">
      <c r="E159" s="14"/>
    </row>
    <row r="160" spans="5:5" ht="15.75" customHeight="1" x14ac:dyDescent="0.25">
      <c r="E160" s="14"/>
    </row>
    <row r="161" spans="5:5" ht="15.75" customHeight="1" x14ac:dyDescent="0.25">
      <c r="E161" s="14"/>
    </row>
    <row r="162" spans="5:5" ht="15.75" customHeight="1" x14ac:dyDescent="0.25">
      <c r="E162" s="14"/>
    </row>
    <row r="163" spans="5:5" ht="15.75" customHeight="1" x14ac:dyDescent="0.25">
      <c r="E163" s="14"/>
    </row>
    <row r="164" spans="5:5" ht="15.75" customHeight="1" x14ac:dyDescent="0.25">
      <c r="E164" s="14"/>
    </row>
    <row r="165" spans="5:5" ht="15.75" customHeight="1" x14ac:dyDescent="0.25">
      <c r="E165" s="14"/>
    </row>
    <row r="166" spans="5:5" ht="15.75" customHeight="1" x14ac:dyDescent="0.25">
      <c r="E166" s="14"/>
    </row>
    <row r="167" spans="5:5" ht="15.75" customHeight="1" x14ac:dyDescent="0.25">
      <c r="E167" s="14"/>
    </row>
    <row r="168" spans="5:5" ht="15.75" customHeight="1" x14ac:dyDescent="0.25">
      <c r="E168" s="14"/>
    </row>
    <row r="169" spans="5:5" ht="15.75" customHeight="1" x14ac:dyDescent="0.25">
      <c r="E169" s="14"/>
    </row>
    <row r="170" spans="5:5" ht="15.75" customHeight="1" x14ac:dyDescent="0.25">
      <c r="E170" s="14"/>
    </row>
    <row r="171" spans="5:5" ht="15.75" customHeight="1" x14ac:dyDescent="0.25">
      <c r="E171" s="14"/>
    </row>
    <row r="172" spans="5:5" ht="15.75" customHeight="1" x14ac:dyDescent="0.25">
      <c r="E172" s="14"/>
    </row>
    <row r="173" spans="5:5" ht="15.75" customHeight="1" x14ac:dyDescent="0.25">
      <c r="E173" s="14"/>
    </row>
    <row r="174" spans="5:5" ht="15.75" customHeight="1" x14ac:dyDescent="0.25">
      <c r="E174" s="14"/>
    </row>
    <row r="175" spans="5:5" ht="15.75" customHeight="1" x14ac:dyDescent="0.25">
      <c r="E175" s="14"/>
    </row>
    <row r="176" spans="5:5" ht="15.75" customHeight="1" x14ac:dyDescent="0.25">
      <c r="E176" s="14"/>
    </row>
    <row r="177" spans="5:5" ht="15.75" customHeight="1" x14ac:dyDescent="0.25">
      <c r="E177" s="14"/>
    </row>
    <row r="178" spans="5:5" ht="15.75" customHeight="1" x14ac:dyDescent="0.25">
      <c r="E178" s="14"/>
    </row>
    <row r="179" spans="5:5" ht="15.75" customHeight="1" x14ac:dyDescent="0.25">
      <c r="E179" s="14"/>
    </row>
    <row r="180" spans="5:5" ht="15.75" customHeight="1" x14ac:dyDescent="0.25">
      <c r="E180" s="14"/>
    </row>
    <row r="181" spans="5:5" ht="15.75" customHeight="1" x14ac:dyDescent="0.25">
      <c r="E181" s="14"/>
    </row>
    <row r="182" spans="5:5" ht="15.75" customHeight="1" x14ac:dyDescent="0.25">
      <c r="E182" s="14"/>
    </row>
    <row r="183" spans="5:5" ht="15.75" customHeight="1" x14ac:dyDescent="0.25">
      <c r="E183" s="14"/>
    </row>
    <row r="184" spans="5:5" ht="15.75" customHeight="1" x14ac:dyDescent="0.25">
      <c r="E184" s="14"/>
    </row>
    <row r="185" spans="5:5" ht="15.75" customHeight="1" x14ac:dyDescent="0.25">
      <c r="E185" s="14"/>
    </row>
    <row r="186" spans="5:5" ht="15.75" customHeight="1" x14ac:dyDescent="0.25">
      <c r="E186" s="14"/>
    </row>
    <row r="187" spans="5:5" ht="15.75" customHeight="1" x14ac:dyDescent="0.25">
      <c r="E187" s="14"/>
    </row>
    <row r="188" spans="5:5" ht="15.75" customHeight="1" x14ac:dyDescent="0.25">
      <c r="E188" s="14"/>
    </row>
    <row r="189" spans="5:5" ht="15.75" customHeight="1" x14ac:dyDescent="0.25">
      <c r="E189" s="14"/>
    </row>
    <row r="190" spans="5:5" ht="15.75" customHeight="1" x14ac:dyDescent="0.25">
      <c r="E190" s="14"/>
    </row>
    <row r="191" spans="5:5" ht="15.75" customHeight="1" x14ac:dyDescent="0.25">
      <c r="E191" s="14"/>
    </row>
    <row r="192" spans="5:5" ht="15.75" customHeight="1" x14ac:dyDescent="0.25">
      <c r="E192" s="14"/>
    </row>
    <row r="193" spans="5:5" ht="15.75" customHeight="1" x14ac:dyDescent="0.25">
      <c r="E193" s="14"/>
    </row>
    <row r="194" spans="5:5" ht="15.75" customHeight="1" x14ac:dyDescent="0.25">
      <c r="E194" s="14"/>
    </row>
    <row r="195" spans="5:5" ht="15.75" customHeight="1" x14ac:dyDescent="0.25">
      <c r="E195" s="14"/>
    </row>
    <row r="196" spans="5:5" ht="15.75" customHeight="1" x14ac:dyDescent="0.25">
      <c r="E196" s="14"/>
    </row>
    <row r="197" spans="5:5" ht="15.75" customHeight="1" x14ac:dyDescent="0.25">
      <c r="E197" s="14"/>
    </row>
    <row r="198" spans="5:5" ht="15.75" customHeight="1" x14ac:dyDescent="0.25">
      <c r="E198" s="14"/>
    </row>
    <row r="199" spans="5:5" ht="15.75" customHeight="1" x14ac:dyDescent="0.25">
      <c r="E199" s="14"/>
    </row>
    <row r="200" spans="5:5" ht="15.75" customHeight="1" x14ac:dyDescent="0.25">
      <c r="E200" s="14"/>
    </row>
    <row r="201" spans="5:5" ht="15.75" customHeight="1" x14ac:dyDescent="0.25">
      <c r="E201" s="14"/>
    </row>
    <row r="202" spans="5:5" ht="15.75" customHeight="1" x14ac:dyDescent="0.25">
      <c r="E202" s="14"/>
    </row>
    <row r="203" spans="5:5" ht="15.75" customHeight="1" x14ac:dyDescent="0.25">
      <c r="E203" s="14"/>
    </row>
    <row r="204" spans="5:5" ht="15.75" customHeight="1" x14ac:dyDescent="0.25">
      <c r="E204" s="14"/>
    </row>
    <row r="205" spans="5:5" ht="15.75" customHeight="1" x14ac:dyDescent="0.25">
      <c r="E205" s="14"/>
    </row>
    <row r="206" spans="5:5" ht="15.75" customHeight="1" x14ac:dyDescent="0.25">
      <c r="E206" s="14"/>
    </row>
    <row r="207" spans="5:5" ht="15.75" customHeight="1" x14ac:dyDescent="0.25">
      <c r="E207" s="14"/>
    </row>
    <row r="208" spans="5:5" ht="15.75" customHeight="1" x14ac:dyDescent="0.25">
      <c r="E208" s="14"/>
    </row>
    <row r="209" spans="5:5" ht="15.75" customHeight="1" x14ac:dyDescent="0.25">
      <c r="E209" s="14"/>
    </row>
    <row r="210" spans="5:5" ht="15.75" customHeight="1" x14ac:dyDescent="0.25">
      <c r="E210" s="14"/>
    </row>
    <row r="211" spans="5:5" ht="15.75" customHeight="1" x14ac:dyDescent="0.25">
      <c r="E211" s="14"/>
    </row>
    <row r="212" spans="5:5" ht="15.75" customHeight="1" x14ac:dyDescent="0.25">
      <c r="E212" s="14"/>
    </row>
    <row r="213" spans="5:5" ht="15.75" customHeight="1" x14ac:dyDescent="0.25">
      <c r="E213" s="14"/>
    </row>
    <row r="214" spans="5:5" ht="15.75" customHeight="1" x14ac:dyDescent="0.25">
      <c r="E214" s="14"/>
    </row>
    <row r="215" spans="5:5" ht="15.75" customHeight="1" x14ac:dyDescent="0.25">
      <c r="E215" s="14"/>
    </row>
    <row r="216" spans="5:5" ht="15.75" customHeight="1" x14ac:dyDescent="0.25">
      <c r="E216" s="14"/>
    </row>
    <row r="217" spans="5:5" ht="15.75" customHeight="1" x14ac:dyDescent="0.25">
      <c r="E217" s="14"/>
    </row>
    <row r="218" spans="5:5" ht="15.75" customHeight="1" x14ac:dyDescent="0.25">
      <c r="E218" s="14"/>
    </row>
    <row r="219" spans="5:5" ht="15.75" customHeight="1" x14ac:dyDescent="0.25">
      <c r="E219" s="14"/>
    </row>
    <row r="220" spans="5:5" ht="15.75" customHeight="1" x14ac:dyDescent="0.25">
      <c r="E220" s="14"/>
    </row>
    <row r="221" spans="5:5" ht="15.75" customHeight="1" x14ac:dyDescent="0.25">
      <c r="E221" s="14"/>
    </row>
    <row r="222" spans="5:5" ht="15.75" customHeight="1" x14ac:dyDescent="0.25">
      <c r="E222" s="14"/>
    </row>
    <row r="223" spans="5:5" ht="15.75" customHeight="1" x14ac:dyDescent="0.25">
      <c r="E223" s="14"/>
    </row>
    <row r="224" spans="5:5" ht="15.75" customHeight="1" x14ac:dyDescent="0.25">
      <c r="E224" s="14"/>
    </row>
    <row r="225" spans="5:5" ht="15.75" customHeight="1" x14ac:dyDescent="0.25">
      <c r="E225" s="14"/>
    </row>
    <row r="226" spans="5:5" ht="15.75" customHeight="1" x14ac:dyDescent="0.25">
      <c r="E226" s="14"/>
    </row>
    <row r="227" spans="5:5" ht="15.75" customHeight="1" x14ac:dyDescent="0.25">
      <c r="E227" s="14"/>
    </row>
    <row r="228" spans="5:5" ht="15.75" customHeight="1" x14ac:dyDescent="0.25">
      <c r="E228" s="14"/>
    </row>
    <row r="229" spans="5:5" ht="15.75" customHeight="1" x14ac:dyDescent="0.25">
      <c r="E229" s="14"/>
    </row>
    <row r="230" spans="5:5" ht="15.75" customHeight="1" x14ac:dyDescent="0.25">
      <c r="E230" s="14"/>
    </row>
    <row r="231" spans="5:5" ht="15.75" customHeight="1" x14ac:dyDescent="0.25">
      <c r="E231" s="14"/>
    </row>
    <row r="232" spans="5:5" ht="15.75" customHeight="1" x14ac:dyDescent="0.25">
      <c r="E232" s="14"/>
    </row>
    <row r="233" spans="5:5" ht="15.75" customHeight="1" x14ac:dyDescent="0.25">
      <c r="E233" s="14"/>
    </row>
    <row r="234" spans="5:5" ht="15.75" customHeight="1" x14ac:dyDescent="0.25">
      <c r="E234" s="14"/>
    </row>
    <row r="235" spans="5:5" ht="15.75" customHeight="1" x14ac:dyDescent="0.25">
      <c r="E235" s="14"/>
    </row>
    <row r="236" spans="5:5" ht="15.75" customHeight="1" x14ac:dyDescent="0.25">
      <c r="E236" s="14"/>
    </row>
    <row r="237" spans="5:5" ht="15.75" customHeight="1" x14ac:dyDescent="0.25">
      <c r="E237" s="14"/>
    </row>
    <row r="238" spans="5:5" ht="15.75" customHeight="1" x14ac:dyDescent="0.25">
      <c r="E238" s="14"/>
    </row>
    <row r="239" spans="5:5" ht="15.75" customHeight="1" x14ac:dyDescent="0.25">
      <c r="E239" s="14"/>
    </row>
    <row r="240" spans="5:5" ht="15.75" customHeight="1" x14ac:dyDescent="0.25">
      <c r="E240" s="14"/>
    </row>
    <row r="241" spans="5:5" ht="15.75" customHeight="1" x14ac:dyDescent="0.25">
      <c r="E241" s="14"/>
    </row>
    <row r="242" spans="5:5" ht="15.75" customHeight="1" x14ac:dyDescent="0.25">
      <c r="E242" s="14"/>
    </row>
    <row r="243" spans="5:5" ht="15.75" customHeight="1" x14ac:dyDescent="0.25">
      <c r="E243" s="14"/>
    </row>
    <row r="244" spans="5:5" ht="15.75" customHeight="1" x14ac:dyDescent="0.25">
      <c r="E244" s="14"/>
    </row>
    <row r="245" spans="5:5" ht="15.75" customHeight="1" x14ac:dyDescent="0.25">
      <c r="E245" s="14"/>
    </row>
    <row r="246" spans="5:5" ht="15.75" customHeight="1" x14ac:dyDescent="0.25">
      <c r="E246" s="14"/>
    </row>
    <row r="247" spans="5:5" ht="15.75" customHeight="1" x14ac:dyDescent="0.25">
      <c r="E247" s="14"/>
    </row>
    <row r="248" spans="5:5" ht="15.75" customHeight="1" x14ac:dyDescent="0.25">
      <c r="E248" s="14"/>
    </row>
    <row r="249" spans="5:5" ht="15.75" customHeight="1" x14ac:dyDescent="0.25">
      <c r="E249" s="14"/>
    </row>
    <row r="250" spans="5:5" ht="15.75" customHeight="1" x14ac:dyDescent="0.25">
      <c r="E250" s="14"/>
    </row>
    <row r="251" spans="5:5" ht="15.75" customHeight="1" x14ac:dyDescent="0.25">
      <c r="E251" s="14"/>
    </row>
    <row r="252" spans="5:5" ht="15.75" customHeight="1" x14ac:dyDescent="0.25">
      <c r="E252" s="14"/>
    </row>
    <row r="253" spans="5:5" ht="15.75" customHeight="1" x14ac:dyDescent="0.25">
      <c r="E253" s="14"/>
    </row>
    <row r="254" spans="5:5" ht="15.75" customHeight="1" x14ac:dyDescent="0.25">
      <c r="E254" s="14"/>
    </row>
    <row r="255" spans="5:5" ht="15.75" customHeight="1" x14ac:dyDescent="0.25">
      <c r="E255" s="14"/>
    </row>
    <row r="256" spans="5:5" ht="15.75" customHeight="1" x14ac:dyDescent="0.25">
      <c r="E256" s="14"/>
    </row>
    <row r="257" spans="5:5" ht="15.75" customHeight="1" x14ac:dyDescent="0.25">
      <c r="E257" s="14"/>
    </row>
    <row r="258" spans="5:5" ht="15.75" customHeight="1" x14ac:dyDescent="0.25">
      <c r="E258" s="14"/>
    </row>
    <row r="259" spans="5:5" ht="15.75" customHeight="1" x14ac:dyDescent="0.25">
      <c r="E259" s="14"/>
    </row>
    <row r="260" spans="5:5" ht="15.75" customHeight="1" x14ac:dyDescent="0.25">
      <c r="E260" s="14"/>
    </row>
    <row r="261" spans="5:5" ht="15.75" customHeight="1" x14ac:dyDescent="0.25">
      <c r="E261" s="14"/>
    </row>
    <row r="262" spans="5:5" ht="15.75" customHeight="1" x14ac:dyDescent="0.25">
      <c r="E262" s="14"/>
    </row>
    <row r="263" spans="5:5" ht="15.75" customHeight="1" x14ac:dyDescent="0.25">
      <c r="E263" s="14"/>
    </row>
    <row r="264" spans="5:5" ht="15.75" customHeight="1" x14ac:dyDescent="0.25">
      <c r="E264" s="14"/>
    </row>
    <row r="265" spans="5:5" ht="15.75" customHeight="1" x14ac:dyDescent="0.25">
      <c r="E265" s="14"/>
    </row>
    <row r="266" spans="5:5" ht="15.75" customHeight="1" x14ac:dyDescent="0.25">
      <c r="E266" s="14"/>
    </row>
    <row r="267" spans="5:5" ht="15.75" customHeight="1" x14ac:dyDescent="0.25">
      <c r="E267" s="14"/>
    </row>
    <row r="268" spans="5:5" ht="15.75" customHeight="1" x14ac:dyDescent="0.25">
      <c r="E268" s="14"/>
    </row>
    <row r="269" spans="5:5" ht="15.75" customHeight="1" x14ac:dyDescent="0.25">
      <c r="E269" s="14"/>
    </row>
    <row r="270" spans="5:5" ht="15.75" customHeight="1" x14ac:dyDescent="0.25">
      <c r="E270" s="14"/>
    </row>
    <row r="271" spans="5:5" ht="15.75" customHeight="1" x14ac:dyDescent="0.25">
      <c r="E271" s="14"/>
    </row>
    <row r="272" spans="5:5" ht="15.75" customHeight="1" x14ac:dyDescent="0.25">
      <c r="E272" s="14"/>
    </row>
    <row r="273" spans="5:5" ht="15.75" customHeight="1" x14ac:dyDescent="0.25">
      <c r="E273" s="14"/>
    </row>
    <row r="274" spans="5:5" ht="15.75" customHeight="1" x14ac:dyDescent="0.25">
      <c r="E274" s="14"/>
    </row>
    <row r="275" spans="5:5" ht="15.75" customHeight="1" x14ac:dyDescent="0.25">
      <c r="E275" s="14"/>
    </row>
    <row r="276" spans="5:5" ht="15.75" customHeight="1" x14ac:dyDescent="0.25">
      <c r="E276" s="14"/>
    </row>
    <row r="277" spans="5:5" ht="15.75" customHeight="1" x14ac:dyDescent="0.25">
      <c r="E277" s="14"/>
    </row>
    <row r="278" spans="5:5" ht="15.75" customHeight="1" x14ac:dyDescent="0.25">
      <c r="E278" s="14"/>
    </row>
    <row r="279" spans="5:5" ht="15.75" customHeight="1" x14ac:dyDescent="0.25">
      <c r="E279" s="14"/>
    </row>
    <row r="280" spans="5:5" ht="15.75" customHeight="1" x14ac:dyDescent="0.25">
      <c r="E280" s="14"/>
    </row>
    <row r="281" spans="5:5" ht="15.75" customHeight="1" x14ac:dyDescent="0.25">
      <c r="E281" s="14"/>
    </row>
    <row r="282" spans="5:5" ht="15.75" customHeight="1" x14ac:dyDescent="0.25">
      <c r="E282" s="14"/>
    </row>
    <row r="283" spans="5:5" ht="15.75" customHeight="1" x14ac:dyDescent="0.25">
      <c r="E283" s="14"/>
    </row>
    <row r="284" spans="5:5" ht="15.75" customHeight="1" x14ac:dyDescent="0.25">
      <c r="E284" s="14"/>
    </row>
    <row r="285" spans="5:5" ht="15.75" customHeight="1" x14ac:dyDescent="0.25">
      <c r="E285" s="14"/>
    </row>
    <row r="286" spans="5:5" ht="15.75" customHeight="1" x14ac:dyDescent="0.25">
      <c r="E286" s="14"/>
    </row>
    <row r="287" spans="5:5" ht="15.75" customHeight="1" x14ac:dyDescent="0.25">
      <c r="E287" s="14"/>
    </row>
    <row r="288" spans="5:5" ht="15.75" customHeight="1" x14ac:dyDescent="0.25">
      <c r="E288" s="14"/>
    </row>
    <row r="289" spans="5:5" ht="15.75" customHeight="1" x14ac:dyDescent="0.25">
      <c r="E289" s="14"/>
    </row>
    <row r="290" spans="5:5" ht="15.75" customHeight="1" x14ac:dyDescent="0.25">
      <c r="E290" s="14"/>
    </row>
    <row r="291" spans="5:5" ht="15.75" customHeight="1" x14ac:dyDescent="0.25">
      <c r="E291" s="14"/>
    </row>
    <row r="292" spans="5:5" ht="15.75" customHeight="1" x14ac:dyDescent="0.25">
      <c r="E292" s="14"/>
    </row>
    <row r="293" spans="5:5" ht="15.75" customHeight="1" x14ac:dyDescent="0.25">
      <c r="E293" s="14"/>
    </row>
    <row r="294" spans="5:5" ht="15.75" customHeight="1" x14ac:dyDescent="0.25">
      <c r="E294" s="14"/>
    </row>
    <row r="295" spans="5:5" ht="15.75" customHeight="1" x14ac:dyDescent="0.25">
      <c r="E295" s="14"/>
    </row>
    <row r="296" spans="5:5" ht="15.75" customHeight="1" x14ac:dyDescent="0.25">
      <c r="E296" s="14"/>
    </row>
    <row r="297" spans="5:5" ht="15.75" customHeight="1" x14ac:dyDescent="0.25">
      <c r="E297" s="14"/>
    </row>
    <row r="298" spans="5:5" ht="15.75" customHeight="1" x14ac:dyDescent="0.25">
      <c r="E298" s="14"/>
    </row>
    <row r="299" spans="5:5" ht="15.75" customHeight="1" x14ac:dyDescent="0.25">
      <c r="E299" s="14"/>
    </row>
    <row r="300" spans="5:5" ht="15.75" customHeight="1" x14ac:dyDescent="0.25">
      <c r="E300" s="14"/>
    </row>
    <row r="301" spans="5:5" ht="15.75" customHeight="1" x14ac:dyDescent="0.25">
      <c r="E301" s="14"/>
    </row>
    <row r="302" spans="5:5" ht="15.75" customHeight="1" x14ac:dyDescent="0.25">
      <c r="E302" s="14"/>
    </row>
    <row r="303" spans="5:5" ht="15.75" customHeight="1" x14ac:dyDescent="0.25">
      <c r="E303" s="14"/>
    </row>
    <row r="304" spans="5:5" ht="15.75" customHeight="1" x14ac:dyDescent="0.25">
      <c r="E304" s="14"/>
    </row>
    <row r="305" spans="5:5" ht="15.75" customHeight="1" x14ac:dyDescent="0.25">
      <c r="E305" s="14"/>
    </row>
    <row r="306" spans="5:5" ht="15.75" customHeight="1" x14ac:dyDescent="0.25">
      <c r="E306" s="14"/>
    </row>
    <row r="307" spans="5:5" ht="15.75" customHeight="1" x14ac:dyDescent="0.25">
      <c r="E307" s="14"/>
    </row>
    <row r="308" spans="5:5" ht="15.75" customHeight="1" x14ac:dyDescent="0.25">
      <c r="E308" s="14"/>
    </row>
    <row r="309" spans="5:5" ht="15.75" customHeight="1" x14ac:dyDescent="0.25">
      <c r="E309" s="14"/>
    </row>
    <row r="310" spans="5:5" ht="15.75" customHeight="1" x14ac:dyDescent="0.25">
      <c r="E310" s="14"/>
    </row>
    <row r="311" spans="5:5" ht="15.75" customHeight="1" x14ac:dyDescent="0.25">
      <c r="E311" s="14"/>
    </row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10:B110"/>
    <mergeCell ref="D9:D13"/>
    <mergeCell ref="E9:E12"/>
    <mergeCell ref="E97:E98"/>
    <mergeCell ref="A103:D103"/>
    <mergeCell ref="A104:A106"/>
    <mergeCell ref="C104:D104"/>
    <mergeCell ref="E104:E106"/>
    <mergeCell ref="B9:B13"/>
    <mergeCell ref="C9:C13"/>
    <mergeCell ref="C105:D105"/>
    <mergeCell ref="C106:D106"/>
    <mergeCell ref="A109:B109"/>
    <mergeCell ref="B1:F1"/>
    <mergeCell ref="D4:E4"/>
    <mergeCell ref="D5:E5"/>
    <mergeCell ref="D6:E6"/>
    <mergeCell ref="D7:E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1000"/>
  <sheetViews>
    <sheetView topLeftCell="A83" workbookViewId="0"/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6" customWidth="1"/>
    <col min="4" max="4" width="43.140625" customWidth="1"/>
    <col min="5" max="5" width="15.5703125" customWidth="1"/>
    <col min="6" max="6" width="21.28515625" customWidth="1"/>
    <col min="7" max="7" width="14.7109375" customWidth="1"/>
    <col min="8" max="8" width="8.7109375" customWidth="1"/>
  </cols>
  <sheetData>
    <row r="1" spans="2:8" ht="20.25" x14ac:dyDescent="0.25">
      <c r="D1" s="88" t="s">
        <v>157</v>
      </c>
      <c r="E1" s="88"/>
      <c r="F1" s="88"/>
      <c r="G1" s="88"/>
      <c r="H1" s="31"/>
    </row>
    <row r="2" spans="2:8" ht="20.25" x14ac:dyDescent="0.25">
      <c r="B2" s="31"/>
      <c r="C2" s="31"/>
      <c r="E2" s="64" t="s">
        <v>158</v>
      </c>
      <c r="F2" s="31"/>
      <c r="G2" s="31"/>
    </row>
    <row r="3" spans="2:8" ht="20.25" x14ac:dyDescent="0.25">
      <c r="B3" s="31"/>
      <c r="C3" s="31"/>
      <c r="D3" s="64"/>
      <c r="E3" s="14"/>
      <c r="F3" s="31"/>
      <c r="G3" s="31"/>
    </row>
    <row r="4" spans="2:8" x14ac:dyDescent="0.25">
      <c r="B4" s="31"/>
      <c r="C4" s="32" t="s">
        <v>1</v>
      </c>
      <c r="D4" s="249" t="str">
        <f>'CO_Attainment for Unit Tests'!C3</f>
        <v>DATABASE MANAGEMENT SYSTEM</v>
      </c>
      <c r="E4" s="250"/>
      <c r="F4" s="31"/>
      <c r="G4" s="31"/>
      <c r="H4" s="31"/>
    </row>
    <row r="5" spans="2:8" x14ac:dyDescent="0.25">
      <c r="B5" s="31"/>
      <c r="C5" s="32" t="s">
        <v>3</v>
      </c>
      <c r="D5" s="249">
        <f>'CO_Attainment for Unit Tests'!C4</f>
        <v>22319</v>
      </c>
      <c r="E5" s="250"/>
      <c r="F5" s="31"/>
      <c r="G5" s="31"/>
      <c r="H5" s="31"/>
    </row>
    <row r="6" spans="2:8" x14ac:dyDescent="0.25">
      <c r="B6" s="31"/>
      <c r="C6" s="32" t="s">
        <v>53</v>
      </c>
      <c r="D6" s="249" t="str">
        <f>'CO_Attainment for Unit Tests'!C5</f>
        <v>3rd SEM(CO3I SCHEME)</v>
      </c>
      <c r="E6" s="250"/>
      <c r="F6" s="31"/>
      <c r="G6" s="31"/>
      <c r="H6" s="31"/>
    </row>
    <row r="7" spans="2:8" x14ac:dyDescent="0.25">
      <c r="B7" s="31"/>
      <c r="C7" s="32" t="s">
        <v>159</v>
      </c>
      <c r="D7" s="249" t="str">
        <f>'CO_Attainment for Unit Tests'!C6</f>
        <v>2023-24</v>
      </c>
      <c r="E7" s="250"/>
      <c r="F7" s="31"/>
      <c r="G7" s="31"/>
      <c r="H7" s="31"/>
    </row>
    <row r="9" spans="2:8" ht="15.75" customHeight="1" x14ac:dyDescent="0.25">
      <c r="B9" s="283" t="s">
        <v>21</v>
      </c>
      <c r="C9" s="278" t="s">
        <v>56</v>
      </c>
      <c r="D9" s="288" t="s">
        <v>57</v>
      </c>
      <c r="E9" s="290" t="s">
        <v>160</v>
      </c>
      <c r="F9" s="291" t="s">
        <v>161</v>
      </c>
      <c r="G9" s="291" t="s">
        <v>162</v>
      </c>
    </row>
    <row r="10" spans="2:8" ht="15.75" customHeight="1" x14ac:dyDescent="0.25">
      <c r="B10" s="252"/>
      <c r="C10" s="252"/>
      <c r="D10" s="252"/>
      <c r="E10" s="252"/>
      <c r="F10" s="252"/>
      <c r="G10" s="252"/>
    </row>
    <row r="11" spans="2:8" ht="15.75" customHeight="1" x14ac:dyDescent="0.25">
      <c r="B11" s="252"/>
      <c r="C11" s="252"/>
      <c r="D11" s="252"/>
      <c r="E11" s="252"/>
      <c r="F11" s="252"/>
      <c r="G11" s="252"/>
    </row>
    <row r="12" spans="2:8" ht="54.75" customHeight="1" x14ac:dyDescent="0.25">
      <c r="B12" s="252"/>
      <c r="C12" s="252"/>
      <c r="D12" s="252"/>
      <c r="E12" s="253"/>
      <c r="F12" s="253"/>
      <c r="G12" s="253"/>
    </row>
    <row r="13" spans="2:8" ht="20.25" customHeight="1" x14ac:dyDescent="0.25">
      <c r="B13" s="253"/>
      <c r="C13" s="253"/>
      <c r="D13" s="253"/>
      <c r="E13" s="38">
        <v>10</v>
      </c>
      <c r="F13" s="38">
        <v>25</v>
      </c>
      <c r="G13" s="38">
        <v>25</v>
      </c>
    </row>
    <row r="14" spans="2:8" ht="15.75" x14ac:dyDescent="0.25">
      <c r="B14" s="42">
        <v>1</v>
      </c>
      <c r="C14" s="43">
        <f>'CO_Attainment for Unit Tests'!B13</f>
        <v>2201180002</v>
      </c>
      <c r="D14" s="44" t="str">
        <f>'CO_Attainment for Unit Tests'!C13</f>
        <v>GARAD ANJALI NITIN</v>
      </c>
      <c r="E14" s="89">
        <v>6</v>
      </c>
      <c r="F14" s="68">
        <v>22</v>
      </c>
      <c r="G14" s="68">
        <v>20</v>
      </c>
    </row>
    <row r="15" spans="2:8" ht="15.75" x14ac:dyDescent="0.25">
      <c r="B15" s="42">
        <v>2</v>
      </c>
      <c r="C15" s="43">
        <f>'CO_Attainment for Unit Tests'!B14</f>
        <v>2201180003</v>
      </c>
      <c r="D15" s="44" t="str">
        <f>'CO_Attainment for Unit Tests'!C14</f>
        <v>WALANDE GAURI DAYANAND</v>
      </c>
      <c r="E15" s="89">
        <v>8</v>
      </c>
      <c r="F15" s="68">
        <v>23</v>
      </c>
      <c r="G15" s="68">
        <v>22</v>
      </c>
    </row>
    <row r="16" spans="2:8" ht="15.75" x14ac:dyDescent="0.25">
      <c r="B16" s="42">
        <v>3</v>
      </c>
      <c r="C16" s="43">
        <f>'CO_Attainment for Unit Tests'!B15</f>
        <v>2201180004</v>
      </c>
      <c r="D16" s="44" t="str">
        <f>'CO_Attainment for Unit Tests'!C15</f>
        <v>ZUNJURE SARTHAK BALAJI</v>
      </c>
      <c r="E16" s="89">
        <v>7</v>
      </c>
      <c r="F16" s="68">
        <v>23</v>
      </c>
      <c r="G16" s="68">
        <v>22</v>
      </c>
    </row>
    <row r="17" spans="2:7" ht="15.75" x14ac:dyDescent="0.25">
      <c r="B17" s="42">
        <v>4</v>
      </c>
      <c r="C17" s="43">
        <f>'CO_Attainment for Unit Tests'!B16</f>
        <v>2201180005</v>
      </c>
      <c r="D17" s="44" t="str">
        <f>'CO_Attainment for Unit Tests'!C16</f>
        <v>BHANDE GAYATRI DAMODAR</v>
      </c>
      <c r="E17" s="89">
        <v>8</v>
      </c>
      <c r="F17" s="68">
        <v>23</v>
      </c>
      <c r="G17" s="68">
        <v>23</v>
      </c>
    </row>
    <row r="18" spans="2:7" ht="15.75" x14ac:dyDescent="0.25">
      <c r="B18" s="42">
        <v>5</v>
      </c>
      <c r="C18" s="43">
        <f>'CO_Attainment for Unit Tests'!B17</f>
        <v>2201180006</v>
      </c>
      <c r="D18" s="44" t="str">
        <f>'CO_Attainment for Unit Tests'!C17</f>
        <v>MUNDHE GAYATRI PARMESHWAR</v>
      </c>
      <c r="E18" s="89">
        <v>9</v>
      </c>
      <c r="F18" s="68">
        <v>23</v>
      </c>
      <c r="G18" s="68">
        <v>23</v>
      </c>
    </row>
    <row r="19" spans="2:7" ht="15.75" x14ac:dyDescent="0.25">
      <c r="B19" s="42">
        <v>6</v>
      </c>
      <c r="C19" s="43">
        <f>'CO_Attainment for Unit Tests'!B18</f>
        <v>2201180009</v>
      </c>
      <c r="D19" s="44" t="str">
        <f>'CO_Attainment for Unit Tests'!C18</f>
        <v>YADAV RADHA SAMADHAN</v>
      </c>
      <c r="E19" s="89">
        <v>7</v>
      </c>
      <c r="F19" s="68">
        <v>23</v>
      </c>
      <c r="G19" s="68">
        <v>21</v>
      </c>
    </row>
    <row r="20" spans="2:7" ht="15.75" x14ac:dyDescent="0.25">
      <c r="B20" s="42">
        <v>7</v>
      </c>
      <c r="C20" s="43">
        <f>'CO_Attainment for Unit Tests'!B19</f>
        <v>2201180010</v>
      </c>
      <c r="D20" s="44" t="str">
        <f>'CO_Attainment for Unit Tests'!C19</f>
        <v>DESHMANE MANSI SIDDHESHWAR</v>
      </c>
      <c r="E20" s="89">
        <v>6</v>
      </c>
      <c r="F20" s="68">
        <v>23</v>
      </c>
      <c r="G20" s="68">
        <v>22</v>
      </c>
    </row>
    <row r="21" spans="2:7" ht="15.75" customHeight="1" x14ac:dyDescent="0.25">
      <c r="B21" s="42">
        <v>8</v>
      </c>
      <c r="C21" s="43">
        <f>'CO_Attainment for Unit Tests'!B20</f>
        <v>2201180011</v>
      </c>
      <c r="D21" s="44" t="str">
        <f>'CO_Attainment for Unit Tests'!C20</f>
        <v>GAWALGADADE POOJA ARVIND</v>
      </c>
      <c r="E21" s="89">
        <v>6</v>
      </c>
      <c r="F21" s="68">
        <v>23</v>
      </c>
      <c r="G21" s="68">
        <v>21</v>
      </c>
    </row>
    <row r="22" spans="2:7" ht="15.75" customHeight="1" x14ac:dyDescent="0.25">
      <c r="B22" s="42">
        <v>9</v>
      </c>
      <c r="C22" s="43">
        <f>'CO_Attainment for Unit Tests'!B21</f>
        <v>2201180014</v>
      </c>
      <c r="D22" s="44" t="str">
        <f>'CO_Attainment for Unit Tests'!C21</f>
        <v>JAIN TANISHA SHAILESH</v>
      </c>
      <c r="E22" s="89">
        <v>7</v>
      </c>
      <c r="F22" s="68">
        <v>23</v>
      </c>
      <c r="G22" s="68">
        <v>22</v>
      </c>
    </row>
    <row r="23" spans="2:7" ht="15.75" customHeight="1" x14ac:dyDescent="0.25">
      <c r="B23" s="42">
        <v>10</v>
      </c>
      <c r="C23" s="43">
        <f>'CO_Attainment for Unit Tests'!B22</f>
        <v>2201180050</v>
      </c>
      <c r="D23" s="44" t="str">
        <f>'CO_Attainment for Unit Tests'!C22</f>
        <v>MAINDARGE SIDDHI PRASAD</v>
      </c>
      <c r="E23" s="89">
        <v>7</v>
      </c>
      <c r="F23" s="68">
        <v>23</v>
      </c>
      <c r="G23" s="68">
        <v>21</v>
      </c>
    </row>
    <row r="24" spans="2:7" ht="15.75" customHeight="1" x14ac:dyDescent="0.25">
      <c r="B24" s="42">
        <v>11</v>
      </c>
      <c r="C24" s="43">
        <f>'CO_Attainment for Unit Tests'!B23</f>
        <v>2201180051</v>
      </c>
      <c r="D24" s="44" t="str">
        <f>'CO_Attainment for Unit Tests'!C23</f>
        <v>BHOSALE VAISHNAVI DAYANAND</v>
      </c>
      <c r="E24" s="89">
        <v>8</v>
      </c>
      <c r="F24" s="68">
        <v>23</v>
      </c>
      <c r="G24" s="68">
        <v>22</v>
      </c>
    </row>
    <row r="25" spans="2:7" ht="15.75" customHeight="1" x14ac:dyDescent="0.25">
      <c r="B25" s="42">
        <v>12</v>
      </c>
      <c r="C25" s="43">
        <f>'CO_Attainment for Unit Tests'!B24</f>
        <v>2201180052</v>
      </c>
      <c r="D25" s="44" t="str">
        <f>'CO_Attainment for Unit Tests'!C24</f>
        <v>ATTAR SANIYA VAJIR</v>
      </c>
      <c r="E25" s="89">
        <v>7</v>
      </c>
      <c r="F25" s="68">
        <v>24</v>
      </c>
      <c r="G25" s="68">
        <v>22</v>
      </c>
    </row>
    <row r="26" spans="2:7" ht="15.75" customHeight="1" x14ac:dyDescent="0.25">
      <c r="B26" s="42">
        <v>13</v>
      </c>
      <c r="C26" s="43">
        <f>'CO_Attainment for Unit Tests'!B25</f>
        <v>2201180053</v>
      </c>
      <c r="D26" s="44" t="str">
        <f>'CO_Attainment for Unit Tests'!C25</f>
        <v>NALWADE SNEHA NETAJI</v>
      </c>
      <c r="E26" s="89">
        <v>8</v>
      </c>
      <c r="F26" s="68">
        <v>23</v>
      </c>
      <c r="G26" s="68">
        <v>23</v>
      </c>
    </row>
    <row r="27" spans="2:7" ht="15.75" customHeight="1" x14ac:dyDescent="0.25">
      <c r="B27" s="42">
        <v>14</v>
      </c>
      <c r="C27" s="43">
        <f>'CO_Attainment for Unit Tests'!B26</f>
        <v>2201180055</v>
      </c>
      <c r="D27" s="44" t="str">
        <f>'CO_Attainment for Unit Tests'!C26</f>
        <v>AADHE PANKAJ RAM</v>
      </c>
      <c r="E27" s="89">
        <v>8</v>
      </c>
      <c r="F27" s="68">
        <v>23</v>
      </c>
      <c r="G27" s="68">
        <v>22</v>
      </c>
    </row>
    <row r="28" spans="2:7" ht="15.75" customHeight="1" x14ac:dyDescent="0.25">
      <c r="B28" s="42">
        <v>15</v>
      </c>
      <c r="C28" s="43">
        <f>'CO_Attainment for Unit Tests'!B27</f>
        <v>2201180056</v>
      </c>
      <c r="D28" s="44" t="str">
        <f>'CO_Attainment for Unit Tests'!C27</f>
        <v>BUDGE VISHAKHA VENKAT</v>
      </c>
      <c r="E28" s="89">
        <v>8</v>
      </c>
      <c r="F28" s="68">
        <v>23</v>
      </c>
      <c r="G28" s="68">
        <v>23</v>
      </c>
    </row>
    <row r="29" spans="2:7" ht="15.75" customHeight="1" x14ac:dyDescent="0.25">
      <c r="B29" s="42">
        <v>16</v>
      </c>
      <c r="C29" s="43">
        <f>'CO_Attainment for Unit Tests'!B28</f>
        <v>2201180058</v>
      </c>
      <c r="D29" s="44" t="str">
        <f>'CO_Attainment for Unit Tests'!C28</f>
        <v>PAWAR PRATIKSHA VITTHAL</v>
      </c>
      <c r="E29" s="89">
        <v>7</v>
      </c>
      <c r="F29" s="68">
        <v>23</v>
      </c>
      <c r="G29" s="68">
        <v>22</v>
      </c>
    </row>
    <row r="30" spans="2:7" ht="15.75" customHeight="1" x14ac:dyDescent="0.25">
      <c r="B30" s="42">
        <v>17</v>
      </c>
      <c r="C30" s="43">
        <f>'CO_Attainment for Unit Tests'!B29</f>
        <v>2201180059</v>
      </c>
      <c r="D30" s="44" t="str">
        <f>'CO_Attainment for Unit Tests'!C29</f>
        <v>WAGHMARE RAU HANMANT</v>
      </c>
      <c r="E30" s="89">
        <v>7</v>
      </c>
      <c r="F30" s="68">
        <v>23</v>
      </c>
      <c r="G30" s="68">
        <v>21</v>
      </c>
    </row>
    <row r="31" spans="2:7" ht="15.75" customHeight="1" x14ac:dyDescent="0.25">
      <c r="B31" s="42">
        <v>18</v>
      </c>
      <c r="C31" s="43">
        <f>'CO_Attainment for Unit Tests'!B30</f>
        <v>2201180060</v>
      </c>
      <c r="D31" s="44" t="str">
        <f>'CO_Attainment for Unit Tests'!C30</f>
        <v>MAHAJAN SHRUTI DILIP</v>
      </c>
      <c r="E31" s="89">
        <v>8</v>
      </c>
      <c r="F31" s="68">
        <v>23</v>
      </c>
      <c r="G31" s="68">
        <v>23</v>
      </c>
    </row>
    <row r="32" spans="2:7" ht="15.75" customHeight="1" x14ac:dyDescent="0.25">
      <c r="B32" s="42">
        <v>19</v>
      </c>
      <c r="C32" s="43">
        <f>'CO_Attainment for Unit Tests'!B31</f>
        <v>2201180061</v>
      </c>
      <c r="D32" s="44" t="str">
        <f>'CO_Attainment for Unit Tests'!C31</f>
        <v>CHANDANE GAYATRI PRASHANT</v>
      </c>
      <c r="E32" s="89">
        <v>7</v>
      </c>
      <c r="F32" s="68">
        <v>23</v>
      </c>
      <c r="G32" s="68">
        <v>22</v>
      </c>
    </row>
    <row r="33" spans="2:7" ht="15.75" customHeight="1" x14ac:dyDescent="0.25">
      <c r="B33" s="42">
        <v>20</v>
      </c>
      <c r="C33" s="43">
        <f>'CO_Attainment for Unit Tests'!B32</f>
        <v>2201180062</v>
      </c>
      <c r="D33" s="44" t="str">
        <f>'CO_Attainment for Unit Tests'!C32</f>
        <v>JOSHI SHRAVANI SHRIKANT</v>
      </c>
      <c r="E33" s="89">
        <v>8</v>
      </c>
      <c r="F33" s="68">
        <v>23</v>
      </c>
      <c r="G33" s="68">
        <v>22</v>
      </c>
    </row>
    <row r="34" spans="2:7" ht="15.75" customHeight="1" x14ac:dyDescent="0.25">
      <c r="B34" s="42">
        <v>21</v>
      </c>
      <c r="C34" s="43">
        <f>'CO_Attainment for Unit Tests'!B33</f>
        <v>2201180063</v>
      </c>
      <c r="D34" s="44" t="str">
        <f>'CO_Attainment for Unit Tests'!C33</f>
        <v>MANE ANUSHKA BALASAHEB</v>
      </c>
      <c r="E34" s="89">
        <v>8</v>
      </c>
      <c r="F34" s="68">
        <v>24</v>
      </c>
      <c r="G34" s="68">
        <v>23</v>
      </c>
    </row>
    <row r="35" spans="2:7" ht="15.75" customHeight="1" x14ac:dyDescent="0.25">
      <c r="B35" s="42">
        <v>22</v>
      </c>
      <c r="C35" s="43">
        <f>'CO_Attainment for Unit Tests'!B34</f>
        <v>2201180064</v>
      </c>
      <c r="D35" s="44" t="str">
        <f>'CO_Attainment for Unit Tests'!C34</f>
        <v>GADEKAR MAHESH BALAJI</v>
      </c>
      <c r="E35" s="89">
        <v>7</v>
      </c>
      <c r="F35" s="68">
        <v>23</v>
      </c>
      <c r="G35" s="68">
        <v>23</v>
      </c>
    </row>
    <row r="36" spans="2:7" ht="15.75" customHeight="1" x14ac:dyDescent="0.25">
      <c r="B36" s="42">
        <v>23</v>
      </c>
      <c r="C36" s="43">
        <f>'CO_Attainment for Unit Tests'!B35</f>
        <v>2201180065</v>
      </c>
      <c r="D36" s="44" t="str">
        <f>'CO_Attainment for Unit Tests'!C35</f>
        <v>DESHMUKH SWANANDI UDAYRAO</v>
      </c>
      <c r="E36" s="89">
        <v>8</v>
      </c>
      <c r="F36" s="68">
        <v>23</v>
      </c>
      <c r="G36" s="68">
        <v>23</v>
      </c>
    </row>
    <row r="37" spans="2:7" ht="15.75" customHeight="1" x14ac:dyDescent="0.25">
      <c r="B37" s="42">
        <v>24</v>
      </c>
      <c r="C37" s="43">
        <f>'CO_Attainment for Unit Tests'!B36</f>
        <v>2201180148</v>
      </c>
      <c r="D37" s="44" t="str">
        <f>'CO_Attainment for Unit Tests'!C36</f>
        <v>LAGDIVE SHIVAM NITIN</v>
      </c>
      <c r="E37" s="89">
        <v>8</v>
      </c>
      <c r="F37" s="68">
        <v>23</v>
      </c>
      <c r="G37" s="68">
        <v>23</v>
      </c>
    </row>
    <row r="38" spans="2:7" ht="15.75" customHeight="1" x14ac:dyDescent="0.25">
      <c r="B38" s="42">
        <v>25</v>
      </c>
      <c r="C38" s="43">
        <f>'CO_Attainment for Unit Tests'!B37</f>
        <v>2201180227</v>
      </c>
      <c r="D38" s="44" t="str">
        <f>'CO_Attainment for Unit Tests'!C37</f>
        <v>SARPHALE POOJA SADASHIV</v>
      </c>
      <c r="E38" s="89">
        <v>7</v>
      </c>
      <c r="F38" s="68">
        <v>23</v>
      </c>
      <c r="G38" s="68">
        <v>22</v>
      </c>
    </row>
    <row r="39" spans="2:7" ht="15.75" customHeight="1" x14ac:dyDescent="0.25">
      <c r="B39" s="42">
        <v>26</v>
      </c>
      <c r="C39" s="43">
        <f>'CO_Attainment for Unit Tests'!B38</f>
        <v>2201180228</v>
      </c>
      <c r="D39" s="44" t="str">
        <f>'CO_Attainment for Unit Tests'!C38</f>
        <v>WAGHMARE ABHISHEK SOMNATH</v>
      </c>
      <c r="E39" s="89">
        <v>8</v>
      </c>
      <c r="F39" s="68">
        <v>24</v>
      </c>
      <c r="G39" s="68">
        <v>23</v>
      </c>
    </row>
    <row r="40" spans="2:7" ht="15.75" customHeight="1" x14ac:dyDescent="0.25">
      <c r="B40" s="42">
        <v>27</v>
      </c>
      <c r="C40" s="43">
        <f>'CO_Attainment for Unit Tests'!B39</f>
        <v>2201180229</v>
      </c>
      <c r="D40" s="44" t="str">
        <f>'CO_Attainment for Unit Tests'!C39</f>
        <v>KAMBALE ROHINI RUPESH</v>
      </c>
      <c r="E40" s="89">
        <v>7</v>
      </c>
      <c r="F40" s="68">
        <v>22</v>
      </c>
      <c r="G40" s="68">
        <v>22</v>
      </c>
    </row>
    <row r="41" spans="2:7" ht="15.75" customHeight="1" x14ac:dyDescent="0.25">
      <c r="B41" s="42">
        <v>28</v>
      </c>
      <c r="C41" s="43">
        <f>'CO_Attainment for Unit Tests'!B40</f>
        <v>2201180230</v>
      </c>
      <c r="D41" s="44" t="str">
        <f>'CO_Attainment for Unit Tests'!C40</f>
        <v>ROCHKARI SANSKRUTI SUDHIR</v>
      </c>
      <c r="E41" s="89">
        <v>6</v>
      </c>
      <c r="F41" s="68">
        <v>22</v>
      </c>
      <c r="G41" s="68">
        <v>20</v>
      </c>
    </row>
    <row r="42" spans="2:7" ht="15.75" customHeight="1" x14ac:dyDescent="0.25">
      <c r="B42" s="42">
        <v>29</v>
      </c>
      <c r="C42" s="43">
        <f>'CO_Attainment for Unit Tests'!B41</f>
        <v>2201180232</v>
      </c>
      <c r="D42" s="44" t="str">
        <f>'CO_Attainment for Unit Tests'!C41</f>
        <v>NIMBALKAR APURVA BHUJANG</v>
      </c>
      <c r="E42" s="89">
        <v>8</v>
      </c>
      <c r="F42" s="68">
        <v>24</v>
      </c>
      <c r="G42" s="68">
        <v>23</v>
      </c>
    </row>
    <row r="43" spans="2:7" ht="15.75" customHeight="1" x14ac:dyDescent="0.25">
      <c r="B43" s="42">
        <v>30</v>
      </c>
      <c r="C43" s="43">
        <f>'CO_Attainment for Unit Tests'!B42</f>
        <v>2201180233</v>
      </c>
      <c r="D43" s="44" t="str">
        <f>'CO_Attainment for Unit Tests'!C42</f>
        <v>KSHIRSAGAR SAMARTH DATTATRAY</v>
      </c>
      <c r="E43" s="89">
        <v>8</v>
      </c>
      <c r="F43" s="68">
        <v>23</v>
      </c>
      <c r="G43" s="68">
        <v>21</v>
      </c>
    </row>
    <row r="44" spans="2:7" ht="15.75" customHeight="1" x14ac:dyDescent="0.25">
      <c r="B44" s="42">
        <v>31</v>
      </c>
      <c r="C44" s="43">
        <f>'CO_Attainment for Unit Tests'!B43</f>
        <v>2201180234</v>
      </c>
      <c r="D44" s="44" t="str">
        <f>'CO_Attainment for Unit Tests'!C43</f>
        <v>MASIHA SILVIYA SANTOSH</v>
      </c>
      <c r="E44" s="89">
        <v>7</v>
      </c>
      <c r="F44" s="68">
        <v>23</v>
      </c>
      <c r="G44" s="68">
        <v>22</v>
      </c>
    </row>
    <row r="45" spans="2:7" ht="15.75" customHeight="1" x14ac:dyDescent="0.25">
      <c r="B45" s="42">
        <v>32</v>
      </c>
      <c r="C45" s="43">
        <f>'CO_Attainment for Unit Tests'!B44</f>
        <v>2201180235</v>
      </c>
      <c r="D45" s="44" t="str">
        <f>'CO_Attainment for Unit Tests'!C44</f>
        <v>KAWADE PRIYA SHANKAR</v>
      </c>
      <c r="E45" s="89">
        <v>6</v>
      </c>
      <c r="F45" s="68">
        <v>23</v>
      </c>
      <c r="G45" s="68">
        <v>22</v>
      </c>
    </row>
    <row r="46" spans="2:7" ht="15.75" customHeight="1" x14ac:dyDescent="0.25">
      <c r="B46" s="42">
        <v>33</v>
      </c>
      <c r="C46" s="43">
        <f>'CO_Attainment for Unit Tests'!B45</f>
        <v>2201180237</v>
      </c>
      <c r="D46" s="44" t="str">
        <f>'CO_Attainment for Unit Tests'!C45</f>
        <v>PATIL PRANITA PRAVIN</v>
      </c>
      <c r="E46" s="89">
        <v>8</v>
      </c>
      <c r="F46" s="68">
        <v>23</v>
      </c>
      <c r="G46" s="68">
        <v>23</v>
      </c>
    </row>
    <row r="47" spans="2:7" ht="15.75" customHeight="1" x14ac:dyDescent="0.25">
      <c r="B47" s="42">
        <v>34</v>
      </c>
      <c r="C47" s="43">
        <f>'CO_Attainment for Unit Tests'!B46</f>
        <v>2201180238</v>
      </c>
      <c r="D47" s="44" t="str">
        <f>'CO_Attainment for Unit Tests'!C46</f>
        <v>GAVALI ROHAN DNYANDEO</v>
      </c>
      <c r="E47" s="89">
        <v>6</v>
      </c>
      <c r="F47" s="68">
        <v>21</v>
      </c>
      <c r="G47" s="68">
        <v>20</v>
      </c>
    </row>
    <row r="48" spans="2:7" ht="15.75" customHeight="1" x14ac:dyDescent="0.25">
      <c r="B48" s="42">
        <v>35</v>
      </c>
      <c r="C48" s="43">
        <f>'CO_Attainment for Unit Tests'!B47</f>
        <v>2201180241</v>
      </c>
      <c r="D48" s="44" t="str">
        <f>'CO_Attainment for Unit Tests'!C47</f>
        <v>GAIKWAD VASUDHA SANDIPAN</v>
      </c>
      <c r="E48" s="89">
        <v>8</v>
      </c>
      <c r="F48" s="68">
        <v>23</v>
      </c>
      <c r="G48" s="68">
        <v>22</v>
      </c>
    </row>
    <row r="49" spans="2:7" ht="15.75" customHeight="1" x14ac:dyDescent="0.25">
      <c r="B49" s="42">
        <v>36</v>
      </c>
      <c r="C49" s="43">
        <f>'CO_Attainment for Unit Tests'!B48</f>
        <v>2201180242</v>
      </c>
      <c r="D49" s="44" t="str">
        <f>'CO_Attainment for Unit Tests'!C48</f>
        <v>GORE SANKET NARENDRA</v>
      </c>
      <c r="E49" s="89">
        <v>7</v>
      </c>
      <c r="F49" s="68">
        <v>21</v>
      </c>
      <c r="G49" s="68">
        <v>20</v>
      </c>
    </row>
    <row r="50" spans="2:7" ht="15.75" customHeight="1" x14ac:dyDescent="0.25">
      <c r="B50" s="42">
        <v>37</v>
      </c>
      <c r="C50" s="43">
        <f>'CO_Attainment for Unit Tests'!B49</f>
        <v>2201180243</v>
      </c>
      <c r="D50" s="44" t="str">
        <f>'CO_Attainment for Unit Tests'!C49</f>
        <v>HINGANE SAKSHI SATISH</v>
      </c>
      <c r="E50" s="89">
        <v>8</v>
      </c>
      <c r="F50" s="68">
        <v>23</v>
      </c>
      <c r="G50" s="68">
        <v>22</v>
      </c>
    </row>
    <row r="51" spans="2:7" ht="15.75" customHeight="1" x14ac:dyDescent="0.25">
      <c r="B51" s="42">
        <v>38</v>
      </c>
      <c r="C51" s="43">
        <f>'CO_Attainment for Unit Tests'!B50</f>
        <v>2201180280</v>
      </c>
      <c r="D51" s="44" t="str">
        <f>'CO_Attainment for Unit Tests'!C50</f>
        <v>JADHAV SHREYAS YADAVRAO</v>
      </c>
      <c r="E51" s="89">
        <v>7</v>
      </c>
      <c r="F51" s="68">
        <v>23</v>
      </c>
      <c r="G51" s="68">
        <v>22</v>
      </c>
    </row>
    <row r="52" spans="2:7" ht="15.75" customHeight="1" x14ac:dyDescent="0.25">
      <c r="B52" s="42">
        <v>39</v>
      </c>
      <c r="C52" s="43">
        <f>'CO_Attainment for Unit Tests'!B51</f>
        <v>2201180282</v>
      </c>
      <c r="D52" s="44" t="str">
        <f>'CO_Attainment for Unit Tests'!C51</f>
        <v>WAKALE KOMAL SANTOSH</v>
      </c>
      <c r="E52" s="89">
        <v>7</v>
      </c>
      <c r="F52" s="68">
        <v>23</v>
      </c>
      <c r="G52" s="68">
        <v>22</v>
      </c>
    </row>
    <row r="53" spans="2:7" ht="15.75" customHeight="1" x14ac:dyDescent="0.25">
      <c r="B53" s="42">
        <v>40</v>
      </c>
      <c r="C53" s="43">
        <f>'CO_Attainment for Unit Tests'!B52</f>
        <v>2201180283</v>
      </c>
      <c r="D53" s="44" t="str">
        <f>'CO_Attainment for Unit Tests'!C52</f>
        <v>KALE PRANITA NAMDEV</v>
      </c>
      <c r="E53" s="89">
        <v>7</v>
      </c>
      <c r="F53" s="68">
        <v>23</v>
      </c>
      <c r="G53" s="68">
        <v>22</v>
      </c>
    </row>
    <row r="54" spans="2:7" ht="15.75" customHeight="1" x14ac:dyDescent="0.25">
      <c r="B54" s="42">
        <v>41</v>
      </c>
      <c r="C54" s="43">
        <f>'CO_Attainment for Unit Tests'!B53</f>
        <v>2201180401</v>
      </c>
      <c r="D54" s="44" t="str">
        <f>'CO_Attainment for Unit Tests'!C53</f>
        <v>KHARKE MAHESH HANUMANT</v>
      </c>
      <c r="E54" s="89">
        <v>6</v>
      </c>
      <c r="F54" s="68">
        <v>21</v>
      </c>
      <c r="G54" s="68">
        <v>19</v>
      </c>
    </row>
    <row r="55" spans="2:7" ht="15.75" customHeight="1" x14ac:dyDescent="0.25">
      <c r="B55" s="42">
        <v>42</v>
      </c>
      <c r="C55" s="43">
        <f>'CO_Attainment for Unit Tests'!B54</f>
        <v>2201180404</v>
      </c>
      <c r="D55" s="44" t="str">
        <f>'CO_Attainment for Unit Tests'!C54</f>
        <v>PARVE SHRIRAM SUDHIR</v>
      </c>
      <c r="E55" s="89">
        <v>6</v>
      </c>
      <c r="F55" s="68">
        <v>21</v>
      </c>
      <c r="G55" s="68">
        <v>20</v>
      </c>
    </row>
    <row r="56" spans="2:7" ht="15.75" customHeight="1" x14ac:dyDescent="0.25">
      <c r="B56" s="42">
        <v>43</v>
      </c>
      <c r="C56" s="43">
        <f>'CO_Attainment for Unit Tests'!B55</f>
        <v>2201180405</v>
      </c>
      <c r="D56" s="44" t="str">
        <f>'CO_Attainment for Unit Tests'!C55</f>
        <v>KOLNURE SURAJ RAJENDRA</v>
      </c>
      <c r="E56" s="89">
        <v>5</v>
      </c>
      <c r="F56" s="68">
        <v>21</v>
      </c>
      <c r="G56" s="68">
        <v>20</v>
      </c>
    </row>
    <row r="57" spans="2:7" ht="15.75" customHeight="1" x14ac:dyDescent="0.25">
      <c r="B57" s="42">
        <v>44</v>
      </c>
      <c r="C57" s="43">
        <f>'CO_Attainment for Unit Tests'!B56</f>
        <v>2201180406</v>
      </c>
      <c r="D57" s="44" t="str">
        <f>'CO_Attainment for Unit Tests'!C56</f>
        <v>KANDALE ADITYA VILAS</v>
      </c>
      <c r="E57" s="89">
        <v>7</v>
      </c>
      <c r="F57" s="68">
        <v>22</v>
      </c>
      <c r="G57" s="68">
        <v>22</v>
      </c>
    </row>
    <row r="58" spans="2:7" ht="15.75" customHeight="1" x14ac:dyDescent="0.25">
      <c r="B58" s="42">
        <v>45</v>
      </c>
      <c r="C58" s="43">
        <f>'CO_Attainment for Unit Tests'!B57</f>
        <v>2201180407</v>
      </c>
      <c r="D58" s="44" t="str">
        <f>'CO_Attainment for Unit Tests'!C57</f>
        <v>BARATE VARSHARANI DADASAHEB</v>
      </c>
      <c r="E58" s="89">
        <v>8</v>
      </c>
      <c r="F58" s="68">
        <v>23</v>
      </c>
      <c r="G58" s="68">
        <v>23</v>
      </c>
    </row>
    <row r="59" spans="2:7" ht="15.75" customHeight="1" x14ac:dyDescent="0.25">
      <c r="B59" s="42">
        <v>46</v>
      </c>
      <c r="C59" s="43">
        <f>'CO_Attainment for Unit Tests'!B58</f>
        <v>2201180408</v>
      </c>
      <c r="D59" s="44" t="str">
        <f>'CO_Attainment for Unit Tests'!C58</f>
        <v>BARATE AADITI DADASAHEB</v>
      </c>
      <c r="E59" s="89">
        <v>8</v>
      </c>
      <c r="F59" s="68">
        <v>24</v>
      </c>
      <c r="G59" s="68">
        <v>23</v>
      </c>
    </row>
    <row r="60" spans="2:7" ht="15.75" customHeight="1" x14ac:dyDescent="0.25">
      <c r="B60" s="42">
        <v>47</v>
      </c>
      <c r="C60" s="43">
        <f>'CO_Attainment for Unit Tests'!B59</f>
        <v>2201180410</v>
      </c>
      <c r="D60" s="44" t="str">
        <f>'CO_Attainment for Unit Tests'!C59</f>
        <v>THORAVE SANIKA AMBADAS</v>
      </c>
      <c r="E60" s="89">
        <v>7</v>
      </c>
      <c r="F60" s="68">
        <v>22</v>
      </c>
      <c r="G60" s="68">
        <v>22</v>
      </c>
    </row>
    <row r="61" spans="2:7" ht="15.75" customHeight="1" x14ac:dyDescent="0.25">
      <c r="B61" s="42">
        <v>48</v>
      </c>
      <c r="C61" s="43">
        <f>'CO_Attainment for Unit Tests'!B60</f>
        <v>2201180411</v>
      </c>
      <c r="D61" s="44" t="str">
        <f>'CO_Attainment for Unit Tests'!C60</f>
        <v>KULKARNI AAKANKSHA KAMLESH</v>
      </c>
      <c r="E61" s="89">
        <v>8</v>
      </c>
      <c r="F61" s="68">
        <v>23</v>
      </c>
      <c r="G61" s="68">
        <v>22</v>
      </c>
    </row>
    <row r="62" spans="2:7" ht="15.75" customHeight="1" x14ac:dyDescent="0.25">
      <c r="B62" s="42">
        <v>49</v>
      </c>
      <c r="C62" s="43">
        <f>'CO_Attainment for Unit Tests'!B61</f>
        <v>2201180412</v>
      </c>
      <c r="D62" s="44" t="str">
        <f>'CO_Attainment for Unit Tests'!C61</f>
        <v>GAIKWAD GAYATRI SURESH</v>
      </c>
      <c r="E62" s="89">
        <v>7</v>
      </c>
      <c r="F62" s="68">
        <v>23</v>
      </c>
      <c r="G62" s="68">
        <v>22</v>
      </c>
    </row>
    <row r="63" spans="2:7" ht="15.75" customHeight="1" x14ac:dyDescent="0.25">
      <c r="B63" s="42">
        <v>50</v>
      </c>
      <c r="C63" s="43">
        <f>'CO_Attainment for Unit Tests'!B62</f>
        <v>2201180413</v>
      </c>
      <c r="D63" s="44" t="str">
        <f>'CO_Attainment for Unit Tests'!C62</f>
        <v>SAROLKAR SAKSHI SHAMSUNDAR</v>
      </c>
      <c r="E63" s="89">
        <v>8</v>
      </c>
      <c r="F63" s="68">
        <v>23</v>
      </c>
      <c r="G63" s="68">
        <v>22</v>
      </c>
    </row>
    <row r="64" spans="2:7" ht="15.75" customHeight="1" x14ac:dyDescent="0.25">
      <c r="B64" s="42">
        <v>51</v>
      </c>
      <c r="C64" s="43">
        <f>'CO_Attainment for Unit Tests'!B63</f>
        <v>2201180414</v>
      </c>
      <c r="D64" s="44" t="str">
        <f>'CO_Attainment for Unit Tests'!C63</f>
        <v>JAGTAP SANKET NARAYAN</v>
      </c>
      <c r="E64" s="89">
        <v>7</v>
      </c>
      <c r="F64" s="68">
        <v>23</v>
      </c>
      <c r="G64" s="68">
        <v>22</v>
      </c>
    </row>
    <row r="65" spans="2:7" ht="15.75" customHeight="1" x14ac:dyDescent="0.25">
      <c r="B65" s="42">
        <v>52</v>
      </c>
      <c r="C65" s="43">
        <f>'CO_Attainment for Unit Tests'!B64</f>
        <v>2201180415</v>
      </c>
      <c r="D65" s="44" t="str">
        <f>'CO_Attainment for Unit Tests'!C64</f>
        <v>DHAPPADHULE VAISHNAVI SACHIN</v>
      </c>
      <c r="E65" s="89">
        <v>7</v>
      </c>
      <c r="F65" s="68">
        <v>23</v>
      </c>
      <c r="G65" s="68">
        <v>21</v>
      </c>
    </row>
    <row r="66" spans="2:7" ht="15.75" customHeight="1" x14ac:dyDescent="0.25">
      <c r="B66" s="42">
        <v>53</v>
      </c>
      <c r="C66" s="43">
        <f>'CO_Attainment for Unit Tests'!B65</f>
        <v>2201180416</v>
      </c>
      <c r="D66" s="44" t="str">
        <f>'CO_Attainment for Unit Tests'!C65</f>
        <v>WAGHMARE AMAR BABAN</v>
      </c>
      <c r="E66" s="89">
        <v>6</v>
      </c>
      <c r="F66" s="68">
        <v>23</v>
      </c>
      <c r="G66" s="68">
        <v>20</v>
      </c>
    </row>
    <row r="67" spans="2:7" ht="15.75" customHeight="1" x14ac:dyDescent="0.25">
      <c r="B67" s="42">
        <v>54</v>
      </c>
      <c r="C67" s="43">
        <f>'CO_Attainment for Unit Tests'!B66</f>
        <v>2201180417</v>
      </c>
      <c r="D67" s="44" t="str">
        <f>'CO_Attainment for Unit Tests'!C66</f>
        <v>DHEPE VAISHNAVI REVANNATH</v>
      </c>
      <c r="E67" s="89">
        <v>8</v>
      </c>
      <c r="F67" s="68">
        <v>24</v>
      </c>
      <c r="G67" s="68">
        <v>23</v>
      </c>
    </row>
    <row r="68" spans="2:7" ht="15.75" customHeight="1" x14ac:dyDescent="0.25">
      <c r="B68" s="42">
        <v>55</v>
      </c>
      <c r="C68" s="43">
        <f>'CO_Attainment for Unit Tests'!B67</f>
        <v>2201180418</v>
      </c>
      <c r="D68" s="44" t="str">
        <f>'CO_Attainment for Unit Tests'!C67</f>
        <v>BAGADE GUNMANJIRI PURUSHOTTAM</v>
      </c>
      <c r="E68" s="89">
        <v>8</v>
      </c>
      <c r="F68" s="68">
        <v>23</v>
      </c>
      <c r="G68" s="68">
        <v>23</v>
      </c>
    </row>
    <row r="69" spans="2:7" ht="15.75" customHeight="1" x14ac:dyDescent="0.25">
      <c r="B69" s="42">
        <v>56</v>
      </c>
      <c r="C69" s="43">
        <f>'CO_Attainment for Unit Tests'!B68</f>
        <v>2201180419</v>
      </c>
      <c r="D69" s="44" t="str">
        <f>'CO_Attainment for Unit Tests'!C68</f>
        <v>MULE SNEHA SANJIVAN</v>
      </c>
      <c r="E69" s="89">
        <v>8</v>
      </c>
      <c r="F69" s="68">
        <v>24</v>
      </c>
      <c r="G69" s="68">
        <v>23</v>
      </c>
    </row>
    <row r="70" spans="2:7" ht="15.75" customHeight="1" x14ac:dyDescent="0.25">
      <c r="B70" s="42">
        <v>57</v>
      </c>
      <c r="C70" s="43">
        <f>'CO_Attainment for Unit Tests'!B69</f>
        <v>23510250259</v>
      </c>
      <c r="D70" s="44" t="str">
        <f>'CO_Attainment for Unit Tests'!C69</f>
        <v>BANSODE VINAYAK BABRUWAN</v>
      </c>
      <c r="E70" s="89">
        <v>0</v>
      </c>
      <c r="F70" s="89">
        <v>0</v>
      </c>
      <c r="G70" s="89">
        <v>0</v>
      </c>
    </row>
    <row r="71" spans="2:7" ht="15.75" customHeight="1" x14ac:dyDescent="0.25">
      <c r="B71" s="42">
        <v>58</v>
      </c>
      <c r="C71" s="43">
        <f>'CO_Attainment for Unit Tests'!B70</f>
        <v>23510250260</v>
      </c>
      <c r="D71" s="44" t="str">
        <f>'CO_Attainment for Unit Tests'!C70</f>
        <v>ISHWARI ASHOK HAWALE</v>
      </c>
      <c r="E71" s="89">
        <v>0</v>
      </c>
      <c r="F71" s="89">
        <v>0</v>
      </c>
      <c r="G71" s="89">
        <v>0</v>
      </c>
    </row>
    <row r="72" spans="2:7" ht="15.75" customHeight="1" x14ac:dyDescent="0.25">
      <c r="B72" s="42">
        <v>59</v>
      </c>
      <c r="C72" s="43">
        <f>'CO_Attainment for Unit Tests'!B71</f>
        <v>23510250261</v>
      </c>
      <c r="D72" s="44" t="str">
        <f>'CO_Attainment for Unit Tests'!C71</f>
        <v>JADHAV SANJYOT SHYAM</v>
      </c>
      <c r="E72" s="89">
        <v>6</v>
      </c>
      <c r="F72" s="68">
        <v>20</v>
      </c>
      <c r="G72" s="68">
        <v>21</v>
      </c>
    </row>
    <row r="73" spans="2:7" ht="15.75" customHeight="1" x14ac:dyDescent="0.25">
      <c r="B73" s="42">
        <v>60</v>
      </c>
      <c r="C73" s="43">
        <f>'CO_Attainment for Unit Tests'!B72</f>
        <v>23510250262</v>
      </c>
      <c r="D73" s="44" t="str">
        <f>'CO_Attainment for Unit Tests'!C72</f>
        <v>KANLOD SHUBHAM GANPAT</v>
      </c>
      <c r="E73" s="89">
        <v>6</v>
      </c>
      <c r="F73" s="68">
        <v>20</v>
      </c>
      <c r="G73" s="68">
        <v>21</v>
      </c>
    </row>
    <row r="74" spans="2:7" ht="15.75" customHeight="1" x14ac:dyDescent="0.25">
      <c r="B74" s="42">
        <v>61</v>
      </c>
      <c r="C74" s="43">
        <f>'CO_Attainment for Unit Tests'!B73</f>
        <v>23510250263</v>
      </c>
      <c r="D74" s="44" t="str">
        <f>'CO_Attainment for Unit Tests'!C73</f>
        <v>PHULARI VISHVJEET UMESH</v>
      </c>
      <c r="E74" s="89">
        <v>6</v>
      </c>
      <c r="F74" s="68">
        <v>14</v>
      </c>
      <c r="G74" s="68">
        <v>20</v>
      </c>
    </row>
    <row r="75" spans="2:7" ht="15.75" customHeight="1" x14ac:dyDescent="0.25">
      <c r="B75" s="42">
        <v>62</v>
      </c>
      <c r="C75" s="43">
        <f>'CO_Attainment for Unit Tests'!B74</f>
        <v>23510250264</v>
      </c>
      <c r="D75" s="44" t="str">
        <f>'CO_Attainment for Unit Tests'!C74</f>
        <v>VHOTTE SHRUTIKA VAIJNATH</v>
      </c>
      <c r="E75" s="89">
        <v>0</v>
      </c>
      <c r="F75" s="89">
        <v>0</v>
      </c>
      <c r="G75" s="89">
        <v>0</v>
      </c>
    </row>
    <row r="76" spans="2:7" ht="15.75" customHeight="1" x14ac:dyDescent="0.25">
      <c r="B76" s="42">
        <v>63</v>
      </c>
      <c r="C76" s="42"/>
      <c r="D76" s="90"/>
      <c r="E76" s="68"/>
      <c r="F76" s="68"/>
      <c r="G76" s="68"/>
    </row>
    <row r="77" spans="2:7" ht="15.75" customHeight="1" x14ac:dyDescent="0.25">
      <c r="B77" s="42">
        <v>64</v>
      </c>
      <c r="C77" s="42"/>
      <c r="D77" s="90"/>
      <c r="E77" s="68"/>
      <c r="F77" s="68"/>
      <c r="G77" s="68"/>
    </row>
    <row r="78" spans="2:7" ht="15.75" customHeight="1" x14ac:dyDescent="0.25">
      <c r="B78" s="42">
        <v>65</v>
      </c>
      <c r="C78" s="42"/>
      <c r="D78" s="90"/>
      <c r="E78" s="68"/>
      <c r="F78" s="68"/>
      <c r="G78" s="68"/>
    </row>
    <row r="79" spans="2:7" ht="15.75" customHeight="1" x14ac:dyDescent="0.25">
      <c r="B79" s="42">
        <v>66</v>
      </c>
      <c r="C79" s="42"/>
      <c r="D79" s="90"/>
      <c r="E79" s="68"/>
      <c r="F79" s="68"/>
      <c r="G79" s="68"/>
    </row>
    <row r="80" spans="2:7" ht="15.75" customHeight="1" x14ac:dyDescent="0.25">
      <c r="B80" s="42">
        <v>67</v>
      </c>
      <c r="C80" s="42"/>
      <c r="D80" s="90"/>
      <c r="E80" s="68"/>
      <c r="F80" s="68"/>
      <c r="G80" s="68"/>
    </row>
    <row r="81" spans="2:7" ht="15.75" customHeight="1" x14ac:dyDescent="0.25">
      <c r="B81" s="42">
        <v>68</v>
      </c>
      <c r="C81" s="42"/>
      <c r="D81" s="90"/>
      <c r="E81" s="68"/>
      <c r="F81" s="68"/>
      <c r="G81" s="68"/>
    </row>
    <row r="82" spans="2:7" ht="15.75" customHeight="1" x14ac:dyDescent="0.25">
      <c r="B82" s="42">
        <v>69</v>
      </c>
      <c r="C82" s="42"/>
      <c r="D82" s="90"/>
      <c r="E82" s="68"/>
      <c r="F82" s="68"/>
      <c r="G82" s="68"/>
    </row>
    <row r="83" spans="2:7" ht="15.75" customHeight="1" x14ac:dyDescent="0.25">
      <c r="B83" s="42">
        <v>70</v>
      </c>
      <c r="C83" s="42"/>
      <c r="D83" s="90"/>
      <c r="E83" s="68"/>
      <c r="F83" s="68"/>
      <c r="G83" s="68"/>
    </row>
    <row r="84" spans="2:7" ht="15.75" customHeight="1" x14ac:dyDescent="0.25">
      <c r="B84" s="42">
        <v>71</v>
      </c>
      <c r="C84" s="42"/>
      <c r="D84" s="90"/>
      <c r="E84" s="42"/>
      <c r="F84" s="50"/>
      <c r="G84" s="50"/>
    </row>
    <row r="85" spans="2:7" ht="15.75" customHeight="1" x14ac:dyDescent="0.25">
      <c r="B85" s="42">
        <v>72</v>
      </c>
      <c r="C85" s="42"/>
      <c r="D85" s="90"/>
      <c r="E85" s="42"/>
      <c r="F85" s="50"/>
      <c r="G85" s="50"/>
    </row>
    <row r="86" spans="2:7" ht="15.75" customHeight="1" x14ac:dyDescent="0.25">
      <c r="B86" s="42">
        <v>73</v>
      </c>
      <c r="C86" s="42"/>
      <c r="D86" s="90"/>
      <c r="E86" s="42"/>
      <c r="F86" s="50"/>
      <c r="G86" s="50"/>
    </row>
    <row r="87" spans="2:7" ht="15.75" customHeight="1" x14ac:dyDescent="0.25">
      <c r="B87" s="42">
        <v>74</v>
      </c>
      <c r="C87" s="42"/>
      <c r="D87" s="90"/>
      <c r="E87" s="42"/>
      <c r="F87" s="50"/>
      <c r="G87" s="50"/>
    </row>
    <row r="88" spans="2:7" ht="15.75" customHeight="1" x14ac:dyDescent="0.25">
      <c r="B88" s="42">
        <v>75</v>
      </c>
      <c r="C88" s="42"/>
      <c r="D88" s="90"/>
      <c r="E88" s="42"/>
      <c r="F88" s="50"/>
      <c r="G88" s="50"/>
    </row>
    <row r="89" spans="2:7" ht="15.75" customHeight="1" x14ac:dyDescent="0.25">
      <c r="B89" s="42">
        <v>76</v>
      </c>
      <c r="C89" s="42"/>
      <c r="D89" s="90"/>
      <c r="E89" s="42"/>
      <c r="F89" s="50"/>
      <c r="G89" s="50"/>
    </row>
    <row r="90" spans="2:7" ht="15.75" customHeight="1" x14ac:dyDescent="0.25">
      <c r="B90" s="42">
        <v>77</v>
      </c>
      <c r="C90" s="42"/>
      <c r="D90" s="90"/>
      <c r="E90" s="42"/>
      <c r="F90" s="50"/>
      <c r="G90" s="50"/>
    </row>
    <row r="91" spans="2:7" ht="15.75" customHeight="1" x14ac:dyDescent="0.25">
      <c r="B91" s="42">
        <v>78</v>
      </c>
      <c r="C91" s="42"/>
      <c r="D91" s="90"/>
      <c r="E91" s="42"/>
      <c r="F91" s="50"/>
      <c r="G91" s="50"/>
    </row>
    <row r="92" spans="2:7" ht="15.75" customHeight="1" x14ac:dyDescent="0.25">
      <c r="B92" s="42">
        <v>79</v>
      </c>
      <c r="C92" s="42"/>
      <c r="D92" s="90"/>
      <c r="E92" s="42"/>
      <c r="F92" s="50"/>
      <c r="G92" s="50"/>
    </row>
    <row r="93" spans="2:7" ht="15.75" customHeight="1" x14ac:dyDescent="0.25">
      <c r="B93" s="42">
        <v>80</v>
      </c>
      <c r="C93" s="42"/>
      <c r="D93" s="90"/>
      <c r="E93" s="42"/>
      <c r="F93" s="50"/>
      <c r="G93" s="50"/>
    </row>
    <row r="94" spans="2:7" ht="15.75" customHeight="1" x14ac:dyDescent="0.25">
      <c r="B94" s="42">
        <v>81</v>
      </c>
      <c r="C94" s="42"/>
      <c r="D94" s="90"/>
      <c r="E94" s="42"/>
      <c r="F94" s="50"/>
      <c r="G94" s="50"/>
    </row>
    <row r="95" spans="2:7" ht="15.75" customHeight="1" x14ac:dyDescent="0.25">
      <c r="B95" s="42">
        <v>82</v>
      </c>
      <c r="C95" s="42"/>
      <c r="D95" s="90"/>
      <c r="E95" s="42"/>
      <c r="F95" s="50"/>
      <c r="G95" s="50"/>
    </row>
    <row r="96" spans="2:7" ht="15.75" customHeight="1" x14ac:dyDescent="0.25">
      <c r="B96" s="42">
        <v>83</v>
      </c>
      <c r="C96" s="42"/>
      <c r="D96" s="90"/>
      <c r="E96" s="42"/>
      <c r="F96" s="50"/>
      <c r="G96" s="50"/>
    </row>
    <row r="97" spans="1:8" ht="30.75" customHeight="1" x14ac:dyDescent="0.25">
      <c r="B97" s="4"/>
      <c r="C97" s="4"/>
      <c r="D97" s="91" t="s">
        <v>163</v>
      </c>
      <c r="E97" s="292">
        <f>ROUNDUP(D98*E13/100,1)</f>
        <v>6</v>
      </c>
      <c r="F97" s="292">
        <f>ROUNDUP(D98*F13/100,1)</f>
        <v>15</v>
      </c>
      <c r="G97" s="292">
        <f>ROUNDUP(D98*G13/100,1)</f>
        <v>15</v>
      </c>
    </row>
    <row r="98" spans="1:8" ht="15.75" customHeight="1" x14ac:dyDescent="0.25">
      <c r="D98" s="92">
        <v>60</v>
      </c>
      <c r="E98" s="215"/>
      <c r="F98" s="215"/>
      <c r="G98" s="215"/>
    </row>
    <row r="99" spans="1:8" ht="15.75" customHeight="1" x14ac:dyDescent="0.25">
      <c r="D99" s="71" t="s">
        <v>136</v>
      </c>
      <c r="E99" s="72">
        <f t="shared" ref="E99:G99" si="0">COUNTIF(E14:E96,"&gt;=" &amp;E97)</f>
        <v>58</v>
      </c>
      <c r="F99" s="72">
        <f t="shared" si="0"/>
        <v>58</v>
      </c>
      <c r="G99" s="72">
        <f t="shared" si="0"/>
        <v>59</v>
      </c>
    </row>
    <row r="100" spans="1:8" ht="15.75" customHeight="1" x14ac:dyDescent="0.25"/>
    <row r="101" spans="1:8" ht="15.75" customHeight="1" x14ac:dyDescent="0.25"/>
    <row r="102" spans="1:8" ht="15.75" customHeight="1" x14ac:dyDescent="0.25"/>
    <row r="103" spans="1:8" ht="46.5" customHeight="1" x14ac:dyDescent="0.25">
      <c r="A103" s="77"/>
      <c r="B103" s="235" t="s">
        <v>164</v>
      </c>
      <c r="C103" s="222"/>
      <c r="D103" s="220"/>
      <c r="E103" s="93" t="s">
        <v>138</v>
      </c>
      <c r="F103" s="52"/>
      <c r="G103" s="76" t="s">
        <v>139</v>
      </c>
      <c r="H103" s="77"/>
    </row>
    <row r="104" spans="1:8" ht="15.75" customHeight="1" x14ac:dyDescent="0.25">
      <c r="A104" s="77"/>
      <c r="B104" s="238" t="s">
        <v>140</v>
      </c>
      <c r="C104" s="78">
        <v>0.5</v>
      </c>
      <c r="D104" s="79" t="s">
        <v>153</v>
      </c>
      <c r="E104" s="282">
        <f>COUNTA(D14:D96)-COUNTIFS(D14:D96,0)</f>
        <v>62</v>
      </c>
      <c r="F104" s="94">
        <f>C104*$E104</f>
        <v>31</v>
      </c>
      <c r="G104" s="80">
        <v>1</v>
      </c>
      <c r="H104" s="77"/>
    </row>
    <row r="105" spans="1:8" ht="15.75" customHeight="1" x14ac:dyDescent="0.25">
      <c r="A105" s="77"/>
      <c r="B105" s="239"/>
      <c r="C105" s="81">
        <v>0.6</v>
      </c>
      <c r="D105" s="82" t="s">
        <v>153</v>
      </c>
      <c r="E105" s="214"/>
      <c r="F105" s="95">
        <f>C105*$E104</f>
        <v>37.199999999999996</v>
      </c>
      <c r="G105" s="83">
        <v>2</v>
      </c>
      <c r="H105" s="77"/>
    </row>
    <row r="106" spans="1:8" ht="15.75" customHeight="1" x14ac:dyDescent="0.25">
      <c r="A106" s="77"/>
      <c r="B106" s="240"/>
      <c r="C106" s="84">
        <v>0.7</v>
      </c>
      <c r="D106" s="85" t="s">
        <v>153</v>
      </c>
      <c r="E106" s="215"/>
      <c r="F106" s="96">
        <f>C106*$E104</f>
        <v>43.4</v>
      </c>
      <c r="G106" s="86">
        <v>3</v>
      </c>
      <c r="H106" s="77"/>
    </row>
    <row r="107" spans="1:8" ht="15.75" customHeight="1" x14ac:dyDescent="0.25">
      <c r="A107" s="77"/>
      <c r="B107" s="77"/>
      <c r="C107" s="77"/>
      <c r="D107" s="77"/>
      <c r="E107" s="77"/>
      <c r="F107" s="77"/>
      <c r="G107" s="77"/>
      <c r="H107" s="77"/>
    </row>
    <row r="108" spans="1:8" ht="15.75" customHeight="1" x14ac:dyDescent="0.25">
      <c r="A108" s="77"/>
      <c r="B108" s="77"/>
      <c r="C108" s="77"/>
      <c r="D108" s="77"/>
      <c r="E108" s="77"/>
      <c r="F108" s="77"/>
      <c r="G108" s="77"/>
      <c r="H108" s="77"/>
    </row>
    <row r="109" spans="1:8" ht="33" customHeight="1" x14ac:dyDescent="0.25">
      <c r="A109" s="219" t="s">
        <v>165</v>
      </c>
      <c r="B109" s="293"/>
      <c r="C109" s="97" t="s">
        <v>9</v>
      </c>
      <c r="D109" s="97" t="s">
        <v>11</v>
      </c>
      <c r="E109" s="97" t="s">
        <v>13</v>
      </c>
      <c r="F109" s="97" t="s">
        <v>15</v>
      </c>
      <c r="G109" s="97" t="s">
        <v>143</v>
      </c>
      <c r="H109" s="98" t="s">
        <v>144</v>
      </c>
    </row>
    <row r="110" spans="1:8" ht="36.75" customHeight="1" x14ac:dyDescent="0.25">
      <c r="A110" s="294" t="s">
        <v>166</v>
      </c>
      <c r="B110" s="287"/>
      <c r="C110" s="99">
        <f>IF(E99&gt;=$F106,3,IF(E99&gt;=$F105,2,IF(E99&gt;=$F104,1,0)))</f>
        <v>3</v>
      </c>
      <c r="D110" s="99">
        <f t="shared" ref="D110:H110" si="1">$C110</f>
        <v>3</v>
      </c>
      <c r="E110" s="99">
        <f t="shared" si="1"/>
        <v>3</v>
      </c>
      <c r="F110" s="99">
        <f t="shared" si="1"/>
        <v>3</v>
      </c>
      <c r="G110" s="99">
        <f t="shared" si="1"/>
        <v>3</v>
      </c>
      <c r="H110" s="100">
        <f t="shared" si="1"/>
        <v>3</v>
      </c>
    </row>
    <row r="111" spans="1:8" ht="37.5" customHeight="1" x14ac:dyDescent="0.25">
      <c r="A111" s="295" t="s">
        <v>167</v>
      </c>
      <c r="B111" s="250"/>
      <c r="C111" s="101">
        <f>IF(F99&gt;=$F106,3,IF(F99&gt;=$F105,2,IF(F99&gt;=$F104,1,0)))</f>
        <v>3</v>
      </c>
      <c r="D111" s="101">
        <f t="shared" ref="D111:H111" si="2">$C111</f>
        <v>3</v>
      </c>
      <c r="E111" s="101">
        <f t="shared" si="2"/>
        <v>3</v>
      </c>
      <c r="F111" s="101">
        <f t="shared" si="2"/>
        <v>3</v>
      </c>
      <c r="G111" s="101">
        <f t="shared" si="2"/>
        <v>3</v>
      </c>
      <c r="H111" s="102">
        <f t="shared" si="2"/>
        <v>3</v>
      </c>
    </row>
    <row r="112" spans="1:8" ht="31.5" customHeight="1" x14ac:dyDescent="0.25">
      <c r="A112" s="289" t="s">
        <v>168</v>
      </c>
      <c r="B112" s="277"/>
      <c r="C112" s="63">
        <f>IF(G99&gt;=$F106,3,IF(G99&gt;=$F105,2,IF(G99&gt;=$F104,1,0)))</f>
        <v>3</v>
      </c>
      <c r="D112" s="63">
        <f t="shared" ref="D112:H112" si="3">$C112</f>
        <v>3</v>
      </c>
      <c r="E112" s="63">
        <f t="shared" si="3"/>
        <v>3</v>
      </c>
      <c r="F112" s="63">
        <f t="shared" si="3"/>
        <v>3</v>
      </c>
      <c r="G112" s="63">
        <f t="shared" si="3"/>
        <v>3</v>
      </c>
      <c r="H112" s="103">
        <f t="shared" si="3"/>
        <v>3</v>
      </c>
    </row>
    <row r="113" spans="2:7" ht="15.75" customHeight="1" x14ac:dyDescent="0.25">
      <c r="B113" s="4"/>
    </row>
    <row r="114" spans="2:7" ht="15.75" customHeight="1" x14ac:dyDescent="0.25">
      <c r="C114" s="4"/>
    </row>
    <row r="115" spans="2:7" ht="15.75" customHeight="1" x14ac:dyDescent="0.25">
      <c r="C115" s="4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>
      <c r="G119" s="14"/>
    </row>
    <row r="120" spans="2:7" ht="15.75" customHeight="1" x14ac:dyDescent="0.25">
      <c r="G120" s="14"/>
    </row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12:B112"/>
    <mergeCell ref="E9:E12"/>
    <mergeCell ref="F9:F12"/>
    <mergeCell ref="G9:G12"/>
    <mergeCell ref="F97:F98"/>
    <mergeCell ref="G97:G98"/>
    <mergeCell ref="B103:D103"/>
    <mergeCell ref="B104:B106"/>
    <mergeCell ref="E97:E98"/>
    <mergeCell ref="E104:E106"/>
    <mergeCell ref="A109:B109"/>
    <mergeCell ref="A110:B110"/>
    <mergeCell ref="A111:B111"/>
    <mergeCell ref="D4:E4"/>
    <mergeCell ref="D5:E5"/>
    <mergeCell ref="D6:E6"/>
    <mergeCell ref="D7:E7"/>
    <mergeCell ref="B9:B13"/>
    <mergeCell ref="C9:C13"/>
    <mergeCell ref="D9:D13"/>
  </mergeCells>
  <pageMargins left="0.7" right="0.7" top="0.75" bottom="0.75" header="0" footer="0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3.85546875" customWidth="1"/>
    <col min="4" max="4" width="43.85546875" customWidth="1"/>
    <col min="5" max="5" width="19.140625" customWidth="1"/>
    <col min="6" max="7" width="8.7109375" customWidth="1"/>
  </cols>
  <sheetData>
    <row r="1" spans="2:6" ht="20.25" x14ac:dyDescent="0.25">
      <c r="C1" s="88" t="s">
        <v>169</v>
      </c>
      <c r="E1" s="88"/>
      <c r="F1" s="31"/>
    </row>
    <row r="2" spans="2:6" x14ac:dyDescent="0.25">
      <c r="B2" s="31"/>
      <c r="C2" s="31"/>
      <c r="E2" s="31"/>
    </row>
    <row r="3" spans="2:6" ht="20.25" x14ac:dyDescent="0.25">
      <c r="B3" s="31"/>
      <c r="C3" s="31"/>
      <c r="D3" s="64"/>
      <c r="E3" s="31"/>
    </row>
    <row r="4" spans="2:6" x14ac:dyDescent="0.25">
      <c r="B4" s="31"/>
      <c r="C4" s="32" t="s">
        <v>1</v>
      </c>
      <c r="D4" s="104" t="str">
        <f>'CO_attain_SLA_FA-PR_SA-PR'!D4</f>
        <v>DATABASE MANAGEMENT SYSTEM</v>
      </c>
      <c r="E4" s="31"/>
      <c r="F4" s="31"/>
    </row>
    <row r="5" spans="2:6" x14ac:dyDescent="0.25">
      <c r="B5" s="31"/>
      <c r="C5" s="32" t="s">
        <v>3</v>
      </c>
      <c r="D5" s="104">
        <f>'CO_attain_SLA_FA-PR_SA-PR'!D5</f>
        <v>22319</v>
      </c>
      <c r="E5" s="31"/>
      <c r="F5" s="31"/>
    </row>
    <row r="6" spans="2:6" x14ac:dyDescent="0.25">
      <c r="B6" s="31"/>
      <c r="C6" s="32" t="s">
        <v>53</v>
      </c>
      <c r="D6" s="104" t="str">
        <f>'CO_attain_SLA_FA-PR_SA-PR'!D6</f>
        <v>3rd SEM(CO3I SCHEME)</v>
      </c>
      <c r="E6" s="31"/>
      <c r="F6" s="31"/>
    </row>
    <row r="7" spans="2:6" x14ac:dyDescent="0.25">
      <c r="B7" s="31"/>
      <c r="C7" s="32" t="s">
        <v>159</v>
      </c>
      <c r="D7" s="104" t="str">
        <f>'CO_attain_SLA_FA-PR_SA-PR'!D7</f>
        <v>2023-24</v>
      </c>
      <c r="E7" s="31"/>
      <c r="F7" s="31"/>
    </row>
    <row r="8" spans="2:6" x14ac:dyDescent="0.25">
      <c r="B8" s="31"/>
      <c r="C8" s="32"/>
      <c r="D8" s="105"/>
      <c r="E8" s="31"/>
      <c r="F8" s="31"/>
    </row>
    <row r="9" spans="2:6" ht="15.75" x14ac:dyDescent="0.25">
      <c r="B9" s="48" t="s">
        <v>170</v>
      </c>
    </row>
    <row r="10" spans="2:6" ht="15.75" customHeight="1" x14ac:dyDescent="0.25">
      <c r="B10" s="298" t="s">
        <v>21</v>
      </c>
      <c r="C10" s="299" t="s">
        <v>171</v>
      </c>
      <c r="D10" s="300" t="s">
        <v>57</v>
      </c>
      <c r="E10" s="299" t="s">
        <v>172</v>
      </c>
    </row>
    <row r="11" spans="2:6" x14ac:dyDescent="0.25">
      <c r="B11" s="214"/>
      <c r="C11" s="214"/>
      <c r="D11" s="214"/>
      <c r="E11" s="214"/>
    </row>
    <row r="12" spans="2:6" x14ac:dyDescent="0.25">
      <c r="B12" s="214"/>
      <c r="C12" s="214"/>
      <c r="D12" s="214"/>
      <c r="E12" s="214"/>
    </row>
    <row r="13" spans="2:6" x14ac:dyDescent="0.25">
      <c r="B13" s="214"/>
      <c r="C13" s="214"/>
      <c r="D13" s="214"/>
      <c r="E13" s="301"/>
    </row>
    <row r="14" spans="2:6" x14ac:dyDescent="0.25">
      <c r="B14" s="215"/>
      <c r="C14" s="215"/>
      <c r="D14" s="215"/>
      <c r="E14" s="106">
        <v>5</v>
      </c>
    </row>
    <row r="15" spans="2:6" x14ac:dyDescent="0.25">
      <c r="B15" s="107">
        <v>1</v>
      </c>
      <c r="C15" s="107">
        <f>'CO_attainment for FA-TH ESE'!C14</f>
        <v>2201180002</v>
      </c>
      <c r="D15" s="107" t="str">
        <f>'CO_attainment for FA-TH ESE'!D14</f>
        <v>GARAD ANJALI NITIN</v>
      </c>
      <c r="E15" s="107">
        <v>0</v>
      </c>
    </row>
    <row r="16" spans="2:6" hidden="1" x14ac:dyDescent="0.25">
      <c r="B16" s="108"/>
      <c r="C16" s="108" t="e">
        <f>'CO_attainment for FA-TH ESE'!#REF!</f>
        <v>#REF!</v>
      </c>
      <c r="D16" s="108" t="e">
        <f>'CO_attainment for FA-TH ESE'!#REF!</f>
        <v>#REF!</v>
      </c>
      <c r="E16" s="109"/>
    </row>
    <row r="17" spans="2:5" x14ac:dyDescent="0.25">
      <c r="B17" s="108">
        <v>2</v>
      </c>
      <c r="C17" s="108" t="e">
        <f>'CO_attainment for FA-TH ESE'!#REF!</f>
        <v>#REF!</v>
      </c>
      <c r="D17" s="108" t="e">
        <f>'CO_attainment for FA-TH ESE'!#REF!</f>
        <v>#REF!</v>
      </c>
      <c r="E17" s="108"/>
    </row>
    <row r="18" spans="2:5" hidden="1" x14ac:dyDescent="0.25">
      <c r="B18" s="108"/>
      <c r="C18" s="108" t="e">
        <f>'CO_attainment for FA-TH ESE'!#REF!</f>
        <v>#REF!</v>
      </c>
      <c r="D18" s="108" t="e">
        <f>'CO_attainment for FA-TH ESE'!#REF!</f>
        <v>#REF!</v>
      </c>
      <c r="E18" s="108"/>
    </row>
    <row r="19" spans="2:5" x14ac:dyDescent="0.25">
      <c r="B19" s="108">
        <v>3</v>
      </c>
      <c r="C19" s="108" t="e">
        <f>'CO_attainment for FA-TH ESE'!#REF!</f>
        <v>#REF!</v>
      </c>
      <c r="D19" s="108" t="e">
        <f>'CO_attainment for FA-TH ESE'!#REF!</f>
        <v>#REF!</v>
      </c>
      <c r="E19" s="108"/>
    </row>
    <row r="20" spans="2:5" hidden="1" x14ac:dyDescent="0.25">
      <c r="B20" s="108"/>
      <c r="C20" s="108" t="e">
        <f>'CO_attainment for FA-TH ESE'!#REF!</f>
        <v>#REF!</v>
      </c>
      <c r="D20" s="108" t="e">
        <f>'CO_attainment for FA-TH ESE'!#REF!</f>
        <v>#REF!</v>
      </c>
      <c r="E20" s="109"/>
    </row>
    <row r="21" spans="2:5" ht="15.75" hidden="1" customHeight="1" x14ac:dyDescent="0.25">
      <c r="B21" s="108"/>
      <c r="C21" s="108" t="e">
        <f>'CO_attainment for FA-TH ESE'!#REF!</f>
        <v>#REF!</v>
      </c>
      <c r="D21" s="108" t="e">
        <f>'CO_attainment for FA-TH ESE'!#REF!</f>
        <v>#REF!</v>
      </c>
      <c r="E21" s="109"/>
    </row>
    <row r="22" spans="2:5" ht="15.75" customHeight="1" x14ac:dyDescent="0.25">
      <c r="B22" s="108">
        <v>4</v>
      </c>
      <c r="C22" s="108" t="e">
        <f>'CO_attainment for FA-TH ESE'!#REF!</f>
        <v>#REF!</v>
      </c>
      <c r="D22" s="108" t="e">
        <f>'CO_attainment for FA-TH ESE'!#REF!</f>
        <v>#REF!</v>
      </c>
      <c r="E22" s="108"/>
    </row>
    <row r="23" spans="2:5" ht="15.75" hidden="1" customHeight="1" x14ac:dyDescent="0.25">
      <c r="B23" s="108"/>
      <c r="C23" s="108" t="e">
        <f>'CO_attainment for FA-TH ESE'!#REF!</f>
        <v>#REF!</v>
      </c>
      <c r="D23" s="108" t="e">
        <f>'CO_attainment for FA-TH ESE'!#REF!</f>
        <v>#REF!</v>
      </c>
      <c r="E23" s="109"/>
    </row>
    <row r="24" spans="2:5" ht="15.75" hidden="1" customHeight="1" x14ac:dyDescent="0.25">
      <c r="B24" s="108"/>
      <c r="C24" s="108" t="e">
        <f>'CO_attainment for FA-TH ESE'!#REF!</f>
        <v>#REF!</v>
      </c>
      <c r="D24" s="108" t="e">
        <f>'CO_attainment for FA-TH ESE'!#REF!</f>
        <v>#REF!</v>
      </c>
      <c r="E24" s="109"/>
    </row>
    <row r="25" spans="2:5" ht="15.75" hidden="1" customHeight="1" x14ac:dyDescent="0.25">
      <c r="B25" s="108"/>
      <c r="C25" s="108" t="e">
        <f>'CO_attainment for FA-TH ESE'!#REF!</f>
        <v>#REF!</v>
      </c>
      <c r="D25" s="108" t="e">
        <f>'CO_attainment for FA-TH ESE'!#REF!</f>
        <v>#REF!</v>
      </c>
      <c r="E25" s="108"/>
    </row>
    <row r="26" spans="2:5" ht="15.75" hidden="1" customHeight="1" x14ac:dyDescent="0.25">
      <c r="B26" s="108"/>
      <c r="C26" s="108" t="e">
        <f>'CO_attainment for FA-TH ESE'!#REF!</f>
        <v>#REF!</v>
      </c>
      <c r="D26" s="108" t="e">
        <f>'CO_attainment for FA-TH ESE'!#REF!</f>
        <v>#REF!</v>
      </c>
      <c r="E26" s="108"/>
    </row>
    <row r="27" spans="2:5" ht="15.75" hidden="1" customHeight="1" x14ac:dyDescent="0.25">
      <c r="B27" s="108"/>
      <c r="C27" s="108" t="e">
        <f>'CO_attainment for FA-TH ESE'!#REF!</f>
        <v>#REF!</v>
      </c>
      <c r="D27" s="108" t="e">
        <f>'CO_attainment for FA-TH ESE'!#REF!</f>
        <v>#REF!</v>
      </c>
      <c r="E27" s="108"/>
    </row>
    <row r="28" spans="2:5" ht="15.75" hidden="1" customHeight="1" x14ac:dyDescent="0.25">
      <c r="B28" s="108"/>
      <c r="C28" s="108" t="e">
        <f>'CO_attainment for FA-TH ESE'!#REF!</f>
        <v>#REF!</v>
      </c>
      <c r="D28" s="108" t="e">
        <f>'CO_attainment for FA-TH ESE'!#REF!</f>
        <v>#REF!</v>
      </c>
      <c r="E28" s="108"/>
    </row>
    <row r="29" spans="2:5" ht="15.75" hidden="1" customHeight="1" x14ac:dyDescent="0.25">
      <c r="B29" s="108"/>
      <c r="C29" s="108" t="e">
        <f>'CO_attainment for FA-TH ESE'!#REF!</f>
        <v>#REF!</v>
      </c>
      <c r="D29" s="108" t="e">
        <f>'CO_attainment for FA-TH ESE'!#REF!</f>
        <v>#REF!</v>
      </c>
      <c r="E29" s="108"/>
    </row>
    <row r="30" spans="2:5" ht="15.75" hidden="1" customHeight="1" x14ac:dyDescent="0.25">
      <c r="B30" s="108"/>
      <c r="C30" s="108" t="e">
        <f>'CO_attainment for FA-TH ESE'!#REF!</f>
        <v>#REF!</v>
      </c>
      <c r="D30" s="108" t="e">
        <f>'CO_attainment for FA-TH ESE'!#REF!</f>
        <v>#REF!</v>
      </c>
      <c r="E30" s="108"/>
    </row>
    <row r="31" spans="2:5" ht="15.75" customHeight="1" x14ac:dyDescent="0.25">
      <c r="B31" s="108">
        <v>5</v>
      </c>
      <c r="C31" s="108" t="e">
        <f>'CO_attainment for FA-TH ESE'!#REF!</f>
        <v>#REF!</v>
      </c>
      <c r="D31" s="108" t="e">
        <f>'CO_attainment for FA-TH ESE'!#REF!</f>
        <v>#REF!</v>
      </c>
      <c r="E31" s="108"/>
    </row>
    <row r="32" spans="2:5" ht="15.75" hidden="1" customHeight="1" x14ac:dyDescent="0.25">
      <c r="B32" s="108"/>
      <c r="C32" s="108" t="e">
        <f>'CO_attainment for FA-TH ESE'!#REF!</f>
        <v>#REF!</v>
      </c>
      <c r="D32" s="108" t="e">
        <f>'CO_attainment for FA-TH ESE'!#REF!</f>
        <v>#REF!</v>
      </c>
      <c r="E32" s="108"/>
    </row>
    <row r="33" spans="2:5" ht="15.75" hidden="1" customHeight="1" x14ac:dyDescent="0.25">
      <c r="B33" s="108"/>
      <c r="C33" s="108" t="e">
        <f>'CO_attainment for FA-TH ESE'!#REF!</f>
        <v>#REF!</v>
      </c>
      <c r="D33" s="108" t="e">
        <f>'CO_attainment for FA-TH ESE'!#REF!</f>
        <v>#REF!</v>
      </c>
      <c r="E33" s="108"/>
    </row>
    <row r="34" spans="2:5" ht="15.75" hidden="1" customHeight="1" x14ac:dyDescent="0.25">
      <c r="B34" s="108"/>
      <c r="C34" s="108" t="e">
        <f>'CO_attainment for FA-TH ESE'!#REF!</f>
        <v>#REF!</v>
      </c>
      <c r="D34" s="108" t="e">
        <f>'CO_attainment for FA-TH ESE'!#REF!</f>
        <v>#REF!</v>
      </c>
      <c r="E34" s="108"/>
    </row>
    <row r="35" spans="2:5" ht="15.75" hidden="1" customHeight="1" x14ac:dyDescent="0.25">
      <c r="B35" s="108"/>
      <c r="C35" s="108" t="e">
        <f>'CO_attainment for FA-TH ESE'!#REF!</f>
        <v>#REF!</v>
      </c>
      <c r="D35" s="108" t="e">
        <f>'CO_attainment for FA-TH ESE'!#REF!</f>
        <v>#REF!</v>
      </c>
      <c r="E35" s="108"/>
    </row>
    <row r="36" spans="2:5" ht="15.75" hidden="1" customHeight="1" x14ac:dyDescent="0.25">
      <c r="B36" s="108"/>
      <c r="C36" s="108" t="e">
        <f>'CO_attainment for FA-TH ESE'!#REF!</f>
        <v>#REF!</v>
      </c>
      <c r="D36" s="108" t="e">
        <f>'CO_attainment for FA-TH ESE'!#REF!</f>
        <v>#REF!</v>
      </c>
      <c r="E36" s="108"/>
    </row>
    <row r="37" spans="2:5" ht="15.75" hidden="1" customHeight="1" x14ac:dyDescent="0.25">
      <c r="B37" s="108"/>
      <c r="C37" s="108" t="e">
        <f>'CO_attainment for FA-TH ESE'!#REF!</f>
        <v>#REF!</v>
      </c>
      <c r="D37" s="108" t="e">
        <f>'CO_attainment for FA-TH ESE'!#REF!</f>
        <v>#REF!</v>
      </c>
      <c r="E37" s="108"/>
    </row>
    <row r="38" spans="2:5" ht="15.75" customHeight="1" x14ac:dyDescent="0.25">
      <c r="B38" s="108">
        <v>6</v>
      </c>
      <c r="C38" s="108" t="e">
        <f>'CO_attainment for FA-TH ESE'!#REF!</f>
        <v>#REF!</v>
      </c>
      <c r="D38" s="108" t="e">
        <f>'CO_attainment for FA-TH ESE'!#REF!</f>
        <v>#REF!</v>
      </c>
      <c r="E38" s="108"/>
    </row>
    <row r="39" spans="2:5" ht="15.75" hidden="1" customHeight="1" x14ac:dyDescent="0.25">
      <c r="B39" s="108"/>
      <c r="C39" s="108" t="e">
        <f>'CO_attainment for FA-TH ESE'!#REF!</f>
        <v>#REF!</v>
      </c>
      <c r="D39" s="108" t="e">
        <f>'CO_attainment for FA-TH ESE'!#REF!</f>
        <v>#REF!</v>
      </c>
      <c r="E39" s="108"/>
    </row>
    <row r="40" spans="2:5" ht="15.75" hidden="1" customHeight="1" x14ac:dyDescent="0.25">
      <c r="B40" s="108"/>
      <c r="C40" s="108" t="e">
        <f>'CO_attainment for FA-TH ESE'!#REF!</f>
        <v>#REF!</v>
      </c>
      <c r="D40" s="108" t="e">
        <f>'CO_attainment for FA-TH ESE'!#REF!</f>
        <v>#REF!</v>
      </c>
      <c r="E40" s="108"/>
    </row>
    <row r="41" spans="2:5" ht="15.75" hidden="1" customHeight="1" x14ac:dyDescent="0.25">
      <c r="B41" s="108"/>
      <c r="C41" s="108" t="e">
        <f>'CO_attainment for FA-TH ESE'!#REF!</f>
        <v>#REF!</v>
      </c>
      <c r="D41" s="108" t="e">
        <f>'CO_attainment for FA-TH ESE'!#REF!</f>
        <v>#REF!</v>
      </c>
      <c r="E41" s="108"/>
    </row>
    <row r="42" spans="2:5" ht="15.75" hidden="1" customHeight="1" x14ac:dyDescent="0.25">
      <c r="B42" s="108"/>
      <c r="C42" s="108" t="e">
        <f>'CO_attainment for FA-TH ESE'!#REF!</f>
        <v>#REF!</v>
      </c>
      <c r="D42" s="108" t="e">
        <f>'CO_attainment for FA-TH ESE'!#REF!</f>
        <v>#REF!</v>
      </c>
      <c r="E42" s="108"/>
    </row>
    <row r="43" spans="2:5" ht="15.75" hidden="1" customHeight="1" x14ac:dyDescent="0.25">
      <c r="B43" s="108"/>
      <c r="C43" s="108" t="e">
        <f>'CO_attainment for FA-TH ESE'!#REF!</f>
        <v>#REF!</v>
      </c>
      <c r="D43" s="108" t="e">
        <f>'CO_attainment for FA-TH ESE'!#REF!</f>
        <v>#REF!</v>
      </c>
      <c r="E43" s="108"/>
    </row>
    <row r="44" spans="2:5" ht="15.75" hidden="1" customHeight="1" x14ac:dyDescent="0.25">
      <c r="B44" s="108"/>
      <c r="C44" s="108" t="e">
        <f>'CO_attainment for FA-TH ESE'!#REF!</f>
        <v>#REF!</v>
      </c>
      <c r="D44" s="108" t="e">
        <f>'CO_attainment for FA-TH ESE'!#REF!</f>
        <v>#REF!</v>
      </c>
      <c r="E44" s="108"/>
    </row>
    <row r="45" spans="2:5" ht="15.75" hidden="1" customHeight="1" x14ac:dyDescent="0.25">
      <c r="B45" s="108"/>
      <c r="C45" s="108" t="e">
        <f>'CO_attainment for FA-TH ESE'!#REF!</f>
        <v>#REF!</v>
      </c>
      <c r="D45" s="108" t="e">
        <f>'CO_attainment for FA-TH ESE'!#REF!</f>
        <v>#REF!</v>
      </c>
      <c r="E45" s="108"/>
    </row>
    <row r="46" spans="2:5" ht="15.75" hidden="1" customHeight="1" x14ac:dyDescent="0.25">
      <c r="B46" s="108"/>
      <c r="C46" s="108" t="e">
        <f>'CO_attainment for FA-TH ESE'!#REF!</f>
        <v>#REF!</v>
      </c>
      <c r="D46" s="108" t="e">
        <f>'CO_attainment for FA-TH ESE'!#REF!</f>
        <v>#REF!</v>
      </c>
      <c r="E46" s="108"/>
    </row>
    <row r="47" spans="2:5" ht="15.75" hidden="1" customHeight="1" x14ac:dyDescent="0.25">
      <c r="B47" s="108"/>
      <c r="C47" s="108" t="e">
        <f>'CO_attainment for FA-TH ESE'!#REF!</f>
        <v>#REF!</v>
      </c>
      <c r="D47" s="108" t="e">
        <f>'CO_attainment for FA-TH ESE'!#REF!</f>
        <v>#REF!</v>
      </c>
      <c r="E47" s="108"/>
    </row>
    <row r="48" spans="2:5" ht="15.75" hidden="1" customHeight="1" x14ac:dyDescent="0.25">
      <c r="B48" s="108"/>
      <c r="C48" s="108" t="e">
        <f>'CO_attainment for FA-TH ESE'!#REF!</f>
        <v>#REF!</v>
      </c>
      <c r="D48" s="108" t="e">
        <f>'CO_attainment for FA-TH ESE'!#REF!</f>
        <v>#REF!</v>
      </c>
      <c r="E48" s="108"/>
    </row>
    <row r="49" spans="2:5" ht="15.75" hidden="1" customHeight="1" x14ac:dyDescent="0.25">
      <c r="B49" s="108"/>
      <c r="C49" s="108" t="e">
        <f>'CO_attainment for FA-TH ESE'!#REF!</f>
        <v>#REF!</v>
      </c>
      <c r="D49" s="108" t="e">
        <f>'CO_attainment for FA-TH ESE'!#REF!</f>
        <v>#REF!</v>
      </c>
      <c r="E49" s="108"/>
    </row>
    <row r="50" spans="2:5" ht="15.75" hidden="1" customHeight="1" x14ac:dyDescent="0.25">
      <c r="B50" s="108"/>
      <c r="C50" s="108" t="e">
        <f>'CO_attainment for FA-TH ESE'!#REF!</f>
        <v>#REF!</v>
      </c>
      <c r="D50" s="108" t="e">
        <f>'CO_attainment for FA-TH ESE'!#REF!</f>
        <v>#REF!</v>
      </c>
      <c r="E50" s="108"/>
    </row>
    <row r="51" spans="2:5" ht="15.75" hidden="1" customHeight="1" x14ac:dyDescent="0.25">
      <c r="B51" s="108"/>
      <c r="C51" s="108" t="e">
        <f>'CO_attainment for FA-TH ESE'!#REF!</f>
        <v>#REF!</v>
      </c>
      <c r="D51" s="108" t="e">
        <f>'CO_attainment for FA-TH ESE'!#REF!</f>
        <v>#REF!</v>
      </c>
      <c r="E51" s="108"/>
    </row>
    <row r="52" spans="2:5" ht="15.75" hidden="1" customHeight="1" x14ac:dyDescent="0.25">
      <c r="B52" s="108"/>
      <c r="C52" s="108" t="e">
        <f>'CO_attainment for FA-TH ESE'!#REF!</f>
        <v>#REF!</v>
      </c>
      <c r="D52" s="108" t="e">
        <f>'CO_attainment for FA-TH ESE'!#REF!</f>
        <v>#REF!</v>
      </c>
      <c r="E52" s="108"/>
    </row>
    <row r="53" spans="2:5" ht="15.75" hidden="1" customHeight="1" x14ac:dyDescent="0.25">
      <c r="B53" s="108"/>
      <c r="C53" s="108" t="e">
        <f>'CO_attainment for FA-TH ESE'!#REF!</f>
        <v>#REF!</v>
      </c>
      <c r="D53" s="108" t="e">
        <f>'CO_attainment for FA-TH ESE'!#REF!</f>
        <v>#REF!</v>
      </c>
      <c r="E53" s="108"/>
    </row>
    <row r="54" spans="2:5" ht="15.75" hidden="1" customHeight="1" x14ac:dyDescent="0.25">
      <c r="B54" s="108"/>
      <c r="C54" s="108" t="e">
        <f>'CO_attainment for FA-TH ESE'!#REF!</f>
        <v>#REF!</v>
      </c>
      <c r="D54" s="108" t="e">
        <f>'CO_attainment for FA-TH ESE'!#REF!</f>
        <v>#REF!</v>
      </c>
      <c r="E54" s="108"/>
    </row>
    <row r="55" spans="2:5" ht="15.75" hidden="1" customHeight="1" x14ac:dyDescent="0.25">
      <c r="B55" s="108"/>
      <c r="C55" s="108" t="e">
        <f>'CO_attainment for FA-TH ESE'!#REF!</f>
        <v>#REF!</v>
      </c>
      <c r="D55" s="108" t="e">
        <f>'CO_attainment for FA-TH ESE'!#REF!</f>
        <v>#REF!</v>
      </c>
      <c r="E55" s="108"/>
    </row>
    <row r="56" spans="2:5" ht="15.75" hidden="1" customHeight="1" x14ac:dyDescent="0.25">
      <c r="B56" s="108"/>
      <c r="C56" s="108" t="e">
        <f>'CO_attainment for FA-TH ESE'!#REF!</f>
        <v>#REF!</v>
      </c>
      <c r="D56" s="108" t="e">
        <f>'CO_attainment for FA-TH ESE'!#REF!</f>
        <v>#REF!</v>
      </c>
      <c r="E56" s="108"/>
    </row>
    <row r="57" spans="2:5" ht="15.75" hidden="1" customHeight="1" x14ac:dyDescent="0.25">
      <c r="B57" s="108"/>
      <c r="C57" s="108" t="e">
        <f>'CO_attainment for FA-TH ESE'!#REF!</f>
        <v>#REF!</v>
      </c>
      <c r="D57" s="108" t="e">
        <f>'CO_attainment for FA-TH ESE'!#REF!</f>
        <v>#REF!</v>
      </c>
      <c r="E57" s="108"/>
    </row>
    <row r="58" spans="2:5" ht="15.75" hidden="1" customHeight="1" x14ac:dyDescent="0.25">
      <c r="B58" s="108"/>
      <c r="C58" s="108" t="e">
        <f>'CO_attainment for FA-TH ESE'!#REF!</f>
        <v>#REF!</v>
      </c>
      <c r="D58" s="108" t="e">
        <f>'CO_attainment for FA-TH ESE'!#REF!</f>
        <v>#REF!</v>
      </c>
      <c r="E58" s="108"/>
    </row>
    <row r="59" spans="2:5" ht="15.75" hidden="1" customHeight="1" x14ac:dyDescent="0.25">
      <c r="B59" s="108"/>
      <c r="C59" s="108" t="e">
        <f>'CO_attainment for FA-TH ESE'!#REF!</f>
        <v>#REF!</v>
      </c>
      <c r="D59" s="108" t="e">
        <f>'CO_attainment for FA-TH ESE'!#REF!</f>
        <v>#REF!</v>
      </c>
      <c r="E59" s="108"/>
    </row>
    <row r="60" spans="2:5" ht="15.75" hidden="1" customHeight="1" x14ac:dyDescent="0.25">
      <c r="B60" s="108"/>
      <c r="C60" s="108" t="e">
        <f>'CO_attainment for FA-TH ESE'!#REF!</f>
        <v>#REF!</v>
      </c>
      <c r="D60" s="108" t="e">
        <f>'CO_attainment for FA-TH ESE'!#REF!</f>
        <v>#REF!</v>
      </c>
      <c r="E60" s="108"/>
    </row>
    <row r="61" spans="2:5" ht="15.75" hidden="1" customHeight="1" x14ac:dyDescent="0.25">
      <c r="B61" s="108"/>
      <c r="C61" s="108" t="e">
        <f>'CO_attainment for FA-TH ESE'!#REF!</f>
        <v>#REF!</v>
      </c>
      <c r="D61" s="108" t="e">
        <f>'CO_attainment for FA-TH ESE'!#REF!</f>
        <v>#REF!</v>
      </c>
      <c r="E61" s="108"/>
    </row>
    <row r="62" spans="2:5" ht="15.75" hidden="1" customHeight="1" x14ac:dyDescent="0.25">
      <c r="B62" s="108"/>
      <c r="C62" s="108" t="e">
        <f>'CO_attainment for FA-TH ESE'!#REF!</f>
        <v>#REF!</v>
      </c>
      <c r="D62" s="108" t="e">
        <f>'CO_attainment for FA-TH ESE'!#REF!</f>
        <v>#REF!</v>
      </c>
      <c r="E62" s="108"/>
    </row>
    <row r="63" spans="2:5" ht="15.75" hidden="1" customHeight="1" x14ac:dyDescent="0.25">
      <c r="B63" s="108"/>
      <c r="C63" s="108" t="e">
        <f>'CO_attainment for FA-TH ESE'!#REF!</f>
        <v>#REF!</v>
      </c>
      <c r="D63" s="108" t="e">
        <f>'CO_attainment for FA-TH ESE'!#REF!</f>
        <v>#REF!</v>
      </c>
      <c r="E63" s="108"/>
    </row>
    <row r="64" spans="2:5" ht="15.75" customHeight="1" x14ac:dyDescent="0.25">
      <c r="B64" s="108">
        <v>7</v>
      </c>
      <c r="C64" s="108" t="e">
        <f>'CO_attainment for FA-TH ESE'!#REF!</f>
        <v>#REF!</v>
      </c>
      <c r="D64" s="108" t="e">
        <f>'CO_attainment for FA-TH ESE'!#REF!</f>
        <v>#REF!</v>
      </c>
      <c r="E64" s="108"/>
    </row>
    <row r="65" spans="2:5" ht="15.75" hidden="1" customHeight="1" x14ac:dyDescent="0.25">
      <c r="B65" s="108"/>
      <c r="C65" s="108" t="e">
        <f>'CO_attainment for FA-TH ESE'!#REF!</f>
        <v>#REF!</v>
      </c>
      <c r="D65" s="108" t="e">
        <f>'CO_attainment for FA-TH ESE'!#REF!</f>
        <v>#REF!</v>
      </c>
      <c r="E65" s="108"/>
    </row>
    <row r="66" spans="2:5" ht="15.75" hidden="1" customHeight="1" x14ac:dyDescent="0.25">
      <c r="B66" s="108"/>
      <c r="C66" s="108" t="e">
        <f>'CO_attainment for FA-TH ESE'!#REF!</f>
        <v>#REF!</v>
      </c>
      <c r="D66" s="108" t="e">
        <f>'CO_attainment for FA-TH ESE'!#REF!</f>
        <v>#REF!</v>
      </c>
      <c r="E66" s="108"/>
    </row>
    <row r="67" spans="2:5" ht="15.75" hidden="1" customHeight="1" x14ac:dyDescent="0.25">
      <c r="B67" s="108"/>
      <c r="C67" s="108" t="e">
        <f>'CO_attainment for FA-TH ESE'!#REF!</f>
        <v>#REF!</v>
      </c>
      <c r="D67" s="108" t="e">
        <f>'CO_attainment for FA-TH ESE'!#REF!</f>
        <v>#REF!</v>
      </c>
      <c r="E67" s="108"/>
    </row>
    <row r="68" spans="2:5" ht="15.75" customHeight="1" x14ac:dyDescent="0.25">
      <c r="B68" s="108">
        <v>8</v>
      </c>
      <c r="C68" s="108" t="e">
        <f>'CO_attainment for FA-TH ESE'!#REF!</f>
        <v>#REF!</v>
      </c>
      <c r="D68" s="108" t="e">
        <f>'CO_attainment for FA-TH ESE'!#REF!</f>
        <v>#REF!</v>
      </c>
      <c r="E68" s="108"/>
    </row>
    <row r="69" spans="2:5" ht="15.75" hidden="1" customHeight="1" x14ac:dyDescent="0.25">
      <c r="B69" s="108"/>
      <c r="C69" s="108" t="e">
        <f>'CO_attainment for FA-TH ESE'!#REF!</f>
        <v>#REF!</v>
      </c>
      <c r="D69" s="108" t="e">
        <f>'CO_attainment for FA-TH ESE'!#REF!</f>
        <v>#REF!</v>
      </c>
      <c r="E69" s="108"/>
    </row>
    <row r="70" spans="2:5" ht="15.75" hidden="1" customHeight="1" x14ac:dyDescent="0.25">
      <c r="B70" s="108"/>
      <c r="C70" s="108" t="e">
        <f>'CO_attainment for FA-TH ESE'!#REF!</f>
        <v>#REF!</v>
      </c>
      <c r="D70" s="108" t="e">
        <f>'CO_attainment for FA-TH ESE'!#REF!</f>
        <v>#REF!</v>
      </c>
      <c r="E70" s="108"/>
    </row>
    <row r="71" spans="2:5" ht="15.75" customHeight="1" x14ac:dyDescent="0.25">
      <c r="B71" s="108">
        <v>9</v>
      </c>
      <c r="C71" s="108" t="e">
        <f>'CO_attainment for FA-TH ESE'!#REF!</f>
        <v>#REF!</v>
      </c>
      <c r="D71" s="108" t="e">
        <f>'CO_attainment for FA-TH ESE'!#REF!</f>
        <v>#REF!</v>
      </c>
      <c r="E71" s="108"/>
    </row>
    <row r="72" spans="2:5" ht="15.75" hidden="1" customHeight="1" x14ac:dyDescent="0.25">
      <c r="B72" s="108"/>
      <c r="C72" s="108" t="e">
        <f>'CO_attainment for FA-TH ESE'!#REF!</f>
        <v>#REF!</v>
      </c>
      <c r="D72" s="108" t="e">
        <f>'CO_attainment for FA-TH ESE'!#REF!</f>
        <v>#REF!</v>
      </c>
      <c r="E72" s="108"/>
    </row>
    <row r="73" spans="2:5" ht="15.75" customHeight="1" x14ac:dyDescent="0.25">
      <c r="B73" s="108"/>
      <c r="C73" s="108"/>
      <c r="D73" s="108"/>
      <c r="E73" s="108"/>
    </row>
    <row r="74" spans="2:5" ht="15.75" customHeight="1" x14ac:dyDescent="0.25">
      <c r="B74" s="108"/>
      <c r="C74" s="108"/>
      <c r="D74" s="108"/>
      <c r="E74" s="108"/>
    </row>
    <row r="75" spans="2:5" ht="15.75" customHeight="1" x14ac:dyDescent="0.25">
      <c r="B75" s="108"/>
      <c r="C75" s="108"/>
      <c r="D75" s="108"/>
      <c r="E75" s="108"/>
    </row>
    <row r="76" spans="2:5" ht="15.75" customHeight="1" x14ac:dyDescent="0.25">
      <c r="B76" s="108"/>
      <c r="C76" s="108"/>
      <c r="D76" s="108"/>
      <c r="E76" s="108"/>
    </row>
    <row r="77" spans="2:5" ht="15.75" customHeight="1" x14ac:dyDescent="0.25">
      <c r="B77" s="108"/>
      <c r="C77" s="108"/>
      <c r="D77" s="108"/>
      <c r="E77" s="108"/>
    </row>
    <row r="78" spans="2:5" ht="15.75" customHeight="1" x14ac:dyDescent="0.25">
      <c r="B78" s="108"/>
      <c r="C78" s="108"/>
      <c r="D78" s="108"/>
      <c r="E78" s="108"/>
    </row>
    <row r="79" spans="2:5" ht="15.75" customHeight="1" x14ac:dyDescent="0.25">
      <c r="B79" s="108"/>
      <c r="C79" s="110"/>
      <c r="D79" s="110"/>
      <c r="E79" s="110"/>
    </row>
    <row r="80" spans="2:5" ht="15.75" customHeight="1" x14ac:dyDescent="0.25">
      <c r="D80" s="111" t="s">
        <v>173</v>
      </c>
      <c r="E80" s="112">
        <f>ROUNDUP(AVERAGE(E15:E79),1)</f>
        <v>0</v>
      </c>
    </row>
    <row r="81" spans="1:7" ht="15.75" customHeight="1" x14ac:dyDescent="0.25">
      <c r="D81" s="111" t="s">
        <v>174</v>
      </c>
      <c r="E81" s="112">
        <f>(E80/5)*100</f>
        <v>0</v>
      </c>
    </row>
    <row r="82" spans="1:7" ht="15.75" customHeight="1" x14ac:dyDescent="0.25">
      <c r="A82" s="4" t="s">
        <v>175</v>
      </c>
      <c r="D82" s="105"/>
      <c r="E82" s="29"/>
    </row>
    <row r="83" spans="1:7" ht="15.75" customHeight="1" x14ac:dyDescent="0.25">
      <c r="A83" s="4" t="s">
        <v>176</v>
      </c>
      <c r="D83" s="105"/>
      <c r="E83" s="29"/>
    </row>
    <row r="84" spans="1:7" ht="15.75" customHeight="1" x14ac:dyDescent="0.25"/>
    <row r="85" spans="1:7" ht="42.75" customHeight="1" x14ac:dyDescent="0.25">
      <c r="A85" s="302" t="s">
        <v>177</v>
      </c>
      <c r="B85" s="222"/>
      <c r="C85" s="222"/>
      <c r="D85" s="220"/>
      <c r="E85" s="113" t="s">
        <v>139</v>
      </c>
    </row>
    <row r="86" spans="1:7" ht="15.75" customHeight="1" x14ac:dyDescent="0.25">
      <c r="A86" s="303" t="s">
        <v>140</v>
      </c>
      <c r="B86" s="304" t="s">
        <v>178</v>
      </c>
      <c r="C86" s="305"/>
      <c r="D86" s="281"/>
      <c r="E86" s="114">
        <v>1</v>
      </c>
    </row>
    <row r="87" spans="1:7" ht="15.75" customHeight="1" x14ac:dyDescent="0.25">
      <c r="A87" s="239"/>
      <c r="B87" s="306" t="s">
        <v>179</v>
      </c>
      <c r="C87" s="307"/>
      <c r="D87" s="246"/>
      <c r="E87" s="115">
        <v>2</v>
      </c>
    </row>
    <row r="88" spans="1:7" ht="15.75" customHeight="1" x14ac:dyDescent="0.25">
      <c r="A88" s="240"/>
      <c r="B88" s="308" t="s">
        <v>180</v>
      </c>
      <c r="C88" s="309"/>
      <c r="D88" s="248"/>
      <c r="E88" s="116">
        <v>3</v>
      </c>
    </row>
    <row r="89" spans="1:7" ht="15.75" customHeight="1" x14ac:dyDescent="0.25"/>
    <row r="90" spans="1:7" ht="30.75" customHeight="1" x14ac:dyDescent="0.25">
      <c r="A90" s="296" t="s">
        <v>165</v>
      </c>
      <c r="B90" s="293"/>
      <c r="C90" s="117" t="s">
        <v>9</v>
      </c>
      <c r="D90" s="117" t="s">
        <v>11</v>
      </c>
      <c r="E90" s="117" t="s">
        <v>13</v>
      </c>
      <c r="F90" s="117" t="s">
        <v>143</v>
      </c>
      <c r="G90" s="118" t="s">
        <v>144</v>
      </c>
    </row>
    <row r="91" spans="1:7" ht="30" customHeight="1" x14ac:dyDescent="0.25">
      <c r="A91" s="297" t="s">
        <v>181</v>
      </c>
      <c r="B91" s="287"/>
      <c r="C91" s="119">
        <f>IF(E81&gt;=80,3,IF(E81&gt;=65,2,IF(E81&gt;=40,1,0)))</f>
        <v>0</v>
      </c>
      <c r="D91" s="119">
        <f t="shared" ref="D91:G91" si="0">$C91</f>
        <v>0</v>
      </c>
      <c r="E91" s="119">
        <f t="shared" si="0"/>
        <v>0</v>
      </c>
      <c r="F91" s="119">
        <f t="shared" si="0"/>
        <v>0</v>
      </c>
      <c r="G91" s="120">
        <f t="shared" si="0"/>
        <v>0</v>
      </c>
    </row>
    <row r="92" spans="1:7" ht="15" customHeight="1" x14ac:dyDescent="0.25">
      <c r="A92" s="4" t="s">
        <v>182</v>
      </c>
      <c r="E92" s="14"/>
    </row>
    <row r="93" spans="1:7" ht="12" customHeight="1" x14ac:dyDescent="0.25">
      <c r="B93" s="4" t="s">
        <v>183</v>
      </c>
    </row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10:E13"/>
    <mergeCell ref="A85:D85"/>
    <mergeCell ref="A86:A88"/>
    <mergeCell ref="B86:D86"/>
    <mergeCell ref="B87:D87"/>
    <mergeCell ref="B88:D88"/>
    <mergeCell ref="A90:B90"/>
    <mergeCell ref="A91:B91"/>
    <mergeCell ref="B10:B14"/>
    <mergeCell ref="C10:C14"/>
    <mergeCell ref="D10:D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31.140625" customWidth="1"/>
    <col min="5" max="5" width="11.42578125" customWidth="1"/>
    <col min="6" max="16" width="8.7109375" customWidth="1"/>
  </cols>
  <sheetData>
    <row r="1" spans="2:16" ht="28.5" x14ac:dyDescent="0.45">
      <c r="F1" s="121" t="s">
        <v>184</v>
      </c>
      <c r="G1" s="121"/>
      <c r="H1" s="121"/>
      <c r="I1" s="3"/>
    </row>
    <row r="4" spans="2:16" ht="15.75" x14ac:dyDescent="0.25">
      <c r="B4" s="14"/>
      <c r="C4" s="15" t="s">
        <v>185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2:16" ht="15.75" x14ac:dyDescent="0.25">
      <c r="B5" s="14"/>
      <c r="C5" s="15" t="s">
        <v>186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2:16" x14ac:dyDescent="0.25">
      <c r="B6" s="213" t="s">
        <v>21</v>
      </c>
      <c r="C6" s="228" t="s">
        <v>22</v>
      </c>
      <c r="D6" s="229"/>
      <c r="E6" s="219" t="s">
        <v>23</v>
      </c>
      <c r="F6" s="222"/>
      <c r="G6" s="222"/>
      <c r="H6" s="222"/>
      <c r="I6" s="222"/>
      <c r="J6" s="222"/>
      <c r="K6" s="222"/>
      <c r="L6" s="222"/>
      <c r="M6" s="222"/>
      <c r="N6" s="220"/>
      <c r="O6" s="219" t="s">
        <v>24</v>
      </c>
      <c r="P6" s="220"/>
    </row>
    <row r="7" spans="2:16" x14ac:dyDescent="0.25">
      <c r="B7" s="214"/>
      <c r="C7" s="230"/>
      <c r="D7" s="231"/>
      <c r="E7" s="16" t="s">
        <v>25</v>
      </c>
      <c r="F7" s="16" t="s">
        <v>26</v>
      </c>
      <c r="G7" s="16" t="s">
        <v>27</v>
      </c>
      <c r="H7" s="16" t="s">
        <v>28</v>
      </c>
      <c r="I7" s="16" t="s">
        <v>29</v>
      </c>
      <c r="J7" s="16" t="s">
        <v>30</v>
      </c>
      <c r="K7" s="16" t="s">
        <v>31</v>
      </c>
      <c r="L7" s="16" t="s">
        <v>187</v>
      </c>
      <c r="M7" s="16" t="s">
        <v>188</v>
      </c>
      <c r="N7" s="16" t="s">
        <v>189</v>
      </c>
      <c r="O7" s="16" t="s">
        <v>32</v>
      </c>
      <c r="P7" s="16" t="s">
        <v>33</v>
      </c>
    </row>
    <row r="8" spans="2:16" ht="62.25" x14ac:dyDescent="0.25">
      <c r="B8" s="215"/>
      <c r="C8" s="232"/>
      <c r="D8" s="233"/>
      <c r="E8" s="17" t="s">
        <v>190</v>
      </c>
      <c r="F8" s="17" t="s">
        <v>191</v>
      </c>
      <c r="G8" s="17" t="s">
        <v>192</v>
      </c>
      <c r="H8" s="17" t="s">
        <v>193</v>
      </c>
      <c r="I8" s="17" t="s">
        <v>194</v>
      </c>
      <c r="J8" s="17" t="s">
        <v>195</v>
      </c>
      <c r="K8" s="17" t="s">
        <v>196</v>
      </c>
      <c r="L8" s="17" t="s">
        <v>197</v>
      </c>
      <c r="M8" s="17" t="s">
        <v>198</v>
      </c>
      <c r="N8" s="17" t="s">
        <v>199</v>
      </c>
      <c r="O8" s="122" t="s">
        <v>200</v>
      </c>
      <c r="P8" s="123" t="s">
        <v>201</v>
      </c>
    </row>
    <row r="9" spans="2:16" ht="63.75" customHeight="1" x14ac:dyDescent="0.25">
      <c r="B9" s="124">
        <v>1</v>
      </c>
      <c r="C9" s="19" t="s">
        <v>9</v>
      </c>
      <c r="D9" s="20" t="s">
        <v>202</v>
      </c>
      <c r="E9" s="125">
        <v>3</v>
      </c>
      <c r="F9" s="125">
        <v>3</v>
      </c>
      <c r="G9" s="125">
        <v>2</v>
      </c>
      <c r="H9" s="125">
        <v>2</v>
      </c>
      <c r="I9" s="125">
        <v>2</v>
      </c>
      <c r="J9" s="125">
        <v>2</v>
      </c>
      <c r="K9" s="125">
        <v>2</v>
      </c>
      <c r="L9" s="125">
        <v>2</v>
      </c>
      <c r="M9" s="125">
        <v>2</v>
      </c>
      <c r="N9" s="125">
        <v>3</v>
      </c>
      <c r="O9" s="125">
        <v>3</v>
      </c>
      <c r="P9" s="125">
        <v>2</v>
      </c>
    </row>
    <row r="10" spans="2:16" ht="60.75" customHeight="1" x14ac:dyDescent="0.25">
      <c r="B10" s="124">
        <v>2</v>
      </c>
      <c r="C10" s="19" t="s">
        <v>11</v>
      </c>
      <c r="D10" s="23" t="s">
        <v>203</v>
      </c>
      <c r="E10" s="125">
        <v>3</v>
      </c>
      <c r="F10" s="125">
        <v>3</v>
      </c>
      <c r="G10" s="125">
        <v>1</v>
      </c>
      <c r="H10" s="125">
        <v>2</v>
      </c>
      <c r="I10" s="125">
        <v>2</v>
      </c>
      <c r="J10" s="125">
        <v>2</v>
      </c>
      <c r="K10" s="125">
        <v>2</v>
      </c>
      <c r="L10" s="125">
        <v>2</v>
      </c>
      <c r="M10" s="125">
        <v>2</v>
      </c>
      <c r="N10" s="125">
        <v>1</v>
      </c>
      <c r="O10" s="125">
        <v>2</v>
      </c>
      <c r="P10" s="125">
        <v>2</v>
      </c>
    </row>
    <row r="11" spans="2:16" ht="57.75" customHeight="1" x14ac:dyDescent="0.25">
      <c r="B11" s="124">
        <v>3</v>
      </c>
      <c r="C11" s="19" t="s">
        <v>13</v>
      </c>
      <c r="D11" s="23" t="s">
        <v>204</v>
      </c>
      <c r="E11" s="125">
        <v>3</v>
      </c>
      <c r="F11" s="125">
        <v>3</v>
      </c>
      <c r="G11" s="125">
        <v>2</v>
      </c>
      <c r="H11" s="125">
        <v>2</v>
      </c>
      <c r="I11" s="125">
        <v>2</v>
      </c>
      <c r="J11" s="125">
        <v>3</v>
      </c>
      <c r="K11" s="125">
        <v>2</v>
      </c>
      <c r="L11" s="125">
        <v>3</v>
      </c>
      <c r="M11" s="125">
        <v>2</v>
      </c>
      <c r="N11" s="125">
        <v>2</v>
      </c>
      <c r="O11" s="125">
        <v>2</v>
      </c>
      <c r="P11" s="125">
        <v>2</v>
      </c>
    </row>
    <row r="12" spans="2:16" ht="84" customHeight="1" x14ac:dyDescent="0.25">
      <c r="B12" s="124">
        <v>4</v>
      </c>
      <c r="C12" s="19" t="s">
        <v>15</v>
      </c>
      <c r="D12" s="23" t="s">
        <v>205</v>
      </c>
      <c r="E12" s="125">
        <v>3</v>
      </c>
      <c r="F12" s="125">
        <v>3</v>
      </c>
      <c r="G12" s="125">
        <v>2</v>
      </c>
      <c r="H12" s="125">
        <v>3</v>
      </c>
      <c r="I12" s="125">
        <v>3</v>
      </c>
      <c r="J12" s="125">
        <v>2</v>
      </c>
      <c r="K12" s="125">
        <v>3</v>
      </c>
      <c r="L12" s="125">
        <v>2</v>
      </c>
      <c r="M12" s="125">
        <v>2</v>
      </c>
      <c r="N12" s="125">
        <v>3</v>
      </c>
      <c r="O12" s="125">
        <v>2</v>
      </c>
      <c r="P12" s="125">
        <v>2</v>
      </c>
    </row>
    <row r="13" spans="2:16" ht="48" customHeight="1" x14ac:dyDescent="0.25">
      <c r="B13" s="124">
        <v>5</v>
      </c>
      <c r="C13" s="19" t="s">
        <v>17</v>
      </c>
      <c r="D13" s="23" t="s">
        <v>206</v>
      </c>
      <c r="E13" s="125">
        <v>3</v>
      </c>
      <c r="F13" s="125">
        <v>3</v>
      </c>
      <c r="G13" s="125">
        <v>3</v>
      </c>
      <c r="H13" s="125">
        <v>3</v>
      </c>
      <c r="I13" s="125">
        <v>2</v>
      </c>
      <c r="J13" s="125">
        <v>2</v>
      </c>
      <c r="K13" s="125">
        <v>1</v>
      </c>
      <c r="L13" s="125">
        <v>3</v>
      </c>
      <c r="M13" s="125">
        <v>2</v>
      </c>
      <c r="N13" s="125">
        <v>2</v>
      </c>
      <c r="O13" s="125">
        <v>3</v>
      </c>
      <c r="P13" s="125">
        <v>3</v>
      </c>
    </row>
    <row r="14" spans="2:16" ht="48" customHeight="1" x14ac:dyDescent="0.25">
      <c r="B14" s="124">
        <v>6</v>
      </c>
      <c r="C14" s="19" t="s">
        <v>207</v>
      </c>
      <c r="D14" s="23" t="s">
        <v>208</v>
      </c>
      <c r="E14" s="125">
        <v>3</v>
      </c>
      <c r="F14" s="125">
        <v>3</v>
      </c>
      <c r="G14" s="125">
        <v>2</v>
      </c>
      <c r="H14" s="125">
        <v>2</v>
      </c>
      <c r="I14" s="125">
        <v>1</v>
      </c>
      <c r="J14" s="125">
        <v>2</v>
      </c>
      <c r="K14" s="125">
        <v>1</v>
      </c>
      <c r="L14" s="125">
        <v>1</v>
      </c>
      <c r="M14" s="125">
        <v>2</v>
      </c>
      <c r="N14" s="125">
        <v>1</v>
      </c>
      <c r="O14" s="125">
        <v>2</v>
      </c>
      <c r="P14" s="125">
        <v>2</v>
      </c>
    </row>
    <row r="15" spans="2:16" x14ac:dyDescent="0.25">
      <c r="B15" s="310" t="s">
        <v>209</v>
      </c>
      <c r="C15" s="222"/>
      <c r="D15" s="220"/>
      <c r="E15" s="126">
        <f t="shared" ref="E15:P15" si="0">ROUNDUP(AVERAGE(E9:E14),2)</f>
        <v>3</v>
      </c>
      <c r="F15" s="126">
        <f t="shared" si="0"/>
        <v>3</v>
      </c>
      <c r="G15" s="126">
        <f t="shared" si="0"/>
        <v>2</v>
      </c>
      <c r="H15" s="126">
        <f t="shared" si="0"/>
        <v>2.34</v>
      </c>
      <c r="I15" s="126">
        <f t="shared" si="0"/>
        <v>2</v>
      </c>
      <c r="J15" s="126">
        <f t="shared" si="0"/>
        <v>2.17</v>
      </c>
      <c r="K15" s="126">
        <f t="shared" si="0"/>
        <v>1.84</v>
      </c>
      <c r="L15" s="126">
        <f t="shared" si="0"/>
        <v>2.17</v>
      </c>
      <c r="M15" s="126">
        <f t="shared" si="0"/>
        <v>2</v>
      </c>
      <c r="N15" s="126">
        <f t="shared" si="0"/>
        <v>2</v>
      </c>
      <c r="O15" s="126">
        <f t="shared" si="0"/>
        <v>2.34</v>
      </c>
      <c r="P15" s="126">
        <f t="shared" si="0"/>
        <v>2.17</v>
      </c>
    </row>
    <row r="16" spans="2:16" x14ac:dyDescent="0.25">
      <c r="B16" s="311" t="s">
        <v>210</v>
      </c>
      <c r="C16" s="222"/>
      <c r="D16" s="220"/>
      <c r="E16" s="127">
        <f t="shared" ref="E16:P16" si="1">ROUNDUP((E15*2.66)/3,2)</f>
        <v>2.66</v>
      </c>
      <c r="F16" s="127">
        <f t="shared" si="1"/>
        <v>2.66</v>
      </c>
      <c r="G16" s="127">
        <f t="shared" si="1"/>
        <v>1.78</v>
      </c>
      <c r="H16" s="127">
        <f t="shared" si="1"/>
        <v>2.0799999999999996</v>
      </c>
      <c r="I16" s="127">
        <f t="shared" si="1"/>
        <v>1.78</v>
      </c>
      <c r="J16" s="127">
        <f t="shared" si="1"/>
        <v>1.93</v>
      </c>
      <c r="K16" s="127">
        <f t="shared" si="1"/>
        <v>1.64</v>
      </c>
      <c r="L16" s="127">
        <f t="shared" si="1"/>
        <v>1.93</v>
      </c>
      <c r="M16" s="127">
        <f t="shared" si="1"/>
        <v>1.78</v>
      </c>
      <c r="N16" s="127">
        <f t="shared" si="1"/>
        <v>1.78</v>
      </c>
      <c r="O16" s="127">
        <f t="shared" si="1"/>
        <v>2.0799999999999996</v>
      </c>
      <c r="P16" s="127">
        <f t="shared" si="1"/>
        <v>1.93</v>
      </c>
    </row>
    <row r="17" spans="2:16" x14ac:dyDescent="0.25">
      <c r="B17" s="311" t="s">
        <v>211</v>
      </c>
      <c r="C17" s="222"/>
      <c r="D17" s="220"/>
      <c r="E17" s="127">
        <f t="shared" ref="E17:P17" si="2">ROUNDUP((E16/3)*100,2)</f>
        <v>88.67</v>
      </c>
      <c r="F17" s="127">
        <f t="shared" si="2"/>
        <v>88.67</v>
      </c>
      <c r="G17" s="127">
        <f t="shared" si="2"/>
        <v>59.339999999999996</v>
      </c>
      <c r="H17" s="127">
        <f t="shared" si="2"/>
        <v>69.34</v>
      </c>
      <c r="I17" s="127">
        <f t="shared" si="2"/>
        <v>59.339999999999996</v>
      </c>
      <c r="J17" s="127">
        <f t="shared" si="2"/>
        <v>64.34</v>
      </c>
      <c r="K17" s="127">
        <f t="shared" si="2"/>
        <v>54.669999999999995</v>
      </c>
      <c r="L17" s="127">
        <f t="shared" si="2"/>
        <v>64.34</v>
      </c>
      <c r="M17" s="127">
        <f t="shared" si="2"/>
        <v>59.339999999999996</v>
      </c>
      <c r="N17" s="127">
        <f t="shared" si="2"/>
        <v>59.339999999999996</v>
      </c>
      <c r="O17" s="127">
        <f t="shared" si="2"/>
        <v>69.34</v>
      </c>
      <c r="P17" s="127">
        <f t="shared" si="2"/>
        <v>64.34</v>
      </c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  <row r="25" spans="2:16" ht="15.75" customHeight="1" x14ac:dyDescent="0.25"/>
    <row r="26" spans="2:16" ht="15.75" customHeight="1" x14ac:dyDescent="0.25"/>
    <row r="27" spans="2:16" ht="15.75" customHeight="1" x14ac:dyDescent="0.25"/>
    <row r="28" spans="2:16" ht="15.75" customHeight="1" x14ac:dyDescent="0.25"/>
    <row r="29" spans="2:16" ht="15.75" customHeight="1" x14ac:dyDescent="0.25"/>
    <row r="30" spans="2:16" ht="15.75" customHeight="1" x14ac:dyDescent="0.25"/>
    <row r="31" spans="2:16" ht="15.75" customHeight="1" x14ac:dyDescent="0.25"/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O6:P6"/>
    <mergeCell ref="B15:D15"/>
    <mergeCell ref="B16:D16"/>
    <mergeCell ref="B17:D17"/>
    <mergeCell ref="B6:B8"/>
    <mergeCell ref="C6:D8"/>
    <mergeCell ref="E6:N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9.7109375" customWidth="1"/>
    <col min="6" max="6" width="7.140625" customWidth="1"/>
    <col min="7" max="7" width="6.5703125" customWidth="1"/>
    <col min="8" max="8" width="10.28515625" customWidth="1"/>
    <col min="9" max="9" width="13.7109375" customWidth="1"/>
    <col min="10" max="10" width="10.7109375" customWidth="1"/>
    <col min="11" max="26" width="9.140625" customWidth="1"/>
  </cols>
  <sheetData>
    <row r="1" spans="1:26" ht="23.25" x14ac:dyDescent="0.25">
      <c r="A1" s="14"/>
      <c r="B1" s="14"/>
      <c r="C1" s="14"/>
      <c r="D1" s="14"/>
      <c r="E1" s="128" t="s">
        <v>212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5">
      <c r="A3" s="14"/>
      <c r="B3" s="31"/>
      <c r="C3" s="32" t="s">
        <v>1</v>
      </c>
      <c r="D3" s="104" t="str">
        <f>'CO_attainment for Indirect'!D4</f>
        <v>DATABASE MANAGEMENT SYSTEM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5">
      <c r="A4" s="14"/>
      <c r="B4" s="31"/>
      <c r="C4" s="32" t="s">
        <v>3</v>
      </c>
      <c r="D4" s="104">
        <f>'CO_attainment for Indirect'!D5</f>
        <v>22319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14"/>
      <c r="B5" s="31"/>
      <c r="C5" s="32" t="s">
        <v>53</v>
      </c>
      <c r="D5" s="104" t="str">
        <f>'CO_attainment for Indirect'!D6</f>
        <v>3rd SEM(CO3I SCHEME)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14"/>
      <c r="B6" s="31"/>
      <c r="C6" s="32" t="s">
        <v>159</v>
      </c>
      <c r="D6" s="104" t="str">
        <f>'CO_attain_SLA_FA-PR_SA-PR'!D7</f>
        <v>2023-24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x14ac:dyDescent="0.25">
      <c r="A8" s="14"/>
      <c r="B8" s="14"/>
      <c r="C8" s="312" t="s">
        <v>213</v>
      </c>
      <c r="D8" s="222"/>
      <c r="E8" s="222"/>
      <c r="F8" s="222"/>
      <c r="G8" s="222"/>
      <c r="H8" s="222"/>
      <c r="I8" s="222"/>
      <c r="J8" s="220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4"/>
      <c r="B9" s="14"/>
      <c r="C9" s="313" t="s">
        <v>214</v>
      </c>
      <c r="D9" s="222"/>
      <c r="E9" s="222"/>
      <c r="F9" s="222"/>
      <c r="G9" s="222"/>
      <c r="H9" s="220"/>
      <c r="I9" s="314" t="s">
        <v>215</v>
      </c>
      <c r="J9" s="229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14"/>
      <c r="B10" s="14"/>
      <c r="C10" s="315" t="s">
        <v>216</v>
      </c>
      <c r="D10" s="316" t="s">
        <v>217</v>
      </c>
      <c r="E10" s="317"/>
      <c r="F10" s="317"/>
      <c r="G10" s="233"/>
      <c r="H10" s="129" t="s">
        <v>218</v>
      </c>
      <c r="I10" s="232"/>
      <c r="J10" s="23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45.75" customHeight="1" x14ac:dyDescent="0.25">
      <c r="A11" s="14"/>
      <c r="B11" s="14"/>
      <c r="C11" s="215"/>
      <c r="D11" s="130" t="s">
        <v>219</v>
      </c>
      <c r="E11" s="131" t="s">
        <v>220</v>
      </c>
      <c r="F11" s="131" t="s">
        <v>221</v>
      </c>
      <c r="G11" s="132" t="s">
        <v>162</v>
      </c>
      <c r="H11" s="133" t="s">
        <v>222</v>
      </c>
      <c r="I11" s="318" t="s">
        <v>223</v>
      </c>
      <c r="J11" s="220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14"/>
      <c r="B12" s="14"/>
      <c r="C12" s="134" t="s">
        <v>9</v>
      </c>
      <c r="D12" s="135">
        <f>'CO_Attainment for Unit Tests'!D109</f>
        <v>3</v>
      </c>
      <c r="E12" s="136">
        <f>'CO_attain_SLA_FA-PR_SA-PR'!C111</f>
        <v>3</v>
      </c>
      <c r="F12" s="136">
        <f>'CO_attain_SLA_FA-PR_SA-PR'!C110</f>
        <v>3</v>
      </c>
      <c r="G12" s="136">
        <f>'CO_attain_SLA_FA-PR_SA-PR'!C112</f>
        <v>3</v>
      </c>
      <c r="H12" s="137">
        <f>'CO_attainment for FA-TH ESE'!C110</f>
        <v>3</v>
      </c>
      <c r="I12" s="319">
        <f>'CO_attainment for Indirect'!C91</f>
        <v>0</v>
      </c>
      <c r="J12" s="281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4"/>
      <c r="B13" s="14"/>
      <c r="C13" s="138" t="s">
        <v>11</v>
      </c>
      <c r="D13" s="139">
        <f>'CO_Attainment for Unit Tests'!E109</f>
        <v>2</v>
      </c>
      <c r="E13" s="140">
        <f t="shared" ref="E13:E17" si="0">$E12</f>
        <v>3</v>
      </c>
      <c r="F13" s="140">
        <f t="shared" ref="F13:F17" si="1">$F12</f>
        <v>3</v>
      </c>
      <c r="G13" s="140">
        <f t="shared" ref="G13:G17" si="2">$G12</f>
        <v>3</v>
      </c>
      <c r="H13" s="141">
        <f t="shared" ref="H13:H17" si="3">$H12</f>
        <v>3</v>
      </c>
      <c r="I13" s="323">
        <f t="shared" ref="I13:I17" si="4">$I12</f>
        <v>0</v>
      </c>
      <c r="J13" s="246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14"/>
      <c r="B14" s="14"/>
      <c r="C14" s="138" t="s">
        <v>13</v>
      </c>
      <c r="D14" s="139">
        <f>'CO_Attainment for Unit Tests'!F109</f>
        <v>3</v>
      </c>
      <c r="E14" s="140">
        <f t="shared" si="0"/>
        <v>3</v>
      </c>
      <c r="F14" s="140">
        <f t="shared" si="1"/>
        <v>3</v>
      </c>
      <c r="G14" s="140">
        <f t="shared" si="2"/>
        <v>3</v>
      </c>
      <c r="H14" s="141">
        <f t="shared" si="3"/>
        <v>3</v>
      </c>
      <c r="I14" s="323">
        <f t="shared" si="4"/>
        <v>0</v>
      </c>
      <c r="J14" s="246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14"/>
      <c r="B15" s="14"/>
      <c r="C15" s="138" t="s">
        <v>15</v>
      </c>
      <c r="D15" s="139">
        <f>'CO_Attainment for Unit Tests'!G109</f>
        <v>3</v>
      </c>
      <c r="E15" s="140">
        <f t="shared" si="0"/>
        <v>3</v>
      </c>
      <c r="F15" s="140">
        <f t="shared" si="1"/>
        <v>3</v>
      </c>
      <c r="G15" s="140">
        <f t="shared" si="2"/>
        <v>3</v>
      </c>
      <c r="H15" s="141">
        <f t="shared" si="3"/>
        <v>3</v>
      </c>
      <c r="I15" s="323">
        <f t="shared" si="4"/>
        <v>0</v>
      </c>
      <c r="J15" s="246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5">
      <c r="A16" s="14"/>
      <c r="B16" s="14"/>
      <c r="C16" s="138" t="s">
        <v>17</v>
      </c>
      <c r="D16" s="139">
        <f>'CO_Attainment for Unit Tests'!H109</f>
        <v>2</v>
      </c>
      <c r="E16" s="140">
        <f t="shared" si="0"/>
        <v>3</v>
      </c>
      <c r="F16" s="140">
        <f t="shared" si="1"/>
        <v>3</v>
      </c>
      <c r="G16" s="140">
        <f t="shared" si="2"/>
        <v>3</v>
      </c>
      <c r="H16" s="141">
        <f t="shared" si="3"/>
        <v>3</v>
      </c>
      <c r="I16" s="323">
        <f t="shared" si="4"/>
        <v>0</v>
      </c>
      <c r="J16" s="246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14"/>
      <c r="B17" s="14"/>
      <c r="C17" s="142" t="s">
        <v>207</v>
      </c>
      <c r="D17" s="143">
        <f>'CO_Attainment for Unit Tests'!I109</f>
        <v>0</v>
      </c>
      <c r="E17" s="144">
        <f t="shared" si="0"/>
        <v>3</v>
      </c>
      <c r="F17" s="144">
        <f t="shared" si="1"/>
        <v>3</v>
      </c>
      <c r="G17" s="144">
        <f t="shared" si="2"/>
        <v>3</v>
      </c>
      <c r="H17" s="145">
        <f t="shared" si="3"/>
        <v>3</v>
      </c>
      <c r="I17" s="323">
        <f t="shared" si="4"/>
        <v>0</v>
      </c>
      <c r="J17" s="246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14"/>
      <c r="B18" s="14"/>
      <c r="C18" s="134" t="s">
        <v>224</v>
      </c>
      <c r="D18" s="135">
        <f t="shared" ref="D18:I18" si="5">ROUND(AVERAGE(D12:D17),2)</f>
        <v>2.17</v>
      </c>
      <c r="E18" s="136">
        <f t="shared" si="5"/>
        <v>3</v>
      </c>
      <c r="F18" s="136">
        <f t="shared" si="5"/>
        <v>3</v>
      </c>
      <c r="G18" s="136">
        <f t="shared" si="5"/>
        <v>3</v>
      </c>
      <c r="H18" s="137">
        <f t="shared" si="5"/>
        <v>3</v>
      </c>
      <c r="I18" s="319">
        <f t="shared" si="5"/>
        <v>0</v>
      </c>
      <c r="J18" s="281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" customHeight="1" x14ac:dyDescent="0.25">
      <c r="A19" s="14"/>
      <c r="B19" s="14"/>
      <c r="C19" s="146" t="s">
        <v>225</v>
      </c>
      <c r="D19" s="147">
        <v>10</v>
      </c>
      <c r="E19" s="147">
        <v>10</v>
      </c>
      <c r="F19" s="147">
        <v>10</v>
      </c>
      <c r="G19" s="147">
        <v>10</v>
      </c>
      <c r="H19" s="147">
        <v>60</v>
      </c>
      <c r="I19" s="324">
        <v>100</v>
      </c>
      <c r="J19" s="250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31.5" customHeight="1" x14ac:dyDescent="0.25">
      <c r="A20" s="14"/>
      <c r="B20" s="14"/>
      <c r="C20" s="148" t="s">
        <v>226</v>
      </c>
      <c r="D20" s="143">
        <f t="shared" ref="D20:I20" si="6">D18*D19/100</f>
        <v>0.217</v>
      </c>
      <c r="E20" s="143">
        <f t="shared" si="6"/>
        <v>0.3</v>
      </c>
      <c r="F20" s="143">
        <f t="shared" si="6"/>
        <v>0.3</v>
      </c>
      <c r="G20" s="143">
        <f t="shared" si="6"/>
        <v>0.3</v>
      </c>
      <c r="H20" s="143">
        <f t="shared" si="6"/>
        <v>1.8</v>
      </c>
      <c r="I20" s="320">
        <f t="shared" si="6"/>
        <v>0</v>
      </c>
      <c r="J20" s="248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48" customHeight="1" x14ac:dyDescent="0.25">
      <c r="A21" s="14"/>
      <c r="B21" s="14"/>
      <c r="C21" s="321" t="s">
        <v>227</v>
      </c>
      <c r="D21" s="222"/>
      <c r="E21" s="222"/>
      <c r="F21" s="222"/>
      <c r="G21" s="220"/>
      <c r="H21" s="149">
        <f>SUM(D20:H20)</f>
        <v>2.9169999999999998</v>
      </c>
      <c r="I21" s="150" t="s">
        <v>228</v>
      </c>
      <c r="J21" s="149">
        <f>I20</f>
        <v>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2.5" customHeight="1" x14ac:dyDescent="0.25">
      <c r="A22" s="14"/>
      <c r="B22" s="14"/>
      <c r="C22" s="321" t="s">
        <v>229</v>
      </c>
      <c r="D22" s="222"/>
      <c r="E22" s="222"/>
      <c r="F22" s="222"/>
      <c r="G22" s="220"/>
      <c r="H22" s="151">
        <v>0.8</v>
      </c>
      <c r="I22" s="152" t="s">
        <v>230</v>
      </c>
      <c r="J22" s="151">
        <v>0.2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45" customHeight="1" x14ac:dyDescent="0.25">
      <c r="A23" s="14"/>
      <c r="B23" s="14"/>
      <c r="C23" s="321" t="s">
        <v>231</v>
      </c>
      <c r="D23" s="222"/>
      <c r="E23" s="222"/>
      <c r="F23" s="222"/>
      <c r="G23" s="220"/>
      <c r="H23" s="149">
        <f>0.8*H21</f>
        <v>2.3336000000000001</v>
      </c>
      <c r="I23" s="150" t="s">
        <v>232</v>
      </c>
      <c r="J23" s="152">
        <f>0.2*J21</f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5.5" customHeight="1" x14ac:dyDescent="0.25">
      <c r="A24" s="14"/>
      <c r="B24" s="14"/>
      <c r="C24" s="322" t="s">
        <v>233</v>
      </c>
      <c r="D24" s="222"/>
      <c r="E24" s="222"/>
      <c r="F24" s="222"/>
      <c r="G24" s="222"/>
      <c r="H24" s="220"/>
      <c r="I24" s="153">
        <f>ROUNDUP(H23+J23,2)</f>
        <v>2.34</v>
      </c>
      <c r="J24" s="15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14"/>
      <c r="B30" s="14"/>
      <c r="C30" s="14"/>
      <c r="D30" s="14"/>
      <c r="E30" s="14"/>
      <c r="F30" s="14"/>
      <c r="G30" s="14" t="s">
        <v>234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14"/>
      <c r="B31" s="14"/>
      <c r="C31" s="14"/>
      <c r="D31" s="14"/>
      <c r="E31" s="14"/>
      <c r="F31" s="14"/>
      <c r="G31" s="14" t="s">
        <v>235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60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48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48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48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48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48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48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24:H24"/>
    <mergeCell ref="I13:J13"/>
    <mergeCell ref="I14:J14"/>
    <mergeCell ref="I15:J15"/>
    <mergeCell ref="I16:J16"/>
    <mergeCell ref="I17:J17"/>
    <mergeCell ref="I18:J18"/>
    <mergeCell ref="I19:J19"/>
    <mergeCell ref="I12:J12"/>
    <mergeCell ref="I20:J20"/>
    <mergeCell ref="C21:G21"/>
    <mergeCell ref="C22:G22"/>
    <mergeCell ref="C23:G23"/>
    <mergeCell ref="C8:J8"/>
    <mergeCell ref="C9:H9"/>
    <mergeCell ref="I9:J10"/>
    <mergeCell ref="C10:C11"/>
    <mergeCell ref="D10:G10"/>
    <mergeCell ref="I11:J1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showGridLines="0" workbookViewId="0">
      <selection activeCell="H27" sqref="H27"/>
    </sheetView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10.28515625" customWidth="1"/>
    <col min="6" max="6" width="7.28515625" customWidth="1"/>
    <col min="7" max="7" width="9.7109375" customWidth="1"/>
    <col min="8" max="8" width="12.7109375" customWidth="1"/>
    <col min="9" max="9" width="11.7109375" customWidth="1"/>
    <col min="10" max="10" width="14.140625" customWidth="1"/>
    <col min="11" max="11" width="7.85546875" customWidth="1"/>
    <col min="12" max="26" width="9.140625" customWidth="1"/>
  </cols>
  <sheetData>
    <row r="1" spans="1:26" ht="23.25" x14ac:dyDescent="0.25">
      <c r="A1" s="14"/>
      <c r="B1" s="14"/>
      <c r="C1" s="14"/>
      <c r="D1" s="14"/>
      <c r="E1" s="128" t="s">
        <v>212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5">
      <c r="A3" s="14"/>
      <c r="B3" s="31"/>
      <c r="C3" s="32" t="s">
        <v>1</v>
      </c>
      <c r="D3" s="101" t="str">
        <f>'CO_attainment for Indirect'!D4</f>
        <v>DATABASE MANAGEMENT SYSTEM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5">
      <c r="A4" s="14"/>
      <c r="B4" s="31"/>
      <c r="C4" s="32" t="s">
        <v>3</v>
      </c>
      <c r="D4" s="101">
        <f>'CO_attainment for Indirect'!D5</f>
        <v>22319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14"/>
      <c r="B5" s="31"/>
      <c r="C5" s="32" t="s">
        <v>53</v>
      </c>
      <c r="D5" s="101" t="str">
        <f>'CO_attainment for Indirect'!D6</f>
        <v>3rd SEM(CO3I SCHEME)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14"/>
      <c r="B6" s="31"/>
      <c r="C6" s="32" t="s">
        <v>159</v>
      </c>
      <c r="D6" s="101" t="str">
        <f>'CO_attain_SLA_FA-PR_SA-PR'!D7</f>
        <v>2023-24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5">
      <c r="A7" s="14"/>
      <c r="B7" s="31"/>
      <c r="C7" s="32"/>
      <c r="D7" s="105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5">
      <c r="A8" s="14"/>
      <c r="B8" s="31"/>
      <c r="C8" s="325" t="s">
        <v>236</v>
      </c>
      <c r="D8" s="326"/>
      <c r="E8" s="328" t="s">
        <v>237</v>
      </c>
      <c r="F8" s="305"/>
      <c r="G8" s="287"/>
      <c r="H8" s="155" t="s">
        <v>161</v>
      </c>
      <c r="I8" s="155" t="s">
        <v>162</v>
      </c>
      <c r="J8" s="155" t="s">
        <v>238</v>
      </c>
      <c r="K8" s="329" t="s">
        <v>239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30" x14ac:dyDescent="0.25">
      <c r="A9" s="14"/>
      <c r="B9" s="31"/>
      <c r="C9" s="232"/>
      <c r="D9" s="327"/>
      <c r="E9" s="156" t="s">
        <v>240</v>
      </c>
      <c r="F9" s="156" t="s">
        <v>241</v>
      </c>
      <c r="G9" s="156" t="s">
        <v>242</v>
      </c>
      <c r="H9" s="156" t="s">
        <v>220</v>
      </c>
      <c r="I9" s="156" t="s">
        <v>243</v>
      </c>
      <c r="J9" s="157" t="s">
        <v>222</v>
      </c>
      <c r="K9" s="330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9.5" customHeight="1" x14ac:dyDescent="0.25">
      <c r="A10" s="14"/>
      <c r="B10" s="31"/>
      <c r="C10" s="331" t="s">
        <v>244</v>
      </c>
      <c r="D10" s="287"/>
      <c r="E10" s="332">
        <v>20</v>
      </c>
      <c r="F10" s="287"/>
      <c r="G10" s="158">
        <v>10</v>
      </c>
      <c r="H10" s="158">
        <v>25</v>
      </c>
      <c r="I10" s="158">
        <v>25</v>
      </c>
      <c r="J10" s="158">
        <v>70</v>
      </c>
      <c r="K10" s="137">
        <f t="shared" ref="K10:K11" si="0">SUM(E10:J10)</f>
        <v>150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customHeight="1" x14ac:dyDescent="0.25">
      <c r="A11" s="14"/>
      <c r="B11" s="31"/>
      <c r="C11" s="333" t="s">
        <v>245</v>
      </c>
      <c r="D11" s="277"/>
      <c r="E11" s="334">
        <f>(E10/$K10)*100</f>
        <v>13.333333333333334</v>
      </c>
      <c r="F11" s="277"/>
      <c r="G11" s="159">
        <f t="shared" ref="G11:J11" si="1">(G10/$K10)*100</f>
        <v>6.666666666666667</v>
      </c>
      <c r="H11" s="159">
        <f t="shared" si="1"/>
        <v>16.666666666666664</v>
      </c>
      <c r="I11" s="159">
        <f t="shared" si="1"/>
        <v>16.666666666666664</v>
      </c>
      <c r="J11" s="159">
        <f t="shared" si="1"/>
        <v>46.666666666666664</v>
      </c>
      <c r="K11" s="160">
        <f t="shared" si="0"/>
        <v>100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14"/>
      <c r="B12" s="31"/>
      <c r="C12" s="32"/>
      <c r="D12" s="10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4"/>
      <c r="B13" s="31"/>
      <c r="C13" s="32"/>
      <c r="D13" s="10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1" x14ac:dyDescent="0.25">
      <c r="A15" s="14"/>
      <c r="B15" s="14"/>
      <c r="C15" s="335" t="s">
        <v>213</v>
      </c>
      <c r="D15" s="222"/>
      <c r="E15" s="222"/>
      <c r="F15" s="222"/>
      <c r="G15" s="222"/>
      <c r="H15" s="222"/>
      <c r="I15" s="222"/>
      <c r="J15" s="220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1" x14ac:dyDescent="0.25">
      <c r="A16" s="14"/>
      <c r="B16" s="14"/>
      <c r="C16" s="336" t="s">
        <v>214</v>
      </c>
      <c r="D16" s="222"/>
      <c r="E16" s="222"/>
      <c r="F16" s="222"/>
      <c r="G16" s="222"/>
      <c r="H16" s="220"/>
      <c r="I16" s="337"/>
      <c r="J16" s="22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14"/>
      <c r="B17" s="14"/>
      <c r="C17" s="338" t="s">
        <v>246</v>
      </c>
      <c r="D17" s="161"/>
      <c r="E17" s="162" t="s">
        <v>217</v>
      </c>
      <c r="F17" s="163"/>
      <c r="G17" s="164"/>
      <c r="H17" s="165" t="s">
        <v>218</v>
      </c>
      <c r="I17" s="232"/>
      <c r="J17" s="23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45.75" customHeight="1" x14ac:dyDescent="0.25">
      <c r="A18" s="14"/>
      <c r="B18" s="14"/>
      <c r="C18" s="215"/>
      <c r="D18" s="166" t="s">
        <v>219</v>
      </c>
      <c r="E18" s="167" t="s">
        <v>220</v>
      </c>
      <c r="F18" s="167" t="s">
        <v>221</v>
      </c>
      <c r="G18" s="168" t="s">
        <v>162</v>
      </c>
      <c r="H18" s="169" t="s">
        <v>222</v>
      </c>
      <c r="I18" s="339"/>
      <c r="J18" s="220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14"/>
      <c r="B19" s="14"/>
      <c r="C19" s="170" t="s">
        <v>9</v>
      </c>
      <c r="D19" s="171">
        <f>'CO_Attainment for Unit Tests'!D109</f>
        <v>3</v>
      </c>
      <c r="E19" s="155">
        <f>'CO_attain_SLA_FA-PR_SA-PR'!C111</f>
        <v>3</v>
      </c>
      <c r="F19" s="155">
        <f>'CO_attain_SLA_FA-PR_SA-PR'!C110</f>
        <v>3</v>
      </c>
      <c r="G19" s="155">
        <f>'CO_attain_SLA_FA-PR_SA-PR'!C112</f>
        <v>3</v>
      </c>
      <c r="H19" s="172">
        <f>'CO_attainment for FA-TH ESE'!C110</f>
        <v>3</v>
      </c>
      <c r="I19" s="340"/>
      <c r="J19" s="281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5">
      <c r="A20" s="14"/>
      <c r="B20" s="14"/>
      <c r="C20" s="173" t="s">
        <v>11</v>
      </c>
      <c r="D20" s="174">
        <f>'CO_Attainment for Unit Tests'!E109</f>
        <v>2</v>
      </c>
      <c r="E20" s="175">
        <f t="shared" ref="E20:E24" si="2">$E19</f>
        <v>3</v>
      </c>
      <c r="F20" s="175">
        <f t="shared" ref="F20:F24" si="3">$F19</f>
        <v>3</v>
      </c>
      <c r="G20" s="175">
        <f t="shared" ref="G20:G24" si="4">$G19</f>
        <v>3</v>
      </c>
      <c r="H20" s="176">
        <f t="shared" ref="H20:H24" si="5">$H19</f>
        <v>3</v>
      </c>
      <c r="I20" s="341"/>
      <c r="J20" s="246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5">
      <c r="A21" s="14"/>
      <c r="B21" s="14"/>
      <c r="C21" s="173" t="s">
        <v>13</v>
      </c>
      <c r="D21" s="174">
        <f>'CO_Attainment for Unit Tests'!F109</f>
        <v>3</v>
      </c>
      <c r="E21" s="175">
        <f t="shared" si="2"/>
        <v>3</v>
      </c>
      <c r="F21" s="175">
        <f t="shared" si="3"/>
        <v>3</v>
      </c>
      <c r="G21" s="175">
        <f t="shared" si="4"/>
        <v>3</v>
      </c>
      <c r="H21" s="176">
        <f t="shared" si="5"/>
        <v>3</v>
      </c>
      <c r="I21" s="341"/>
      <c r="J21" s="246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5">
      <c r="A22" s="14"/>
      <c r="B22" s="14"/>
      <c r="C22" s="173" t="s">
        <v>15</v>
      </c>
      <c r="D22" s="174">
        <f>'CO_Attainment for Unit Tests'!G109</f>
        <v>3</v>
      </c>
      <c r="E22" s="175">
        <f t="shared" si="2"/>
        <v>3</v>
      </c>
      <c r="F22" s="175">
        <f t="shared" si="3"/>
        <v>3</v>
      </c>
      <c r="G22" s="175">
        <f t="shared" si="4"/>
        <v>3</v>
      </c>
      <c r="H22" s="176">
        <f t="shared" si="5"/>
        <v>3</v>
      </c>
      <c r="I22" s="341"/>
      <c r="J22" s="246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5">
      <c r="A23" s="14"/>
      <c r="B23" s="14"/>
      <c r="C23" s="173" t="s">
        <v>17</v>
      </c>
      <c r="D23" s="174">
        <f>'CO_Attainment for Unit Tests'!H109</f>
        <v>2</v>
      </c>
      <c r="E23" s="175">
        <f t="shared" si="2"/>
        <v>3</v>
      </c>
      <c r="F23" s="175">
        <f t="shared" si="3"/>
        <v>3</v>
      </c>
      <c r="G23" s="175">
        <f t="shared" si="4"/>
        <v>3</v>
      </c>
      <c r="H23" s="176">
        <f t="shared" si="5"/>
        <v>3</v>
      </c>
      <c r="I23" s="341"/>
      <c r="J23" s="246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5">
      <c r="A24" s="14"/>
      <c r="B24" s="14"/>
      <c r="C24" s="177" t="s">
        <v>207</v>
      </c>
      <c r="D24" s="178">
        <f>'CO_Attainment for Unit Tests'!I109</f>
        <v>0</v>
      </c>
      <c r="E24" s="157">
        <f t="shared" si="2"/>
        <v>3</v>
      </c>
      <c r="F24" s="157">
        <f t="shared" si="3"/>
        <v>3</v>
      </c>
      <c r="G24" s="157">
        <f t="shared" si="4"/>
        <v>3</v>
      </c>
      <c r="H24" s="179">
        <f t="shared" si="5"/>
        <v>3</v>
      </c>
      <c r="I24" s="341"/>
      <c r="J24" s="246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4" customHeight="1" x14ac:dyDescent="0.25">
      <c r="A25" s="14"/>
      <c r="B25" s="14"/>
      <c r="C25" s="170" t="s">
        <v>224</v>
      </c>
      <c r="D25" s="171">
        <f t="shared" ref="D25:H25" si="6">ROUND(AVERAGE(D19:D24),2)</f>
        <v>2.17</v>
      </c>
      <c r="E25" s="155">
        <f t="shared" si="6"/>
        <v>3</v>
      </c>
      <c r="F25" s="155">
        <f t="shared" si="6"/>
        <v>3</v>
      </c>
      <c r="G25" s="155">
        <f t="shared" si="6"/>
        <v>3</v>
      </c>
      <c r="H25" s="172">
        <f t="shared" si="6"/>
        <v>3</v>
      </c>
      <c r="I25" s="340"/>
      <c r="J25" s="281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7" customHeight="1" x14ac:dyDescent="0.25">
      <c r="A26" s="14"/>
      <c r="B26" s="14"/>
      <c r="C26" s="180" t="s">
        <v>225</v>
      </c>
      <c r="D26" s="181">
        <f>E11</f>
        <v>13.333333333333334</v>
      </c>
      <c r="E26" s="181">
        <f>H11</f>
        <v>16.666666666666664</v>
      </c>
      <c r="F26" s="181">
        <f>G11</f>
        <v>6.666666666666667</v>
      </c>
      <c r="G26" s="181">
        <f t="shared" ref="G26:H26" si="7">I11</f>
        <v>16.666666666666664</v>
      </c>
      <c r="H26" s="181">
        <f t="shared" si="7"/>
        <v>46.666666666666664</v>
      </c>
      <c r="I26" s="345"/>
      <c r="J26" s="246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9.25" customHeight="1" x14ac:dyDescent="0.25">
      <c r="A27" s="14"/>
      <c r="B27" s="14"/>
      <c r="C27" s="182" t="s">
        <v>226</v>
      </c>
      <c r="D27" s="183">
        <f t="shared" ref="D27:H27" si="8">D25*D26/100</f>
        <v>0.28933333333333333</v>
      </c>
      <c r="E27" s="183">
        <f t="shared" si="8"/>
        <v>0.49999999999999994</v>
      </c>
      <c r="F27" s="183">
        <f t="shared" si="8"/>
        <v>0.2</v>
      </c>
      <c r="G27" s="183">
        <f t="shared" si="8"/>
        <v>0.49999999999999994</v>
      </c>
      <c r="H27" s="183">
        <f t="shared" si="8"/>
        <v>1.4</v>
      </c>
      <c r="I27" s="346"/>
      <c r="J27" s="248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30" customHeight="1" x14ac:dyDescent="0.25">
      <c r="A28" s="14"/>
      <c r="B28" s="14"/>
      <c r="C28" s="342" t="s">
        <v>227</v>
      </c>
      <c r="D28" s="222"/>
      <c r="E28" s="222"/>
      <c r="F28" s="222"/>
      <c r="G28" s="220"/>
      <c r="H28" s="184">
        <f>SUM(D27:H27)</f>
        <v>2.8893333333333331</v>
      </c>
      <c r="I28" s="185"/>
      <c r="J28" s="186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14"/>
      <c r="B29" s="14"/>
      <c r="C29" s="342" t="s">
        <v>229</v>
      </c>
      <c r="D29" s="222"/>
      <c r="E29" s="222"/>
      <c r="F29" s="222"/>
      <c r="G29" s="220"/>
      <c r="H29" s="187">
        <v>1</v>
      </c>
      <c r="I29" s="188"/>
      <c r="J29" s="18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62.25" customHeight="1" x14ac:dyDescent="0.25">
      <c r="A30" s="14"/>
      <c r="B30" s="14"/>
      <c r="C30" s="342" t="s">
        <v>231</v>
      </c>
      <c r="D30" s="222"/>
      <c r="E30" s="222"/>
      <c r="F30" s="222"/>
      <c r="G30" s="220"/>
      <c r="H30" s="184">
        <f>H29*H28</f>
        <v>2.8893333333333331</v>
      </c>
      <c r="I30" s="185"/>
      <c r="J30" s="188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5.5" customHeight="1" x14ac:dyDescent="0.25">
      <c r="A31" s="14"/>
      <c r="B31" s="14"/>
      <c r="C31" s="343" t="s">
        <v>233</v>
      </c>
      <c r="D31" s="222"/>
      <c r="E31" s="222"/>
      <c r="F31" s="222"/>
      <c r="G31" s="222"/>
      <c r="H31" s="220"/>
      <c r="I31" s="189">
        <f>H30+J30</f>
        <v>2.8893333333333331</v>
      </c>
      <c r="J31" s="19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5">
      <c r="A34" s="14"/>
      <c r="B34" s="14"/>
      <c r="C34" s="14"/>
      <c r="D34" s="14"/>
      <c r="E34" s="14"/>
      <c r="F34" s="14"/>
      <c r="G34" s="14"/>
      <c r="H34" s="216" t="s">
        <v>46</v>
      </c>
      <c r="I34" s="211"/>
      <c r="J34" s="211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5">
      <c r="A35" s="14"/>
      <c r="B35" s="14"/>
      <c r="C35" s="14"/>
      <c r="D35" s="14"/>
      <c r="E35" s="14"/>
      <c r="F35" s="14"/>
      <c r="G35" s="14"/>
      <c r="H35" s="344" t="s">
        <v>47</v>
      </c>
      <c r="I35" s="218"/>
      <c r="J35" s="218"/>
      <c r="K35" s="4"/>
      <c r="L35" s="4"/>
      <c r="M35" s="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60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48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48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48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48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48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48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  <mergeCell ref="I19:J19"/>
    <mergeCell ref="I20:J20"/>
    <mergeCell ref="C28:G28"/>
    <mergeCell ref="C29:G29"/>
    <mergeCell ref="C30:G30"/>
    <mergeCell ref="C11:D11"/>
    <mergeCell ref="E11:F11"/>
    <mergeCell ref="C15:J15"/>
    <mergeCell ref="C16:H16"/>
    <mergeCell ref="I16:J17"/>
    <mergeCell ref="C17:C18"/>
    <mergeCell ref="I18:J18"/>
    <mergeCell ref="C8:D9"/>
    <mergeCell ref="E8:G8"/>
    <mergeCell ref="K8:K9"/>
    <mergeCell ref="C10:D10"/>
    <mergeCell ref="E10:F10"/>
  </mergeCells>
  <pageMargins left="0.7" right="0.7" top="0.75" bottom="0.75" header="0" footer="0"/>
  <pageSetup orientation="landscape"/>
  <colBreaks count="1" manualBreakCount="1">
    <brk id="1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Y1000"/>
  <sheetViews>
    <sheetView topLeftCell="A3" workbookViewId="0">
      <selection activeCell="I13" sqref="I13"/>
    </sheetView>
  </sheetViews>
  <sheetFormatPr defaultColWidth="14.42578125" defaultRowHeight="15" customHeight="1" x14ac:dyDescent="0.25"/>
  <cols>
    <col min="1" max="1" width="11" customWidth="1"/>
    <col min="2" max="2" width="12" customWidth="1"/>
    <col min="3" max="3" width="13.28515625" customWidth="1"/>
    <col min="4" max="4" width="37.85546875" customWidth="1"/>
    <col min="5" max="5" width="17.7109375" customWidth="1"/>
    <col min="6" max="7" width="11.7109375" customWidth="1"/>
    <col min="8" max="8" width="13.5703125" customWidth="1"/>
    <col min="9" max="9" width="16.42578125" customWidth="1"/>
    <col min="10" max="13" width="11.7109375" customWidth="1"/>
    <col min="14" max="25" width="9.140625" customWidth="1"/>
  </cols>
  <sheetData>
    <row r="1" spans="1:25" ht="28.5" x14ac:dyDescent="0.45">
      <c r="A1" s="4"/>
      <c r="B1" s="4"/>
      <c r="C1" s="4"/>
      <c r="D1" s="4"/>
      <c r="E1" s="121" t="s">
        <v>247</v>
      </c>
      <c r="F1" s="121"/>
      <c r="G1" s="121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4"/>
      <c r="B2" s="4"/>
      <c r="C2" s="32" t="s">
        <v>1</v>
      </c>
      <c r="D2" s="249" t="str">
        <f>'Overall CO attainment'!D3</f>
        <v>DATABASE MANAGEMENT SYSTEM</v>
      </c>
      <c r="E2" s="250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4"/>
      <c r="B3" s="4"/>
      <c r="C3" s="32" t="s">
        <v>3</v>
      </c>
      <c r="D3" s="249">
        <f>'Overall CO attainment'!D4</f>
        <v>22319</v>
      </c>
      <c r="E3" s="25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s="4"/>
      <c r="B4" s="4"/>
      <c r="C4" s="32" t="s">
        <v>4</v>
      </c>
      <c r="D4" s="249" t="str">
        <f>'Overall CO attainment'!D5</f>
        <v>3rd SEM(CO3I SCHEME)</v>
      </c>
      <c r="E4" s="25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4"/>
      <c r="B5" s="4"/>
      <c r="C5" s="32" t="s">
        <v>159</v>
      </c>
      <c r="D5" s="249" t="str">
        <f>'Overall CO attainment'!D6</f>
        <v>2023-24</v>
      </c>
      <c r="E5" s="25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 s="4"/>
      <c r="B6" s="4"/>
      <c r="C6" s="4"/>
      <c r="D6" s="7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8.75" x14ac:dyDescent="0.25">
      <c r="A7" s="4"/>
      <c r="B7" s="13"/>
      <c r="C7" s="14"/>
      <c r="D7" s="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x14ac:dyDescent="0.25">
      <c r="A8" s="4"/>
      <c r="B8" s="15" t="s">
        <v>248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4"/>
      <c r="B9" s="213" t="s">
        <v>21</v>
      </c>
      <c r="C9" s="228" t="s">
        <v>22</v>
      </c>
      <c r="D9" s="229"/>
      <c r="E9" s="219" t="s">
        <v>23</v>
      </c>
      <c r="F9" s="222"/>
      <c r="G9" s="222"/>
      <c r="H9" s="222"/>
      <c r="I9" s="222"/>
      <c r="J9" s="222"/>
      <c r="K9" s="220"/>
      <c r="L9" s="219" t="s">
        <v>24</v>
      </c>
      <c r="M9" s="22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25">
      <c r="A10" s="4"/>
      <c r="B10" s="214"/>
      <c r="C10" s="230"/>
      <c r="D10" s="231"/>
      <c r="E10" s="16" t="s">
        <v>25</v>
      </c>
      <c r="F10" s="16" t="s">
        <v>26</v>
      </c>
      <c r="G10" s="16" t="s">
        <v>27</v>
      </c>
      <c r="H10" s="16" t="s">
        <v>28</v>
      </c>
      <c r="I10" s="16" t="s">
        <v>29</v>
      </c>
      <c r="J10" s="16" t="s">
        <v>30</v>
      </c>
      <c r="K10" s="16" t="s">
        <v>31</v>
      </c>
      <c r="L10" s="16" t="s">
        <v>32</v>
      </c>
      <c r="M10" s="16" t="s">
        <v>33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19.25" customHeight="1" x14ac:dyDescent="0.25">
      <c r="A11" s="4"/>
      <c r="B11" s="215"/>
      <c r="C11" s="232"/>
      <c r="D11" s="233"/>
      <c r="E11" s="17" t="s">
        <v>34</v>
      </c>
      <c r="F11" s="17" t="s">
        <v>35</v>
      </c>
      <c r="G11" s="17" t="s">
        <v>36</v>
      </c>
      <c r="H11" s="17" t="s">
        <v>37</v>
      </c>
      <c r="I11" s="17" t="s">
        <v>38</v>
      </c>
      <c r="J11" s="17" t="s">
        <v>39</v>
      </c>
      <c r="K11" s="17" t="s">
        <v>40</v>
      </c>
      <c r="L11" s="17" t="s">
        <v>41</v>
      </c>
      <c r="M11" s="17" t="s">
        <v>42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40.5" customHeight="1" x14ac:dyDescent="0.25">
      <c r="A12" s="4"/>
      <c r="B12" s="18">
        <f>'PO Set Target attain level'!B20</f>
        <v>1</v>
      </c>
      <c r="C12" s="19" t="str">
        <f>'PO Set Target attain level'!C20</f>
        <v>CO1</v>
      </c>
      <c r="D12" s="20" t="str">
        <f>'PO Set Target attain level'!D20</f>
        <v xml:space="preserve"> Design Normalized database on given data..</v>
      </c>
      <c r="E12" s="191">
        <f>'PO Set Target attain level'!E20</f>
        <v>3</v>
      </c>
      <c r="F12" s="191">
        <f>'PO Set Target attain level'!F20</f>
        <v>2</v>
      </c>
      <c r="G12" s="191">
        <f>'PO Set Target attain level'!G20</f>
        <v>3</v>
      </c>
      <c r="H12" s="191">
        <f>'PO Set Target attain level'!H20</f>
        <v>1</v>
      </c>
      <c r="I12" s="191">
        <f>'PO Set Target attain level'!I20</f>
        <v>1</v>
      </c>
      <c r="J12" s="191" t="str">
        <f>'PO Set Target attain level'!J20</f>
        <v>-</v>
      </c>
      <c r="K12" s="191">
        <f>'PO Set Target attain level'!K20</f>
        <v>1</v>
      </c>
      <c r="L12" s="191">
        <f>'PO Set Target attain level'!L20</f>
        <v>3</v>
      </c>
      <c r="M12" s="191">
        <f>'PO Set Target attain level'!M20</f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40.5" customHeight="1" x14ac:dyDescent="0.25">
      <c r="A13" s="4"/>
      <c r="B13" s="18">
        <f>'PO Set Target attain level'!B21</f>
        <v>2</v>
      </c>
      <c r="C13" s="19" t="str">
        <f>'PO Set Target attain level'!C21</f>
        <v>CO2</v>
      </c>
      <c r="D13" s="23" t="str">
        <f>'PO Set Target attain level'!D21</f>
        <v>Create and Manage Database using SQL command</v>
      </c>
      <c r="E13" s="191">
        <f>'PO Set Target attain level'!E21</f>
        <v>3</v>
      </c>
      <c r="F13" s="191">
        <f>'PO Set Target attain level'!F21</f>
        <v>2</v>
      </c>
      <c r="G13" s="191">
        <f>'PO Set Target attain level'!G21</f>
        <v>2</v>
      </c>
      <c r="H13" s="191">
        <f>'PO Set Target attain level'!H21</f>
        <v>2</v>
      </c>
      <c r="I13" s="191">
        <f>'PO Set Target attain level'!I21</f>
        <v>3</v>
      </c>
      <c r="J13" s="191" t="str">
        <f>'PO Set Target attain level'!J21</f>
        <v>-</v>
      </c>
      <c r="K13" s="191">
        <f>'PO Set Target attain level'!K21</f>
        <v>1</v>
      </c>
      <c r="L13" s="191">
        <f>'PO Set Target attain level'!L21</f>
        <v>3</v>
      </c>
      <c r="M13" s="191">
        <f>'PO Set Target attain level'!M21</f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40.5" customHeight="1" x14ac:dyDescent="0.25">
      <c r="A14" s="4"/>
      <c r="B14" s="18">
        <f>'PO Set Target attain level'!B22</f>
        <v>3</v>
      </c>
      <c r="C14" s="19" t="str">
        <f>'PO Set Target attain level'!C22</f>
        <v>CO3</v>
      </c>
      <c r="D14" s="23" t="str">
        <f>'PO Set Target attain level'!D22</f>
        <v xml:space="preserve"> Write PL/SQL code for given database</v>
      </c>
      <c r="E14" s="191">
        <f>'PO Set Target attain level'!E22</f>
        <v>3</v>
      </c>
      <c r="F14" s="191">
        <f>'PO Set Target attain level'!F22</f>
        <v>2</v>
      </c>
      <c r="G14" s="191">
        <f>'PO Set Target attain level'!G22</f>
        <v>2</v>
      </c>
      <c r="H14" s="191">
        <f>'PO Set Target attain level'!H22</f>
        <v>1</v>
      </c>
      <c r="I14" s="191">
        <f>'PO Set Target attain level'!I22</f>
        <v>3</v>
      </c>
      <c r="J14" s="191" t="str">
        <f>'PO Set Target attain level'!J22</f>
        <v>-</v>
      </c>
      <c r="K14" s="191">
        <f>'PO Set Target attain level'!K22</f>
        <v>1</v>
      </c>
      <c r="L14" s="191">
        <f>'PO Set Target attain level'!L22</f>
        <v>3</v>
      </c>
      <c r="M14" s="191">
        <f>'PO Set Target attain level'!M22</f>
        <v>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40.5" customHeight="1" x14ac:dyDescent="0.25">
      <c r="A15" s="4"/>
      <c r="B15" s="18">
        <f>'PO Set Target attain level'!B23</f>
        <v>4</v>
      </c>
      <c r="C15" s="19" t="str">
        <f>'PO Set Target attain level'!C23</f>
        <v>CO4</v>
      </c>
      <c r="D15" s="23" t="str">
        <f>'PO Set Target attain level'!D23</f>
        <v xml:space="preserve">  Apply triggers ob database also create procedure and function according to condition.</v>
      </c>
      <c r="E15" s="191">
        <f>'PO Set Target attain level'!E23</f>
        <v>2</v>
      </c>
      <c r="F15" s="191">
        <f>'PO Set Target attain level'!F23</f>
        <v>3</v>
      </c>
      <c r="G15" s="191">
        <f>'PO Set Target attain level'!G23</f>
        <v>3</v>
      </c>
      <c r="H15" s="191">
        <f>'PO Set Target attain level'!H23</f>
        <v>2</v>
      </c>
      <c r="I15" s="191">
        <f>'PO Set Target attain level'!I23</f>
        <v>2</v>
      </c>
      <c r="J15" s="191" t="str">
        <f>'PO Set Target attain level'!J23</f>
        <v>-</v>
      </c>
      <c r="K15" s="191">
        <f>'PO Set Target attain level'!K23</f>
        <v>1</v>
      </c>
      <c r="L15" s="191">
        <f>'PO Set Target attain level'!L23</f>
        <v>2</v>
      </c>
      <c r="M15" s="191">
        <f>'PO Set Target attain level'!M23</f>
        <v>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0.5" customHeight="1" x14ac:dyDescent="0.25">
      <c r="A16" s="4"/>
      <c r="B16" s="18">
        <f>'PO Set Target attain level'!B24</f>
        <v>5</v>
      </c>
      <c r="C16" s="19" t="str">
        <f>'PO Set Target attain level'!C24</f>
        <v>CO5</v>
      </c>
      <c r="D16" s="23" t="str">
        <f>'PO Set Target attain level'!D24</f>
        <v>Apply security and confidentiality on given Database..</v>
      </c>
      <c r="E16" s="191"/>
      <c r="F16" s="191">
        <f>'PO Set Target attain level'!F24</f>
        <v>1</v>
      </c>
      <c r="G16" s="191">
        <f>'PO Set Target attain level'!G24</f>
        <v>1</v>
      </c>
      <c r="H16" s="191">
        <f>'PO Set Target attain level'!H24</f>
        <v>1</v>
      </c>
      <c r="I16" s="191">
        <f>'PO Set Target attain level'!I24</f>
        <v>2</v>
      </c>
      <c r="J16" s="191">
        <f>'PO Set Target attain level'!J24</f>
        <v>1</v>
      </c>
      <c r="K16" s="191">
        <f>'PO Set Target attain level'!K24</f>
        <v>2</v>
      </c>
      <c r="L16" s="191">
        <f>'PO Set Target attain level'!L24</f>
        <v>2</v>
      </c>
      <c r="M16" s="191">
        <f>'PO Set Target attain level'!M24</f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3.75" customHeight="1" x14ac:dyDescent="0.25">
      <c r="A17" s="4"/>
      <c r="B17" s="221" t="s">
        <v>249</v>
      </c>
      <c r="C17" s="222"/>
      <c r="D17" s="220"/>
      <c r="E17" s="19">
        <f t="shared" ref="E17:M17" si="0">IFERROR(AVERAGE(E12:E16),0)</f>
        <v>2.75</v>
      </c>
      <c r="F17" s="19">
        <f t="shared" si="0"/>
        <v>2</v>
      </c>
      <c r="G17" s="19">
        <f t="shared" si="0"/>
        <v>2.2000000000000002</v>
      </c>
      <c r="H17" s="19">
        <f t="shared" si="0"/>
        <v>1.4</v>
      </c>
      <c r="I17" s="19">
        <f t="shared" si="0"/>
        <v>2.2000000000000002</v>
      </c>
      <c r="J17" s="19">
        <f t="shared" si="0"/>
        <v>1</v>
      </c>
      <c r="K17" s="19">
        <f t="shared" si="0"/>
        <v>1.2</v>
      </c>
      <c r="L17" s="19">
        <f t="shared" si="0"/>
        <v>2.6</v>
      </c>
      <c r="M17" s="19">
        <f t="shared" si="0"/>
        <v>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8.5" customHeight="1" x14ac:dyDescent="0.25">
      <c r="A18" s="4"/>
      <c r="B18" s="223" t="s">
        <v>250</v>
      </c>
      <c r="C18" s="222"/>
      <c r="D18" s="220"/>
      <c r="E18" s="192">
        <f>E17*'Overall CO attainment'!I31/3</f>
        <v>2.6485555555555553</v>
      </c>
      <c r="F18" s="192">
        <f>F17*'Overall CO attainment'!I31/3</f>
        <v>1.9262222222222221</v>
      </c>
      <c r="G18" s="192">
        <f>G17*'Overall CO attainment'!I31/3</f>
        <v>2.1188444444444445</v>
      </c>
      <c r="H18" s="192">
        <f>H17*'Overall CO attainment'!I31/3</f>
        <v>1.3483555555555553</v>
      </c>
      <c r="I18" s="192">
        <f>I17*'Overall CO attainment'!I31/3</f>
        <v>2.1188444444444445</v>
      </c>
      <c r="J18" s="192">
        <f>J17*'Overall CO attainment'!I31/3</f>
        <v>0.96311111111111103</v>
      </c>
      <c r="K18" s="192">
        <f>K17*'Overall CO attainment'!I31/3</f>
        <v>1.1557333333333333</v>
      </c>
      <c r="L18" s="192">
        <f>L17*'Overall CO attainment'!I31/3</f>
        <v>2.5040888888888886</v>
      </c>
      <c r="M18" s="192">
        <f>M17*'Overall CO attainment'!I31/3</f>
        <v>1.9262222222222221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hidden="1" customHeight="1" x14ac:dyDescent="0.25">
      <c r="A19" s="4"/>
      <c r="B19" s="311" t="s">
        <v>211</v>
      </c>
      <c r="C19" s="222"/>
      <c r="D19" s="220"/>
      <c r="E19" s="127">
        <f t="shared" ref="E19:M19" si="1">ROUNDUP((E18/3)*100,2)</f>
        <v>88.29</v>
      </c>
      <c r="F19" s="127">
        <f t="shared" si="1"/>
        <v>64.210000000000008</v>
      </c>
      <c r="G19" s="127">
        <f t="shared" si="1"/>
        <v>70.63000000000001</v>
      </c>
      <c r="H19" s="127">
        <f t="shared" si="1"/>
        <v>44.949999999999996</v>
      </c>
      <c r="I19" s="127">
        <f t="shared" si="1"/>
        <v>70.63000000000001</v>
      </c>
      <c r="J19" s="127">
        <f t="shared" si="1"/>
        <v>32.11</v>
      </c>
      <c r="K19" s="127">
        <f t="shared" si="1"/>
        <v>38.53</v>
      </c>
      <c r="L19" s="127">
        <f t="shared" si="1"/>
        <v>83.47</v>
      </c>
      <c r="M19" s="127">
        <f t="shared" si="1"/>
        <v>64.210000000000008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4"/>
      <c r="B21" s="4"/>
      <c r="C21" s="4"/>
      <c r="D21" s="4"/>
      <c r="E21" s="193"/>
      <c r="F21" s="193"/>
      <c r="G21" s="193"/>
      <c r="H21" s="193"/>
      <c r="I21" s="193"/>
      <c r="J21" s="193"/>
      <c r="K21" s="193"/>
      <c r="L21" s="193"/>
      <c r="M21" s="19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216" t="s">
        <v>46</v>
      </c>
      <c r="K22" s="211"/>
      <c r="L22" s="211"/>
      <c r="M22" s="2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217" t="s">
        <v>47</v>
      </c>
      <c r="K23" s="218"/>
      <c r="L23" s="218"/>
      <c r="M23" s="218"/>
      <c r="N23" s="30"/>
      <c r="O23" s="30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4"/>
      <c r="B30" s="4"/>
      <c r="C30" s="4"/>
      <c r="D30" s="4"/>
      <c r="E30" s="4"/>
      <c r="F30" s="4"/>
      <c r="G30" s="4"/>
      <c r="H30" s="1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5">
      <c r="A31" s="4"/>
      <c r="B31" s="4"/>
      <c r="C31" s="4"/>
      <c r="D31" s="4"/>
      <c r="E31" s="4"/>
      <c r="F31" s="4"/>
      <c r="G31" s="4"/>
      <c r="H31" s="1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J23:M23"/>
    <mergeCell ref="D2:E2"/>
    <mergeCell ref="D3:E3"/>
    <mergeCell ref="D4:E4"/>
    <mergeCell ref="D5:E5"/>
    <mergeCell ref="E9:K9"/>
    <mergeCell ref="L9:M9"/>
    <mergeCell ref="C9:D11"/>
    <mergeCell ref="B17:D17"/>
    <mergeCell ref="B18:D18"/>
    <mergeCell ref="B19:D19"/>
    <mergeCell ref="J22:M22"/>
    <mergeCell ref="B9:B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77E4-D712-41EF-A790-05E3E8C4734B}">
  <dimension ref="B2:AF26"/>
  <sheetViews>
    <sheetView workbookViewId="0">
      <selection activeCell="Q23" sqref="Q23"/>
    </sheetView>
  </sheetViews>
  <sheetFormatPr defaultRowHeight="15" x14ac:dyDescent="0.25"/>
  <cols>
    <col min="19" max="19" width="6" customWidth="1"/>
    <col min="20" max="20" width="12.85546875" bestFit="1" customWidth="1"/>
    <col min="24" max="31" width="5.140625" customWidth="1"/>
  </cols>
  <sheetData>
    <row r="2" spans="2:32" x14ac:dyDescent="0.25">
      <c r="B2" s="201" t="s">
        <v>22</v>
      </c>
      <c r="C2" s="201" t="s">
        <v>25</v>
      </c>
      <c r="D2" s="201" t="s">
        <v>26</v>
      </c>
      <c r="E2" s="201" t="s">
        <v>27</v>
      </c>
      <c r="F2" s="201" t="s">
        <v>28</v>
      </c>
      <c r="G2" s="201" t="s">
        <v>29</v>
      </c>
      <c r="H2" s="201" t="s">
        <v>30</v>
      </c>
      <c r="I2" s="201" t="s">
        <v>31</v>
      </c>
      <c r="J2" s="201" t="s">
        <v>32</v>
      </c>
      <c r="K2" s="201" t="s">
        <v>33</v>
      </c>
    </row>
    <row r="3" spans="2:32" x14ac:dyDescent="0.25">
      <c r="B3" s="201" t="s">
        <v>9</v>
      </c>
      <c r="C3" s="202">
        <v>3</v>
      </c>
      <c r="D3" s="202">
        <v>2</v>
      </c>
      <c r="E3" s="202">
        <v>3</v>
      </c>
      <c r="F3" s="202">
        <v>1</v>
      </c>
      <c r="G3" s="202">
        <v>1</v>
      </c>
      <c r="H3" s="202" t="s">
        <v>252</v>
      </c>
      <c r="I3" s="202">
        <v>1</v>
      </c>
      <c r="J3" s="202">
        <v>3</v>
      </c>
      <c r="K3" s="202">
        <v>2</v>
      </c>
    </row>
    <row r="4" spans="2:32" x14ac:dyDescent="0.25">
      <c r="B4" s="201" t="s">
        <v>11</v>
      </c>
      <c r="C4" s="202">
        <v>3</v>
      </c>
      <c r="D4" s="202">
        <v>2</v>
      </c>
      <c r="E4" s="202">
        <v>2</v>
      </c>
      <c r="F4" s="202">
        <v>2</v>
      </c>
      <c r="G4" s="202">
        <v>3</v>
      </c>
      <c r="H4" s="202" t="s">
        <v>252</v>
      </c>
      <c r="I4" s="202">
        <v>1</v>
      </c>
      <c r="J4" s="202">
        <v>3</v>
      </c>
      <c r="K4" s="202">
        <v>2</v>
      </c>
    </row>
    <row r="5" spans="2:32" x14ac:dyDescent="0.25">
      <c r="B5" s="201" t="s">
        <v>13</v>
      </c>
      <c r="C5" s="202">
        <v>3</v>
      </c>
      <c r="D5" s="202">
        <v>2</v>
      </c>
      <c r="E5" s="202">
        <v>2</v>
      </c>
      <c r="F5" s="202">
        <v>1</v>
      </c>
      <c r="G5" s="202">
        <v>3</v>
      </c>
      <c r="H5" s="202" t="s">
        <v>252</v>
      </c>
      <c r="I5" s="202">
        <v>1</v>
      </c>
      <c r="J5" s="202">
        <v>3</v>
      </c>
      <c r="K5" s="202">
        <v>2</v>
      </c>
    </row>
    <row r="6" spans="2:32" x14ac:dyDescent="0.25">
      <c r="B6" s="201" t="s">
        <v>15</v>
      </c>
      <c r="C6" s="202">
        <v>2</v>
      </c>
      <c r="D6" s="202">
        <v>3</v>
      </c>
      <c r="E6" s="202">
        <v>3</v>
      </c>
      <c r="F6" s="202">
        <v>2</v>
      </c>
      <c r="G6" s="202">
        <v>2</v>
      </c>
      <c r="H6" s="202" t="s">
        <v>252</v>
      </c>
      <c r="I6" s="202">
        <v>1</v>
      </c>
      <c r="J6" s="202">
        <v>2</v>
      </c>
      <c r="K6" s="202">
        <v>3</v>
      </c>
    </row>
    <row r="7" spans="2:32" x14ac:dyDescent="0.25">
      <c r="B7" s="201" t="s">
        <v>17</v>
      </c>
      <c r="C7" s="202">
        <v>2</v>
      </c>
      <c r="D7" s="202">
        <v>1</v>
      </c>
      <c r="E7" s="202">
        <v>1</v>
      </c>
      <c r="F7" s="202">
        <v>1</v>
      </c>
      <c r="G7" s="202">
        <v>2</v>
      </c>
      <c r="H7" s="202">
        <v>1</v>
      </c>
      <c r="I7" s="202">
        <v>2</v>
      </c>
      <c r="J7" s="202">
        <v>2</v>
      </c>
      <c r="K7" s="202">
        <v>1</v>
      </c>
      <c r="X7" s="347" t="s">
        <v>55</v>
      </c>
      <c r="Y7" s="307"/>
      <c r="Z7" s="307"/>
      <c r="AA7" s="307"/>
      <c r="AB7" s="307"/>
      <c r="AC7" s="307"/>
      <c r="AD7" s="307"/>
      <c r="AE7" s="307"/>
      <c r="AF7" s="250"/>
    </row>
    <row r="8" spans="2:32" x14ac:dyDescent="0.25">
      <c r="X8" s="35">
        <v>1</v>
      </c>
      <c r="Y8" s="35" t="s">
        <v>66</v>
      </c>
      <c r="Z8" s="35">
        <v>2</v>
      </c>
      <c r="AA8" s="35">
        <v>2</v>
      </c>
      <c r="AB8" s="35">
        <v>2</v>
      </c>
      <c r="AC8" s="35">
        <v>2</v>
      </c>
      <c r="AD8" s="35">
        <v>4</v>
      </c>
      <c r="AE8" s="35">
        <v>4</v>
      </c>
      <c r="AF8" s="36">
        <f>SUM(Z8:AE8)</f>
        <v>16</v>
      </c>
    </row>
    <row r="9" spans="2:32" ht="18.75" x14ac:dyDescent="0.25">
      <c r="T9" s="196">
        <v>22319</v>
      </c>
      <c r="U9" s="196">
        <v>100</v>
      </c>
      <c r="V9" s="196">
        <v>70</v>
      </c>
      <c r="X9" s="35">
        <v>2</v>
      </c>
      <c r="Y9" s="35" t="s">
        <v>68</v>
      </c>
      <c r="Z9" s="35">
        <v>2</v>
      </c>
      <c r="AA9" s="35">
        <v>2</v>
      </c>
      <c r="AB9" s="35">
        <v>4</v>
      </c>
      <c r="AC9" s="35">
        <v>4</v>
      </c>
      <c r="AD9" s="35">
        <v>4</v>
      </c>
      <c r="AE9" s="35"/>
      <c r="AF9" s="36">
        <f>SUM(Z9:AE9)</f>
        <v>16</v>
      </c>
    </row>
    <row r="10" spans="2:32" ht="18.75" x14ac:dyDescent="0.25">
      <c r="B10" s="203" t="s">
        <v>253</v>
      </c>
      <c r="T10" s="196" t="s">
        <v>251</v>
      </c>
      <c r="U10" s="196">
        <v>54.24</v>
      </c>
      <c r="V10" s="207">
        <f>ROUNDUP((U10*70)/100,2)</f>
        <v>37.97</v>
      </c>
      <c r="X10" s="35">
        <v>3</v>
      </c>
      <c r="Y10" s="35" t="s">
        <v>69</v>
      </c>
      <c r="Z10" s="35"/>
      <c r="AA10" s="35"/>
      <c r="AB10" s="35"/>
      <c r="AC10" s="35"/>
      <c r="AD10" s="35"/>
      <c r="AE10" s="35"/>
      <c r="AF10" s="36">
        <f>SUM(Z10:AE10)</f>
        <v>0</v>
      </c>
    </row>
    <row r="11" spans="2:32" x14ac:dyDescent="0.25">
      <c r="B11" s="204"/>
      <c r="X11" s="35">
        <v>4</v>
      </c>
      <c r="Y11" s="35" t="s">
        <v>70</v>
      </c>
      <c r="Z11" s="35"/>
      <c r="AA11" s="35"/>
      <c r="AB11" s="35"/>
      <c r="AC11" s="35"/>
      <c r="AD11" s="35"/>
      <c r="AE11" s="35"/>
      <c r="AF11" s="36">
        <f>SUM(Z11:AE11)</f>
        <v>0</v>
      </c>
    </row>
    <row r="12" spans="2:32" x14ac:dyDescent="0.25">
      <c r="B12" s="205" t="s">
        <v>254</v>
      </c>
      <c r="X12" s="35">
        <v>5</v>
      </c>
      <c r="Y12" s="35" t="s">
        <v>71</v>
      </c>
      <c r="Z12" s="35"/>
      <c r="AA12" s="35"/>
      <c r="AB12" s="35"/>
      <c r="AC12" s="35"/>
      <c r="AD12" s="35"/>
      <c r="AE12" s="35"/>
      <c r="AF12" s="36">
        <f>SUM(Z12:AE12)</f>
        <v>0</v>
      </c>
    </row>
    <row r="13" spans="2:32" x14ac:dyDescent="0.25">
      <c r="B13" s="204"/>
      <c r="AF13" s="36">
        <f>SUM(AF8:AF12)</f>
        <v>32</v>
      </c>
    </row>
    <row r="14" spans="2:32" x14ac:dyDescent="0.25">
      <c r="B14" s="205" t="s">
        <v>255</v>
      </c>
    </row>
    <row r="15" spans="2:32" x14ac:dyDescent="0.25">
      <c r="B15" s="204"/>
      <c r="U15">
        <v>37.97</v>
      </c>
    </row>
    <row r="16" spans="2:32" x14ac:dyDescent="0.25">
      <c r="B16" s="205" t="s">
        <v>256</v>
      </c>
    </row>
    <row r="17" spans="2:32" x14ac:dyDescent="0.25">
      <c r="B17" s="204"/>
      <c r="X17" s="347" t="s">
        <v>77</v>
      </c>
      <c r="Y17" s="307"/>
      <c r="Z17" s="307"/>
      <c r="AA17" s="307"/>
      <c r="AB17" s="307"/>
      <c r="AC17" s="307"/>
      <c r="AD17" s="307"/>
      <c r="AE17" s="307"/>
      <c r="AF17" s="250"/>
    </row>
    <row r="18" spans="2:32" x14ac:dyDescent="0.25">
      <c r="B18" s="205" t="s">
        <v>257</v>
      </c>
      <c r="X18" s="35">
        <v>1</v>
      </c>
      <c r="Y18" s="35" t="s">
        <v>66</v>
      </c>
      <c r="Z18" s="35"/>
      <c r="AA18" s="35"/>
      <c r="AB18" s="35"/>
      <c r="AC18" s="35"/>
      <c r="AD18" s="35"/>
      <c r="AE18" s="35"/>
      <c r="AF18" s="36">
        <f>SUM(Z18:AE18)</f>
        <v>0</v>
      </c>
    </row>
    <row r="19" spans="2:32" x14ac:dyDescent="0.25">
      <c r="B19" s="204"/>
      <c r="X19" s="35">
        <v>2</v>
      </c>
      <c r="Y19" s="35" t="s">
        <v>68</v>
      </c>
      <c r="Z19" s="35"/>
      <c r="AA19" s="35"/>
      <c r="AB19" s="35"/>
      <c r="AC19" s="35"/>
      <c r="AD19" s="35"/>
      <c r="AE19" s="35"/>
      <c r="AF19" s="36">
        <f>SUM(Z19:AE19)</f>
        <v>0</v>
      </c>
    </row>
    <row r="20" spans="2:32" x14ac:dyDescent="0.25">
      <c r="B20" s="205" t="s">
        <v>258</v>
      </c>
      <c r="X20" s="35">
        <v>3</v>
      </c>
      <c r="Y20" s="35" t="s">
        <v>69</v>
      </c>
      <c r="Z20" s="35">
        <v>2</v>
      </c>
      <c r="AA20" s="35">
        <v>2</v>
      </c>
      <c r="AB20" s="47">
        <v>4</v>
      </c>
      <c r="AC20" s="47">
        <v>4</v>
      </c>
      <c r="AD20" s="35"/>
      <c r="AE20" s="35"/>
      <c r="AF20" s="36">
        <f>SUM(Z20:AE20)</f>
        <v>12</v>
      </c>
    </row>
    <row r="21" spans="2:32" x14ac:dyDescent="0.25">
      <c r="X21" s="35">
        <v>4</v>
      </c>
      <c r="Y21" s="35" t="s">
        <v>70</v>
      </c>
      <c r="Z21" s="35">
        <v>2</v>
      </c>
      <c r="AA21" s="35">
        <v>2</v>
      </c>
      <c r="AB21" s="35">
        <v>2</v>
      </c>
      <c r="AC21" s="47">
        <v>4</v>
      </c>
      <c r="AD21" s="35"/>
      <c r="AE21" s="35"/>
      <c r="AF21" s="36">
        <f>SUM(Z21:AE21)</f>
        <v>10</v>
      </c>
    </row>
    <row r="22" spans="2:32" ht="15.75" x14ac:dyDescent="0.25">
      <c r="B22" s="203" t="s">
        <v>259</v>
      </c>
      <c r="X22" s="35">
        <v>5</v>
      </c>
      <c r="Y22" s="35" t="s">
        <v>71</v>
      </c>
      <c r="Z22" s="35">
        <v>2</v>
      </c>
      <c r="AA22" s="47">
        <v>4</v>
      </c>
      <c r="AB22" s="47">
        <v>4</v>
      </c>
      <c r="AC22" s="35"/>
      <c r="AD22" s="35"/>
      <c r="AE22" s="35"/>
      <c r="AF22" s="36">
        <f>SUM(Z22:AE22)</f>
        <v>10</v>
      </c>
    </row>
    <row r="23" spans="2:32" x14ac:dyDescent="0.25">
      <c r="B23" s="204"/>
      <c r="AF23" s="36">
        <f>SUM(AF18:AF22)</f>
        <v>32</v>
      </c>
    </row>
    <row r="24" spans="2:32" x14ac:dyDescent="0.25">
      <c r="B24" s="205" t="s">
        <v>260</v>
      </c>
    </row>
    <row r="25" spans="2:32" x14ac:dyDescent="0.25">
      <c r="B25" s="204"/>
    </row>
    <row r="26" spans="2:32" x14ac:dyDescent="0.25">
      <c r="B26" s="205" t="s">
        <v>261</v>
      </c>
    </row>
  </sheetData>
  <mergeCells count="2">
    <mergeCell ref="X17:AF17"/>
    <mergeCell ref="X7:A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 Set Target attain level</vt:lpstr>
      <vt:lpstr>CO_Attainment for Unit Tests</vt:lpstr>
      <vt:lpstr>CO_attainment for FA-TH ESE</vt:lpstr>
      <vt:lpstr>CO_attain_SLA_FA-PR_SA-PR</vt:lpstr>
      <vt:lpstr>CO_attainment for Indirect</vt:lpstr>
      <vt:lpstr>CO_PO Mapping Attainment </vt:lpstr>
      <vt:lpstr>Overall CO attainment (2)</vt:lpstr>
      <vt:lpstr>Overall CO attainment</vt:lpstr>
      <vt:lpstr>CO_PO Mapping Attainment_PO7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MSBTE-Osmanabad-028</cp:lastModifiedBy>
  <dcterms:created xsi:type="dcterms:W3CDTF">2019-05-31T18:42:57Z</dcterms:created>
  <dcterms:modified xsi:type="dcterms:W3CDTF">2026-06-24T09:31:24Z</dcterms:modified>
</cp:coreProperties>
</file>