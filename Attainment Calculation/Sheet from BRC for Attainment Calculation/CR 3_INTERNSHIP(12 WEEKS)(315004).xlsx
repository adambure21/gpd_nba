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 Set Target attain level" sheetId="1" r:id="rId4"/>
    <sheet state="visible" name="CO_Attainment for Unit Tests" sheetId="2" r:id="rId5"/>
    <sheet state="visible" name="CO_attainment for FA-TH ESE" sheetId="3" r:id="rId6"/>
    <sheet state="visible" name="CO_attain_SLA_FA-PR_SA-PR" sheetId="4" r:id="rId7"/>
    <sheet state="hidden" name="CO_attainment for Indirect" sheetId="5" r:id="rId8"/>
    <sheet state="hidden" name="CO_PO Mapping Attainment " sheetId="6" r:id="rId9"/>
    <sheet state="hidden" name="Overall CO attainment (2)" sheetId="7" r:id="rId10"/>
    <sheet state="visible" name="Overall CO attainment" sheetId="8" r:id="rId11"/>
    <sheet state="visible" name="CO_PO Mapping Attainment_PO7" sheetId="9" r:id="rId12"/>
  </sheets>
  <definedNames/>
  <calcPr/>
  <extLst>
    <ext uri="GoogleSheetsCustomDataVersion2">
      <go:sheetsCustomData xmlns:go="http://customooxmlschemas.google.com/" r:id="rId13" roundtripDataChecksum="uRIH5K7JkH1uuwAUXKmhsx5sfFhh70cpYee2LIMZ+T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======
ID#AAAB84rgg_8
hp    (2023-02-03 10:38:19)
Max. marks</t>
      </text>
    </comment>
  </commentList>
  <extLst>
    <ext uri="GoogleSheetsCustomDataVersion2">
      <go:sheetsCustomData xmlns:go="http://customooxmlschemas.google.com/" r:id="rId1" roundtripDataSignature="AMtx7mi+EutxKsAM4w7AnH6moqZiM/NjuA=="/>
    </ext>
  </extLst>
</comments>
</file>

<file path=xl/sharedStrings.xml><?xml version="1.0" encoding="utf-8"?>
<sst xmlns="http://schemas.openxmlformats.org/spreadsheetml/2006/main" count="397" uniqueCount="249">
  <si>
    <t xml:space="preserve">                        PO-CO Mapping (Targetted Level) - Course Articulation Matrix</t>
  </si>
  <si>
    <t>Course Name :</t>
  </si>
  <si>
    <t>INTERNSHIP(12 WEEKS)</t>
  </si>
  <si>
    <t>Course Code :</t>
  </si>
  <si>
    <t xml:space="preserve">Program/Scheme-MSBTE Inst.code : </t>
  </si>
  <si>
    <t>5th Sem Co5K K-Scheme</t>
  </si>
  <si>
    <t>Academic Year :</t>
  </si>
  <si>
    <t>2025-26</t>
  </si>
  <si>
    <t>Course Outcomes :</t>
  </si>
  <si>
    <t>CO1</t>
  </si>
  <si>
    <t>Observe time/resource management and industrial safety aspects.</t>
  </si>
  <si>
    <t>CO2</t>
  </si>
  <si>
    <t>Acquire professional experience of industry environment .</t>
  </si>
  <si>
    <t>CO3</t>
  </si>
  <si>
    <t>Establish effective communication in working environment.</t>
  </si>
  <si>
    <t>CO4</t>
  </si>
  <si>
    <t>Prepare report of assigned activities and accomplishments.</t>
  </si>
  <si>
    <t>CO5</t>
  </si>
  <si>
    <t>Set Correlation  of CO-PO Mapping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</si>
  <si>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</si>
  <si>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</si>
  <si>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</si>
  <si>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</si>
  <si>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</si>
  <si>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</si>
  <si>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</si>
  <si>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</si>
  <si>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</si>
  <si>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</si>
  <si>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</si>
  <si>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</si>
  <si>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</si>
  <si>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</si>
  <si>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</si>
  <si>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</si>
  <si>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</si>
  <si>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</si>
  <si>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</si>
  <si>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</si>
  <si>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</si>
  <si>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</si>
  <si>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</si>
  <si>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</si>
  <si>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</si>
  <si>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 xml:space="preserve">          HOD MECHANICAL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</si>
  <si>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</si>
  <si>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</si>
  <si>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</si>
  <si>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</si>
  <si>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rFont val="Calibri"/>
        <i/>
        <color theme="1"/>
        <sz val="11.0"/>
        <u/>
      </rPr>
      <t>This cells are autofilled fields .</t>
    </r>
    <r>
      <rPr>
        <rFont val="Calibri"/>
        <i/>
        <color theme="1"/>
        <sz val="11.0"/>
        <u/>
      </rPr>
      <t xml:space="preserve">                                                         </t>
    </r>
    <r>
      <rPr>
        <rFont val="Calibri"/>
        <i/>
        <color theme="1"/>
        <sz val="11.0"/>
        <u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</si>
  <si>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</si>
  <si>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</si>
  <si>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</si>
  <si>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</si>
  <si>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</si>
  <si>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</si>
  <si>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</si>
  <si>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</si>
  <si>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</si>
  <si>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</si>
  <si>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</si>
  <si>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</si>
  <si>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</si>
  <si>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</si>
  <si>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</si>
  <si>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DHANSHETTI PRIYA SANJAY</t>
  </si>
  <si>
    <t>ADSUL SHASHWATI NITIN</t>
  </si>
  <si>
    <t>AVISHKAR BABRUWAN BHISE</t>
  </si>
  <si>
    <t>AWAD MAHESHWARI BHAU</t>
  </si>
  <si>
    <t>BADVE SHARVANI DNYANESHWAR</t>
  </si>
  <si>
    <t>BAGADE MANASI MUKUND</t>
  </si>
  <si>
    <t>BARDE ARCHANA HANUMANT</t>
  </si>
  <si>
    <t>BARMADE SHRADDHA SUDHAKAR</t>
  </si>
  <si>
    <t>BEDKE ANKITA SHRIRAM</t>
  </si>
  <si>
    <t>BHAD SHRAVANI UMAKANT</t>
  </si>
  <si>
    <t>BHORE NIKITA SHANKAR</t>
  </si>
  <si>
    <t>BHOSALE PRADNYA HARIDAS</t>
  </si>
  <si>
    <t>BHOSALE TEJAS GAJANAN</t>
  </si>
  <si>
    <t>BIRAJDAR PRASHANT PADMAKAR</t>
  </si>
  <si>
    <t>CHANDANE SHRAVANI PRASHANT</t>
  </si>
  <si>
    <t>CHAVAN NIKITA NARAYAN</t>
  </si>
  <si>
    <t>DANE SUSHANT VITTHAL</t>
  </si>
  <si>
    <t>DEMGUNDE RAVIKIRAN DHONDIRAM</t>
  </si>
  <si>
    <t>DHAGE ANUPAMA NAGESH</t>
  </si>
  <si>
    <t>FULMALI SARTHAK SANTOSH</t>
  </si>
  <si>
    <t>GAVALI MONIKA DNYANDEO</t>
  </si>
  <si>
    <t>ISAKE PRATIKSHA MAHESH</t>
  </si>
  <si>
    <t>JAGTAP SHREYA SHRIRANG</t>
  </si>
  <si>
    <t>JOSHI TANUJA GUNDERAO</t>
  </si>
  <si>
    <t>KALE PRACHI KISHOR</t>
  </si>
  <si>
    <t>KALE VAISHNAVI DHANRAJ</t>
  </si>
  <si>
    <t>KAMBLE SONAM VILAS</t>
  </si>
  <si>
    <t>KENDRE MAYURI TUKARAM</t>
  </si>
  <si>
    <t>KHANDAGALE SUHANI VIKRAM</t>
  </si>
  <si>
    <t>KHUNE PRIYANKA PRAMOD</t>
  </si>
  <si>
    <t>KSHIRSAGAR ISHWARI DATTATRAYA</t>
  </si>
  <si>
    <t>LONDHE PRAMILA CHHATRAGUN</t>
  </si>
  <si>
    <t>MALI KARAN ASHOK</t>
  </si>
  <si>
    <t>MENDHEKAR PRITI GOROBA</t>
  </si>
  <si>
    <t>NIMBALKAR ASMITA BHUJANG</t>
  </si>
  <si>
    <t>PANCHAL GAYATRI DNYANESHWAR</t>
  </si>
  <si>
    <t>PATHAN ADIBA FIRDOS AMJAD KHAN</t>
  </si>
  <si>
    <t>PATIL AMRUTA SURESH</t>
  </si>
  <si>
    <t>PATIL DNYANESHWARI SUBHASH</t>
  </si>
  <si>
    <t>PAWAR ARYA RAJENDRA</t>
  </si>
  <si>
    <t>PAWAR SARIKA PANDURANG</t>
  </si>
  <si>
    <t>PAWAR VAIBHAVI LAXMAN</t>
  </si>
  <si>
    <t>PICHRUTE GAYATRI AMBADAS</t>
  </si>
  <si>
    <t>PIRJADE AFREEN UBEDULLA</t>
  </si>
  <si>
    <t>RAJPUT BHIMSING UMRAOSING</t>
  </si>
  <si>
    <t>SAKHARKAR SHRAVANI HARI</t>
  </si>
  <si>
    <t>SHINDALKAR ANIKET SHESHERAO</t>
  </si>
  <si>
    <t>SHINDE DIPIKA DATTATRAY</t>
  </si>
  <si>
    <t>SHINDE ROHAN RAJENDRA</t>
  </si>
  <si>
    <t>SHINDE SHIVAM SANDEEP</t>
  </si>
  <si>
    <t>SHINDE YASHRAJ YUVRAJ</t>
  </si>
  <si>
    <t>SIRSAT ABHISHEK SHAHAJI</t>
  </si>
  <si>
    <t>UMBARDAND SHIVLILA BABASAHEB</t>
  </si>
  <si>
    <t>VARE ANJALI RAMDAS</t>
  </si>
  <si>
    <t>WAGHMARE PALLAVI DNYANESHWAR</t>
  </si>
  <si>
    <t>Gavasane Vedant Amol</t>
  </si>
  <si>
    <t>HAJARE SWAPNALI SUJIT</t>
  </si>
  <si>
    <t>MUGALE AMAR RAM</t>
  </si>
  <si>
    <t>PAWAR ASHWASANDHYA NANDAKUMAR</t>
  </si>
  <si>
    <t>PAWAR ASHWASHRADHA DHANAJI</t>
  </si>
  <si>
    <t>SUTAR PRIYA BHAGVANT</t>
  </si>
  <si>
    <t>SUTAR YOGESH EKNATH</t>
  </si>
  <si>
    <t>WAWALKAR ANJALI ANIL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</si>
  <si>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</si>
  <si>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</si>
  <si>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</si>
  <si>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</si>
  <si>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</si>
  <si>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</si>
  <si>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>50 % of Students got more than set target --&gt;</t>
  </si>
  <si>
    <t>60 % of Students got more than set target --&gt;</t>
  </si>
  <si>
    <t>70 %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</si>
  <si>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</si>
  <si>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</si>
  <si>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</si>
  <si>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</si>
  <si>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</si>
  <si>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</si>
  <si>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</si>
  <si>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SA-TH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</si>
  <si>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</si>
  <si>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</si>
  <si>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</si>
  <si>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</si>
  <si>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</si>
  <si>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</si>
  <si>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</si>
  <si>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</si>
  <si>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rFont val="Times New Roman"/>
        <b/>
        <color theme="1"/>
        <sz val="16.0"/>
        <u/>
      </rPr>
      <t xml:space="preserve">                      </t>
    </r>
    <r>
      <rPr>
        <rFont val="Times New Roman"/>
        <b/>
        <color theme="1"/>
        <sz val="16.0"/>
        <u/>
      </rPr>
      <t>Direct Assessment</t>
    </r>
  </si>
  <si>
    <t>Academic Year:</t>
  </si>
  <si>
    <t>SLA
(Micro Project/Assignment Evaluation (max. marks )</t>
  </si>
  <si>
    <t>FA-PR
(Progressive Assessment -PA for Term work)  
(max marks )</t>
  </si>
  <si>
    <t>SA-PR
(Practical End Sem. Exam)    ( max. marks)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</si>
  <si>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</si>
  <si>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</si>
  <si>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</si>
  <si>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</si>
  <si>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</si>
  <si>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</si>
  <si>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</si>
  <si>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</si>
  <si>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</si>
  <si>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</si>
  <si>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</si>
  <si>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</si>
  <si>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</si>
  <si>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</si>
  <si>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</si>
  <si>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</si>
  <si>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</si>
  <si>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</si>
  <si>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</si>
  <si>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</si>
  <si>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</si>
  <si>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</si>
  <si>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</si>
  <si>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rFont val="Times New Roman"/>
        <b/>
        <color theme="1"/>
        <sz val="12.0"/>
      </rPr>
      <t xml:space="preserve">Strength of corelation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</si>
  <si>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</si>
  <si>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</si>
  <si>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</si>
  <si>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</si>
  <si>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</si>
  <si>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</si>
  <si>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</si>
  <si>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</si>
  <si>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</si>
  <si>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</si>
  <si>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</si>
  <si>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</si>
  <si>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</si>
  <si>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</si>
  <si>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</si>
  <si>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</si>
  <si>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</si>
  <si>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</si>
  <si>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</si>
  <si>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</si>
  <si>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</si>
  <si>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</si>
  <si>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</si>
  <si>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</si>
  <si>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</si>
  <si>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</si>
  <si>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</si>
  <si>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</si>
  <si>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</si>
  <si>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</si>
  <si>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</si>
  <si>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</si>
  <si>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</si>
  <si>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</si>
  <si>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</si>
  <si>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PR-ESE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</si>
  <si>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</si>
  <si>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</si>
  <si>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</si>
  <si>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</si>
  <si>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</si>
  <si>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</si>
  <si>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</si>
  <si>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</si>
  <si>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</si>
  <si>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</si>
  <si>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</si>
  <si>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</si>
  <si>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</si>
  <si>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</si>
  <si>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</si>
  <si>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</si>
  <si>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FA-PR</t>
  </si>
  <si>
    <t>SA-PR</t>
  </si>
  <si>
    <t>TH-ESE</t>
  </si>
  <si>
    <t>TOTAL</t>
  </si>
  <si>
    <t>U.Test I</t>
  </si>
  <si>
    <t>U. Test II</t>
  </si>
  <si>
    <t>SLA</t>
  </si>
  <si>
    <t>Practical Exam</t>
  </si>
  <si>
    <t>MAX MARKS AS PER TEACHING SCHEME</t>
  </si>
  <si>
    <t>INDIVIDUAL WEIGHTAGE (%)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</si>
  <si>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</si>
  <si>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 xml:space="preserve">CO -PO  Actual Attainment 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</si>
  <si>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medium(moderate), 1- low, No relation : '-'</t>
    </r>
  </si>
  <si>
    <t>Average Contribution of each CO to each PO (A)</t>
  </si>
  <si>
    <t>Course CO-PO ACTUAL ATTAINMENT LEVEL= ((AxB)/3)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</si>
</sst>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7">
    <font>
      <sz val="11.0"/>
      <color theme="1"/>
      <name val="Calibri"/>
      <scheme val="minor"/>
    </font>
    <font>
      <sz val="18.0"/>
      <color theme="1"/>
      <name val="Algerian"/>
    </font>
    <font>
      <sz val="11.0"/>
      <color theme="1"/>
      <name val="Algerian"/>
    </font>
    <font>
      <sz val="11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  <font/>
    <font>
      <b/>
      <sz val="12.0"/>
      <color theme="1"/>
      <name val="Times New Roman"/>
    </font>
    <font>
      <sz val="10.0"/>
      <color theme="1"/>
      <name val="Times New Roman"/>
    </font>
    <font>
      <b/>
      <sz val="14.0"/>
      <color theme="1"/>
      <name val="Times New Roman"/>
    </font>
    <font>
      <b/>
      <sz val="9.0"/>
      <color theme="1"/>
      <name val="Times New Roman"/>
    </font>
    <font>
      <b/>
      <sz val="10.0"/>
      <color theme="1"/>
      <name val="Times New Roman"/>
    </font>
    <font>
      <sz val="10.0"/>
      <color theme="1"/>
      <name val="Calibri"/>
    </font>
    <font>
      <b/>
      <sz val="11.0"/>
      <color rgb="FF000000"/>
      <name val="Times New Roman"/>
    </font>
    <font>
      <b/>
      <color theme="1"/>
      <name val="Times New Roman"/>
    </font>
    <font>
      <i/>
      <u/>
      <sz val="11.0"/>
      <color theme="1"/>
      <name val="Calibri"/>
    </font>
    <font>
      <i/>
      <u/>
      <sz val="11.0"/>
      <color theme="1"/>
      <name val="Calibri"/>
    </font>
    <font>
      <b/>
      <u/>
      <sz val="16.0"/>
      <color theme="1"/>
      <name val="Algerian"/>
    </font>
    <font>
      <i/>
      <sz val="10.0"/>
      <color theme="1"/>
      <name val="Times New Roman"/>
    </font>
    <font>
      <b/>
      <i/>
      <sz val="11.0"/>
      <color theme="1"/>
      <name val="Times New Roman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b/>
      <sz val="12.0"/>
      <color theme="1"/>
      <name val="Calibri"/>
    </font>
    <font>
      <b/>
      <sz val="11.0"/>
      <color theme="1"/>
      <name val="Calibri"/>
    </font>
    <font>
      <b/>
      <u/>
      <sz val="16.0"/>
      <color theme="1"/>
      <name val="Times New Roman"/>
    </font>
    <font>
      <color theme="1"/>
      <name val="Arial"/>
    </font>
    <font>
      <b/>
      <color theme="1"/>
      <name val="Arial"/>
    </font>
    <font>
      <sz val="11.0"/>
      <color rgb="FFFF0000"/>
      <name val="Times New Roman"/>
    </font>
    <font>
      <sz val="22.0"/>
      <color theme="1"/>
      <name val="Calibri"/>
    </font>
    <font>
      <b/>
      <sz val="18.0"/>
      <color rgb="FF7030A0"/>
      <name val="Calibri"/>
    </font>
    <font>
      <b/>
      <sz val="16.0"/>
      <color rgb="FF7030A0"/>
      <name val="Calibri"/>
    </font>
    <font>
      <i/>
      <sz val="11.0"/>
      <color theme="1"/>
      <name val="Calibri"/>
    </font>
    <font>
      <b/>
      <sz val="11.0"/>
      <color rgb="FF7030A0"/>
      <name val="Calibri"/>
    </font>
    <font>
      <sz val="11.0"/>
      <color rgb="FF7030A0"/>
      <name val="Calibri"/>
    </font>
    <font>
      <b/>
      <sz val="14.0"/>
      <color rgb="FF7030A0"/>
      <name val="Calibri"/>
    </font>
    <font>
      <b/>
      <sz val="16.0"/>
      <color theme="1"/>
      <name val="Calibri"/>
    </font>
    <font>
      <b/>
      <sz val="10.0"/>
      <color rgb="FF000000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CCFFFF"/>
        <bgColor rgb="FFCCFFFF"/>
      </patternFill>
    </fill>
  </fills>
  <borders count="93">
    <border/>
    <border>
      <left/>
      <right/>
      <top/>
      <bottom/>
    </border>
    <border>
      <left style="thin">
        <color rgb="FF000000"/>
      </left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0" fillId="0" fontId="4" numFmtId="0" xfId="0" applyFont="1"/>
    <xf borderId="0" fillId="0" fontId="5" numFmtId="0" xfId="0" applyAlignment="1" applyFont="1">
      <alignment horizontal="right" vertical="center"/>
    </xf>
    <xf borderId="2" fillId="2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0" fillId="0" fontId="5" numFmtId="0" xfId="0" applyFont="1"/>
    <xf borderId="2" fillId="2" fontId="5" numFmtId="0" xfId="0" applyAlignment="1" applyBorder="1" applyFont="1">
      <alignment horizontal="center" vertical="bottom"/>
    </xf>
    <xf borderId="4" fillId="0" fontId="6" numFmtId="0" xfId="0" applyBorder="1" applyFont="1"/>
    <xf borderId="2" fillId="2" fontId="5" numFmtId="0" xfId="0" applyAlignment="1" applyBorder="1" applyFont="1">
      <alignment horizontal="center" vertical="center"/>
    </xf>
    <xf borderId="0" fillId="0" fontId="7" numFmtId="0" xfId="0" applyFont="1"/>
    <xf borderId="5" fillId="0" fontId="8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left" readingOrder="0" shrinkToFit="0" vertical="center" wrapText="1"/>
    </xf>
    <xf borderId="7" fillId="0" fontId="6" numFmtId="0" xfId="0" applyBorder="1" applyFont="1"/>
    <xf borderId="6" fillId="2" fontId="5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7" numFmtId="0" xfId="0" applyAlignment="1" applyFont="1">
      <alignment vertical="center"/>
    </xf>
    <xf borderId="8" fillId="3" fontId="7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3" fontId="7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1" fillId="3" fontId="7" numFmtId="0" xfId="0" applyAlignment="1" applyBorder="1" applyFont="1">
      <alignment horizontal="center" shrinkToFit="0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3" fontId="10" numFmtId="0" xfId="0" applyAlignment="1" applyBorder="1" applyFont="1">
      <alignment horizontal="center" shrinkToFit="0" vertical="center" wrapText="1"/>
    </xf>
    <xf borderId="17" fillId="3" fontId="10" numFmtId="0" xfId="0" applyAlignment="1" applyBorder="1" applyFont="1">
      <alignment horizontal="center" shrinkToFit="0" wrapText="1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17" fillId="3" fontId="10" numFmtId="0" xfId="0" applyAlignment="1" applyBorder="1" applyFont="1">
      <alignment horizontal="center" shrinkToFit="0" textRotation="90" vertical="center" wrapText="1"/>
    </xf>
    <xf borderId="17" fillId="3" fontId="10" numFmtId="0" xfId="0" applyAlignment="1" applyBorder="1" applyFont="1">
      <alignment horizontal="center" shrinkToFit="0" textRotation="90" wrapText="1"/>
    </xf>
    <xf borderId="21" fillId="3" fontId="11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center" shrinkToFit="0" vertical="center" wrapText="1"/>
    </xf>
    <xf borderId="17" fillId="2" fontId="3" numFmtId="0" xfId="0" applyBorder="1" applyFont="1"/>
    <xf borderId="21" fillId="3" fontId="10" numFmtId="0" xfId="0" applyAlignment="1" applyBorder="1" applyFont="1">
      <alignment horizontal="center" shrinkToFit="0" vertical="center" wrapText="1"/>
    </xf>
    <xf borderId="17" fillId="2" fontId="3" numFmtId="0" xfId="0" applyBorder="1" applyFont="1"/>
    <xf borderId="11" fillId="3" fontId="13" numFmtId="0" xfId="0" applyAlignment="1" applyBorder="1" applyFont="1">
      <alignment horizontal="center" shrinkToFit="0" vertical="center" wrapText="1"/>
    </xf>
    <xf borderId="17" fillId="3" fontId="14" numFmtId="0" xfId="0" applyAlignment="1" applyBorder="1" applyFont="1">
      <alignment horizontal="center" shrinkToFit="0" wrapText="1"/>
    </xf>
    <xf borderId="11" fillId="4" fontId="13" numFmtId="0" xfId="0" applyAlignment="1" applyBorder="1" applyFill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7" fillId="4" fontId="11" numFmtId="2" xfId="0" applyAlignment="1" applyBorder="1" applyFont="1" applyNumberFormat="1">
      <alignment horizontal="center" shrinkToFit="0" vertical="center" wrapText="1"/>
    </xf>
    <xf borderId="17" fillId="4" fontId="14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1" fillId="5" fontId="3" numFmtId="0" xfId="0" applyBorder="1" applyFill="1" applyFont="1"/>
    <xf borderId="23" fillId="5" fontId="3" numFmtId="0" xfId="0" applyAlignment="1" applyBorder="1" applyFont="1">
      <alignment horizontal="center"/>
    </xf>
    <xf borderId="23" fillId="6" fontId="3" numFmtId="0" xfId="0" applyAlignment="1" applyBorder="1" applyFill="1" applyFont="1">
      <alignment horizontal="center" vertical="bottom"/>
    </xf>
    <xf borderId="24" fillId="0" fontId="3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vertical="center"/>
    </xf>
    <xf borderId="24" fillId="0" fontId="6" numFmtId="0" xfId="0" applyBorder="1" applyFont="1"/>
    <xf borderId="25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/>
    </xf>
    <xf borderId="6" fillId="3" fontId="5" numFmtId="0" xfId="0" applyAlignment="1" applyBorder="1" applyFont="1">
      <alignment horizontal="center" vertical="center"/>
    </xf>
    <xf borderId="26" fillId="7" fontId="5" numFmtId="0" xfId="0" applyAlignment="1" applyBorder="1" applyFill="1" applyFont="1">
      <alignment horizontal="center" shrinkToFit="0" vertical="center" wrapText="1"/>
    </xf>
    <xf borderId="26" fillId="7" fontId="4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vertical="center"/>
    </xf>
    <xf borderId="26" fillId="8" fontId="4" numFmtId="0" xfId="0" applyAlignment="1" applyBorder="1" applyFill="1" applyFont="1">
      <alignment horizontal="center" shrinkToFit="0" vertical="center" wrapText="1"/>
    </xf>
    <xf borderId="26" fillId="9" fontId="4" numFmtId="0" xfId="0" applyAlignment="1" applyBorder="1" applyFill="1" applyFont="1">
      <alignment horizontal="center" shrinkToFit="0" vertical="center" wrapText="1"/>
    </xf>
    <xf borderId="26" fillId="10" fontId="4" numFmtId="0" xfId="0" applyAlignment="1" applyBorder="1" applyFill="1" applyFont="1">
      <alignment horizontal="center" shrinkToFit="0" vertical="center" wrapText="1"/>
    </xf>
    <xf borderId="26" fillId="11" fontId="4" numFmtId="0" xfId="0" applyAlignment="1" applyBorder="1" applyFill="1" applyFont="1">
      <alignment horizontal="center" shrinkToFit="0" vertical="center" wrapText="1"/>
    </xf>
    <xf borderId="26" fillId="12" fontId="4" numFmtId="0" xfId="0" applyAlignment="1" applyBorder="1" applyFill="1" applyFont="1">
      <alignment horizontal="center" shrinkToFit="0" vertical="center" wrapText="1"/>
    </xf>
    <xf borderId="26" fillId="13" fontId="4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ont="1">
      <alignment shrinkToFit="1" vertical="center" wrapText="0"/>
    </xf>
    <xf borderId="27" fillId="0" fontId="6" numFmtId="0" xfId="0" applyBorder="1" applyFont="1"/>
    <xf borderId="28" fillId="7" fontId="4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25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5" fillId="2" fontId="18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wrapText="1"/>
    </xf>
    <xf borderId="5" fillId="2" fontId="19" numFmtId="0" xfId="0" applyAlignment="1" applyBorder="1" applyFont="1">
      <alignment horizontal="center" shrinkToFit="1" vertical="center" wrapText="0"/>
    </xf>
    <xf borderId="5" fillId="0" fontId="8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2" fontId="5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16" fillId="0" fontId="7" numFmtId="9" xfId="0" applyAlignment="1" applyBorder="1" applyFont="1" applyNumberFormat="1">
      <alignment vertical="center"/>
    </xf>
    <xf borderId="33" fillId="3" fontId="5" numFmtId="2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8" fillId="3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shrinkToFit="0" vertical="center" wrapText="1"/>
    </xf>
    <xf borderId="35" fillId="3" fontId="4" numFmtId="0" xfId="0" applyAlignment="1" applyBorder="1" applyFont="1">
      <alignment horizontal="center" vertical="center"/>
    </xf>
    <xf borderId="36" fillId="3" fontId="5" numFmtId="0" xfId="0" applyAlignment="1" applyBorder="1" applyFont="1">
      <alignment horizontal="center" textRotation="90" vertical="center"/>
    </xf>
    <xf borderId="37" fillId="3" fontId="5" numFmtId="0" xfId="0" applyAlignment="1" applyBorder="1" applyFont="1">
      <alignment horizontal="center" readingOrder="0" vertical="center"/>
    </xf>
    <xf borderId="38" fillId="0" fontId="6" numFmtId="0" xfId="0" applyBorder="1" applyFont="1"/>
    <xf borderId="39" fillId="0" fontId="5" numFmtId="0" xfId="0" applyAlignment="1" applyBorder="1" applyFont="1">
      <alignment horizontal="left" vertical="center"/>
    </xf>
    <xf borderId="9" fillId="2" fontId="5" numFmtId="0" xfId="0" applyAlignment="1" applyBorder="1" applyFont="1">
      <alignment horizontal="center" readingOrder="0" vertical="center"/>
    </xf>
    <xf borderId="40" fillId="3" fontId="5" numFmtId="164" xfId="0" applyAlignment="1" applyBorder="1" applyFont="1" applyNumberFormat="1">
      <alignment horizontal="center" vertical="center"/>
    </xf>
    <xf borderId="41" fillId="3" fontId="4" numFmtId="0" xfId="0" applyAlignment="1" applyBorder="1" applyFont="1">
      <alignment horizontal="center" vertical="center"/>
    </xf>
    <xf borderId="42" fillId="0" fontId="6" numFmtId="0" xfId="0" applyBorder="1" applyFont="1"/>
    <xf borderId="43" fillId="0" fontId="6" numFmtId="0" xfId="0" applyBorder="1" applyFont="1"/>
    <xf borderId="44" fillId="3" fontId="5" numFmtId="164" xfId="0" applyAlignment="1" applyBorder="1" applyFont="1" applyNumberFormat="1">
      <alignment horizontal="center" vertical="center"/>
    </xf>
    <xf borderId="45" fillId="3" fontId="4" numFmtId="0" xfId="0" applyAlignment="1" applyBorder="1" applyFont="1">
      <alignment horizontal="center" vertical="center"/>
    </xf>
    <xf borderId="46" fillId="0" fontId="6" numFmtId="0" xfId="0" applyBorder="1" applyFont="1"/>
    <xf borderId="47" fillId="0" fontId="6" numFmtId="0" xfId="0" applyBorder="1" applyFont="1"/>
    <xf borderId="13" fillId="0" fontId="5" numFmtId="0" xfId="0" applyAlignment="1" applyBorder="1" applyFont="1">
      <alignment horizontal="left" vertical="center"/>
    </xf>
    <xf borderId="17" fillId="3" fontId="5" numFmtId="164" xfId="0" applyAlignment="1" applyBorder="1" applyFont="1" applyNumberFormat="1">
      <alignment horizontal="center" vertical="center"/>
    </xf>
    <xf borderId="48" fillId="3" fontId="4" numFmtId="0" xfId="0" applyAlignment="1" applyBorder="1" applyFont="1">
      <alignment horizontal="center" vertical="center"/>
    </xf>
    <xf borderId="49" fillId="0" fontId="6" numFmtId="0" xfId="0" applyBorder="1" applyFont="1"/>
    <xf borderId="1" fillId="3" fontId="5" numFmtId="0" xfId="0" applyBorder="1" applyFont="1"/>
    <xf borderId="23" fillId="3" fontId="5" numFmtId="0" xfId="0" applyAlignment="1" applyBorder="1" applyFont="1">
      <alignment horizontal="center"/>
    </xf>
    <xf borderId="50" fillId="3" fontId="7" numFmtId="0" xfId="0" applyAlignment="1" applyBorder="1" applyFont="1">
      <alignment horizontal="center" vertical="center"/>
    </xf>
    <xf borderId="51" fillId="3" fontId="4" numFmtId="0" xfId="0" applyAlignment="1" applyBorder="1" applyFont="1">
      <alignment horizontal="center" vertical="center"/>
    </xf>
    <xf borderId="52" fillId="3" fontId="4" numFmtId="0" xfId="0" applyAlignment="1" applyBorder="1" applyFont="1">
      <alignment horizontal="center" vertical="center"/>
    </xf>
    <xf borderId="53" fillId="3" fontId="7" numFmtId="0" xfId="0" applyAlignment="1" applyBorder="1" applyFont="1">
      <alignment horizontal="center" vertical="center"/>
    </xf>
    <xf borderId="54" fillId="3" fontId="5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top"/>
    </xf>
    <xf borderId="0" fillId="0" fontId="21" numFmtId="0" xfId="0" applyAlignment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6" fillId="3" fontId="5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55" fillId="3" fontId="22" numFmtId="0" xfId="0" applyAlignment="1" applyBorder="1" applyFont="1">
      <alignment horizontal="center" shrinkToFit="0" vertical="center" wrapText="1"/>
    </xf>
    <xf borderId="33" fillId="3" fontId="23" numFmtId="2" xfId="0" applyAlignment="1" applyBorder="1" applyFont="1" applyNumberFormat="1">
      <alignment horizontal="center" vertical="center"/>
    </xf>
    <xf borderId="21" fillId="2" fontId="22" numFmtId="0" xfId="0" applyAlignment="1" applyBorder="1" applyFont="1">
      <alignment horizontal="center" shrinkToFit="0" vertical="center" wrapText="1"/>
    </xf>
    <xf borderId="22" fillId="3" fontId="22" numFmtId="0" xfId="0" applyAlignment="1" applyBorder="1" applyFont="1">
      <alignment horizontal="center" shrinkToFit="0" vertical="center" wrapText="1"/>
    </xf>
    <xf borderId="22" fillId="3" fontId="23" numFmtId="0" xfId="0" applyAlignment="1" applyBorder="1" applyFon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22" fillId="3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vertical="center"/>
    </xf>
    <xf borderId="1" fillId="3" fontId="3" numFmtId="0" xfId="0" applyBorder="1" applyFont="1"/>
    <xf borderId="56" fillId="0" fontId="5" numFmtId="9" xfId="0" applyAlignment="1" applyBorder="1" applyFont="1" applyNumberFormat="1">
      <alignment vertical="center"/>
    </xf>
    <xf borderId="57" fillId="3" fontId="5" numFmtId="0" xfId="0" applyAlignment="1" applyBorder="1" applyFont="1">
      <alignment horizontal="left" vertical="center"/>
    </xf>
    <xf borderId="39" fillId="0" fontId="6" numFmtId="0" xfId="0" applyBorder="1" applyFont="1"/>
    <xf borderId="8" fillId="2" fontId="5" numFmtId="0" xfId="0" applyAlignment="1" applyBorder="1" applyFont="1">
      <alignment horizontal="center" vertical="center"/>
    </xf>
    <xf borderId="40" fillId="3" fontId="5" numFmtId="0" xfId="0" applyAlignment="1" applyBorder="1" applyFont="1">
      <alignment vertical="center"/>
    </xf>
    <xf borderId="58" fillId="3" fontId="4" numFmtId="0" xfId="0" applyAlignment="1" applyBorder="1" applyFont="1">
      <alignment horizontal="center" vertical="center"/>
    </xf>
    <xf borderId="6" fillId="0" fontId="5" numFmtId="9" xfId="0" applyAlignment="1" applyBorder="1" applyFont="1" applyNumberFormat="1">
      <alignment vertical="center"/>
    </xf>
    <xf borderId="59" fillId="3" fontId="5" numFmtId="0" xfId="0" applyAlignment="1" applyBorder="1" applyFont="1">
      <alignment horizontal="left" vertical="center"/>
    </xf>
    <xf borderId="60" fillId="3" fontId="5" numFmtId="0" xfId="0" applyAlignment="1" applyBorder="1" applyFont="1">
      <alignment vertical="center"/>
    </xf>
    <xf borderId="61" fillId="3" fontId="4" numFmtId="0" xfId="0" applyAlignment="1" applyBorder="1" applyFont="1">
      <alignment horizontal="center" vertical="center"/>
    </xf>
    <xf borderId="62" fillId="0" fontId="5" numFmtId="9" xfId="0" applyAlignment="1" applyBorder="1" applyFont="1" applyNumberFormat="1">
      <alignment vertical="center"/>
    </xf>
    <xf borderId="63" fillId="3" fontId="5" numFmtId="0" xfId="0" applyAlignment="1" applyBorder="1" applyFont="1">
      <alignment horizontal="left" vertical="center"/>
    </xf>
    <xf borderId="64" fillId="3" fontId="5" numFmtId="0" xfId="0" applyAlignment="1" applyBorder="1" applyFont="1">
      <alignment vertical="center"/>
    </xf>
    <xf borderId="65" fillId="3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6" fillId="3" fontId="7" numFmtId="0" xfId="0" applyAlignment="1" applyBorder="1" applyFont="1">
      <alignment horizontal="center" shrinkToFit="0" vertical="center" wrapText="1"/>
    </xf>
    <xf borderId="67" fillId="0" fontId="6" numFmtId="0" xfId="0" applyBorder="1" applyFont="1"/>
    <xf borderId="48" fillId="3" fontId="7" numFmtId="0" xfId="0" applyAlignment="1" applyBorder="1" applyFont="1">
      <alignment horizontal="center" vertical="center"/>
    </xf>
    <xf borderId="68" fillId="0" fontId="6" numFmtId="0" xfId="0" applyBorder="1" applyFont="1"/>
    <xf borderId="0" fillId="0" fontId="24" numFmtId="0" xfId="0" applyAlignment="1" applyFont="1">
      <alignment vertical="top"/>
    </xf>
    <xf borderId="26" fillId="3" fontId="7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2" fontId="25" numFmtId="0" xfId="0" applyAlignment="1" applyBorder="1" applyFont="1">
      <alignment horizontal="center" vertical="bottom"/>
    </xf>
    <xf borderId="5" fillId="2" fontId="26" numFmtId="0" xfId="0" applyAlignment="1" applyBorder="1" applyFont="1">
      <alignment horizontal="center" vertical="bottom"/>
    </xf>
    <xf borderId="55" fillId="3" fontId="22" numFmtId="0" xfId="0" applyAlignment="1" applyBorder="1" applyFont="1">
      <alignment horizontal="left" shrinkToFit="0" vertical="center" wrapText="1"/>
    </xf>
    <xf borderId="33" fillId="3" fontId="22" numFmtId="0" xfId="0" applyAlignment="1" applyBorder="1" applyFont="1">
      <alignment horizontal="center" shrinkToFit="0" vertical="center" wrapText="1"/>
    </xf>
    <xf borderId="18" fillId="0" fontId="22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shrinkToFit="0" vertical="center" wrapText="1"/>
    </xf>
    <xf borderId="56" fillId="0" fontId="5" numFmtId="9" xfId="0" applyAlignment="1" applyBorder="1" applyFont="1" applyNumberFormat="1">
      <alignment readingOrder="0" vertical="center"/>
    </xf>
    <xf borderId="69" fillId="3" fontId="5" numFmtId="0" xfId="0" applyAlignment="1" applyBorder="1" applyFont="1">
      <alignment horizontal="center" vertical="center"/>
    </xf>
    <xf borderId="6" fillId="0" fontId="5" numFmtId="9" xfId="0" applyAlignment="1" applyBorder="1" applyFont="1" applyNumberFormat="1">
      <alignment readingOrder="0" vertical="center"/>
    </xf>
    <xf borderId="70" fillId="3" fontId="5" numFmtId="0" xfId="0" applyAlignment="1" applyBorder="1" applyFont="1">
      <alignment horizontal="center" vertical="center"/>
    </xf>
    <xf borderId="62" fillId="0" fontId="5" numFmtId="9" xfId="0" applyAlignment="1" applyBorder="1" applyFont="1" applyNumberFormat="1">
      <alignment readingOrder="0" vertical="center"/>
    </xf>
    <xf borderId="64" fillId="3" fontId="5" numFmtId="0" xfId="0" applyAlignment="1" applyBorder="1" applyFont="1">
      <alignment horizontal="center" vertical="center"/>
    </xf>
    <xf borderId="71" fillId="0" fontId="6" numFmtId="0" xfId="0" applyBorder="1" applyFont="1"/>
    <xf borderId="72" fillId="3" fontId="4" numFmtId="0" xfId="0" applyAlignment="1" applyBorder="1" applyFont="1">
      <alignment horizontal="center" vertical="center"/>
    </xf>
    <xf borderId="73" fillId="3" fontId="4" numFmtId="0" xfId="0" applyAlignment="1" applyBorder="1" applyFont="1">
      <alignment horizontal="center" vertical="center"/>
    </xf>
    <xf borderId="66" fillId="3" fontId="7" numFmtId="0" xfId="0" applyAlignment="1" applyBorder="1" applyFont="1">
      <alignment horizontal="center" vertical="center"/>
    </xf>
    <xf borderId="51" fillId="3" fontId="5" numFmtId="0" xfId="0" applyAlignment="1" applyBorder="1" applyFont="1">
      <alignment horizontal="center" vertical="center"/>
    </xf>
    <xf borderId="52" fillId="3" fontId="5" numFmtId="0" xfId="0" applyAlignment="1" applyBorder="1" applyFont="1">
      <alignment horizontal="center" vertical="center"/>
    </xf>
    <xf borderId="45" fillId="3" fontId="7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74" fillId="3" fontId="5" numFmtId="0" xfId="0" applyAlignment="1" applyBorder="1" applyFont="1">
      <alignment horizontal="center" vertical="center"/>
    </xf>
    <xf borderId="48" fillId="3" fontId="7" numFmtId="0" xfId="0" applyAlignment="1" applyBorder="1" applyFont="1">
      <alignment horizontal="center" shrinkToFit="0" vertical="center" wrapText="1"/>
    </xf>
    <xf borderId="75" fillId="3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2" numFmtId="0" xfId="0" applyFont="1"/>
    <xf borderId="8" fillId="7" fontId="5" numFmtId="0" xfId="0" applyAlignment="1" applyBorder="1" applyFont="1">
      <alignment horizontal="center" shrinkToFit="0" vertical="center" wrapText="1"/>
    </xf>
    <xf borderId="8" fillId="7" fontId="4" numFmtId="0" xfId="0" applyAlignment="1" applyBorder="1" applyFont="1">
      <alignment horizontal="center" shrinkToFit="0" vertical="center" wrapText="1"/>
    </xf>
    <xf borderId="8" fillId="7" fontId="7" numFmtId="0" xfId="0" applyAlignment="1" applyBorder="1" applyFont="1">
      <alignment horizontal="center" vertical="center"/>
    </xf>
    <xf borderId="76" fillId="0" fontId="6" numFmtId="0" xfId="0" applyBorder="1" applyFont="1"/>
    <xf borderId="21" fillId="7" fontId="19" numFmtId="0" xfId="0" applyAlignment="1" applyBorder="1" applyFont="1">
      <alignment horizontal="center" shrinkToFit="0" vertical="center" wrapText="1"/>
    </xf>
    <xf borderId="58" fillId="0" fontId="5" numFmtId="0" xfId="0" applyAlignment="1" applyBorder="1" applyFont="1">
      <alignment horizontal="center" vertical="center"/>
    </xf>
    <xf borderId="61" fillId="0" fontId="5" numFmtId="0" xfId="0" applyAlignment="1" applyBorder="1" applyFont="1">
      <alignment horizontal="center" vertical="center"/>
    </xf>
    <xf borderId="61" fillId="0" fontId="27" numFmtId="0" xfId="0" applyAlignment="1" applyBorder="1" applyFont="1">
      <alignment horizontal="center" vertical="center"/>
    </xf>
    <xf borderId="65" fillId="0" fontId="5" numFmtId="0" xfId="0" applyAlignment="1" applyBorder="1" applyFont="1">
      <alignment horizontal="center" vertical="center"/>
    </xf>
    <xf borderId="22" fillId="4" fontId="5" numFmtId="0" xfId="0" applyAlignment="1" applyBorder="1" applyFont="1">
      <alignment horizontal="center" vertical="center"/>
    </xf>
    <xf borderId="22" fillId="4" fontId="3" numFmtId="0" xfId="0" applyAlignment="1" applyBorder="1" applyFont="1">
      <alignment horizontal="center"/>
    </xf>
    <xf borderId="11" fillId="0" fontId="9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textRotation="90" vertical="center"/>
    </xf>
    <xf borderId="56" fillId="0" fontId="5" numFmtId="0" xfId="0" applyAlignment="1" applyBorder="1" applyFont="1">
      <alignment horizontal="center" vertical="center"/>
    </xf>
    <xf borderId="77" fillId="0" fontId="6" numFmtId="0" xfId="0" applyBorder="1" applyFont="1"/>
    <xf borderId="58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8" fillId="0" fontId="6" numFmtId="0" xfId="0" applyBorder="1" applyFont="1"/>
    <xf borderId="61" fillId="0" fontId="4" numFmtId="0" xfId="0" applyAlignment="1" applyBorder="1" applyFont="1">
      <alignment horizontal="center" vertical="center"/>
    </xf>
    <xf borderId="62" fillId="0" fontId="5" numFmtId="0" xfId="0" applyAlignment="1" applyBorder="1" applyFont="1">
      <alignment horizontal="center" vertical="center"/>
    </xf>
    <xf borderId="79" fillId="0" fontId="6" numFmtId="0" xfId="0" applyBorder="1" applyFont="1"/>
    <xf borderId="65" fillId="0" fontId="4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shrinkToFit="0" vertical="center" wrapText="1"/>
    </xf>
    <xf borderId="72" fillId="2" fontId="4" numFmtId="0" xfId="0" applyAlignment="1" applyBorder="1" applyFont="1">
      <alignment horizontal="center" vertical="center"/>
    </xf>
    <xf borderId="73" fillId="2" fontId="4" numFmtId="0" xfId="0" applyAlignment="1" applyBorder="1" applyFont="1">
      <alignment horizontal="center" vertical="center"/>
    </xf>
    <xf borderId="66" fillId="2" fontId="7" numFmtId="0" xfId="0" applyAlignment="1" applyBorder="1" applyFont="1">
      <alignment horizontal="center" shrinkToFit="0" vertical="center" wrapText="1"/>
    </xf>
    <xf borderId="51" fillId="2" fontId="5" numFmtId="0" xfId="0" applyAlignment="1" applyBorder="1" applyFont="1">
      <alignment horizontal="center" vertical="center"/>
    </xf>
    <xf borderId="52" fillId="2" fontId="5" numFmtId="0" xfId="0" applyAlignment="1" applyBorder="1" applyFont="1">
      <alignment horizontal="center" vertical="center"/>
    </xf>
    <xf borderId="1" fillId="2" fontId="28" numFmtId="0" xfId="0" applyBorder="1" applyFont="1"/>
    <xf borderId="22" fillId="3" fontId="10" numFmtId="0" xfId="0" applyAlignment="1" applyBorder="1" applyFont="1">
      <alignment horizontal="center" shrinkToFit="0" textRotation="90" vertical="center" wrapText="1"/>
    </xf>
    <xf borderId="34" fillId="3" fontId="10" numFmtId="0" xfId="0" applyAlignment="1" applyBorder="1" applyFont="1">
      <alignment horizontal="center" shrinkToFit="0" textRotation="90" vertical="center" wrapText="1"/>
    </xf>
    <xf borderId="18" fillId="0" fontId="11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11" fillId="6" fontId="13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11" fillId="2" fontId="13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11" fillId="0" fontId="30" numFmtId="0" xfId="0" applyAlignment="1" applyBorder="1" applyFont="1">
      <alignment horizontal="center" vertical="center"/>
    </xf>
    <xf borderId="11" fillId="0" fontId="23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/>
    </xf>
    <xf borderId="19" fillId="0" fontId="3" numFmtId="0" xfId="0" applyAlignment="1" applyBorder="1" applyFont="1">
      <alignment horizontal="center" vertical="center"/>
    </xf>
    <xf borderId="80" fillId="0" fontId="6" numFmtId="0" xfId="0" applyBorder="1" applyFont="1"/>
    <xf borderId="18" fillId="0" fontId="3" numFmtId="0" xfId="0" applyAlignment="1" applyBorder="1" applyFont="1">
      <alignment horizontal="center" vertical="center"/>
    </xf>
    <xf borderId="81" fillId="0" fontId="3" numFmtId="0" xfId="0" applyAlignment="1" applyBorder="1" applyFont="1">
      <alignment horizontal="center" shrinkToFit="0" vertical="center" wrapText="1"/>
    </xf>
    <xf borderId="72" fillId="0" fontId="3" numFmtId="0" xfId="0" applyAlignment="1" applyBorder="1" applyFont="1">
      <alignment horizontal="center" shrinkToFit="0" vertical="center" wrapText="1"/>
    </xf>
    <xf borderId="73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58" fillId="0" fontId="23" numFmtId="0" xfId="0" applyAlignment="1" applyBorder="1" applyFont="1">
      <alignment horizontal="center" vertical="center"/>
    </xf>
    <xf borderId="67" fillId="0" fontId="3" numFmtId="0" xfId="0" applyAlignment="1" applyBorder="1" applyFont="1">
      <alignment horizontal="center" vertical="center"/>
    </xf>
    <xf borderId="51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66" fillId="0" fontId="3" numFmtId="0" xfId="0" applyAlignment="1" applyBorder="1" applyFont="1">
      <alignment horizontal="center" vertical="center"/>
    </xf>
    <xf borderId="61" fillId="0" fontId="2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vertical="center"/>
    </xf>
    <xf borderId="45" fillId="0" fontId="3" numFmtId="0" xfId="0" applyAlignment="1" applyBorder="1" applyFont="1">
      <alignment horizontal="center" vertical="center"/>
    </xf>
    <xf borderId="65" fillId="0" fontId="23" numFmtId="0" xfId="0" applyAlignment="1" applyBorder="1" applyFont="1">
      <alignment horizontal="center" vertical="center"/>
    </xf>
    <xf borderId="68" fillId="0" fontId="3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75" fillId="0" fontId="3" numFmtId="0" xfId="0" applyAlignment="1" applyBorder="1" applyFont="1">
      <alignment horizontal="center" vertical="center"/>
    </xf>
    <xf borderId="61" fillId="0" fontId="23" numFmtId="0" xfId="0" applyAlignment="1" applyBorder="1" applyFont="1">
      <alignment horizontal="center" shrinkToFit="0" vertical="center" wrapText="1"/>
    </xf>
    <xf borderId="82" fillId="14" fontId="31" numFmtId="0" xfId="0" applyAlignment="1" applyBorder="1" applyFill="1" applyFont="1">
      <alignment horizontal="center" vertical="center"/>
    </xf>
    <xf borderId="6" fillId="14" fontId="31" numFmtId="0" xfId="0" applyAlignment="1" applyBorder="1" applyFont="1">
      <alignment horizontal="center" vertical="center"/>
    </xf>
    <xf borderId="65" fillId="0" fontId="23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horizontal="center" vertical="center"/>
    </xf>
    <xf borderId="11" fillId="0" fontId="32" numFmtId="0" xfId="0" applyAlignment="1" applyBorder="1" applyFont="1">
      <alignment horizontal="center" vertical="center"/>
    </xf>
    <xf borderId="22" fillId="0" fontId="33" numFmtId="0" xfId="0" applyAlignment="1" applyBorder="1" applyFont="1">
      <alignment horizontal="center" vertical="center"/>
    </xf>
    <xf borderId="22" fillId="0" fontId="32" numFmtId="0" xfId="0" applyAlignment="1" applyBorder="1" applyFont="1">
      <alignment horizontal="center" shrinkToFit="0" vertical="center" wrapText="1"/>
    </xf>
    <xf borderId="22" fillId="0" fontId="33" numFmtId="9" xfId="0" applyAlignment="1" applyBorder="1" applyFont="1" applyNumberFormat="1">
      <alignment horizontal="center" vertical="center"/>
    </xf>
    <xf borderId="22" fillId="0" fontId="32" numFmtId="0" xfId="0" applyAlignment="1" applyBorder="1" applyFont="1">
      <alignment horizontal="center" vertical="center"/>
    </xf>
    <xf borderId="11" fillId="0" fontId="34" numFmtId="0" xfId="0" applyAlignment="1" applyBorder="1" applyFont="1">
      <alignment horizontal="center" vertical="center"/>
    </xf>
    <xf borderId="11" fillId="0" fontId="34" numFmtId="0" xfId="0" applyAlignment="1" applyBorder="1" applyFont="1">
      <alignment vertical="center"/>
    </xf>
    <xf borderId="13" fillId="0" fontId="34" numFmtId="0" xfId="0" applyAlignment="1" applyBorder="1" applyFont="1">
      <alignment vertical="center"/>
    </xf>
    <xf borderId="9" fillId="3" fontId="4" numFmtId="0" xfId="0" applyAlignment="1" applyBorder="1" applyFont="1">
      <alignment horizontal="center" shrinkToFit="0" vertical="center" wrapText="1"/>
    </xf>
    <xf borderId="83" fillId="0" fontId="6" numFmtId="0" xfId="0" applyBorder="1" applyFont="1"/>
    <xf borderId="56" fillId="3" fontId="3" numFmtId="0" xfId="0" applyAlignment="1" applyBorder="1" applyFont="1">
      <alignment horizontal="center" vertical="center"/>
    </xf>
    <xf borderId="51" fillId="3" fontId="3" numFmtId="0" xfId="0" applyAlignment="1" applyBorder="1" applyFont="1">
      <alignment horizontal="center" vertical="center"/>
    </xf>
    <xf borderId="84" fillId="3" fontId="3" numFmtId="0" xfId="0" applyAlignment="1" applyBorder="1" applyFont="1">
      <alignment horizontal="center" vertical="center"/>
    </xf>
    <xf borderId="85" fillId="0" fontId="6" numFmtId="0" xfId="0" applyBorder="1" applyFont="1"/>
    <xf borderId="54" fillId="3" fontId="3" numFmtId="0" xfId="0" applyAlignment="1" applyBorder="1" applyFont="1">
      <alignment horizontal="center" shrinkToFit="0" vertical="center" wrapText="1"/>
    </xf>
    <xf borderId="54" fillId="3" fontId="3" numFmtId="0" xfId="0" applyAlignment="1" applyBorder="1" applyFont="1">
      <alignment horizontal="center" vertical="center"/>
    </xf>
    <xf borderId="86" fillId="0" fontId="6" numFmtId="0" xfId="0" applyBorder="1" applyFont="1"/>
    <xf borderId="66" fillId="0" fontId="5" numFmtId="0" xfId="0" applyAlignment="1" applyBorder="1" applyFont="1">
      <alignment horizontal="center" vertical="center"/>
    </xf>
    <xf borderId="56" fillId="2" fontId="3" numFmtId="0" xfId="0" applyAlignment="1" applyBorder="1" applyFont="1">
      <alignment horizontal="center" readingOrder="0" vertical="center"/>
    </xf>
    <xf borderId="51" fillId="2" fontId="3" numFmtId="0" xfId="0" applyAlignment="1" applyBorder="1" applyFont="1">
      <alignment horizontal="center" readingOrder="0" vertical="center"/>
    </xf>
    <xf borderId="48" fillId="3" fontId="5" numFmtId="0" xfId="0" applyAlignment="1" applyBorder="1" applyFont="1">
      <alignment horizontal="center" vertical="center"/>
    </xf>
    <xf borderId="62" fillId="3" fontId="3" numFmtId="2" xfId="0" applyAlignment="1" applyBorder="1" applyFont="1" applyNumberFormat="1">
      <alignment horizontal="center" vertical="center"/>
    </xf>
    <xf borderId="54" fillId="3" fontId="3" numFmtId="2" xfId="0" applyAlignment="1" applyBorder="1" applyFont="1" applyNumberFormat="1">
      <alignment horizontal="center" vertical="center"/>
    </xf>
    <xf borderId="87" fillId="3" fontId="3" numFmtId="2" xfId="0" applyAlignment="1" applyBorder="1" applyFont="1" applyNumberFormat="1">
      <alignment horizontal="center" vertical="center"/>
    </xf>
    <xf borderId="11" fillId="3" fontId="30" numFmtId="0" xfId="0" applyAlignment="1" applyBorder="1" applyFont="1">
      <alignment horizontal="center" vertical="center"/>
    </xf>
    <xf borderId="11" fillId="3" fontId="35" numFmtId="0" xfId="0" applyAlignment="1" applyBorder="1" applyFont="1">
      <alignment horizontal="center" vertical="center"/>
    </xf>
    <xf borderId="9" fillId="3" fontId="2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left"/>
    </xf>
    <xf borderId="88" fillId="3" fontId="3" numFmtId="0" xfId="0" applyAlignment="1" applyBorder="1" applyFont="1">
      <alignment vertical="center"/>
    </xf>
    <xf borderId="89" fillId="3" fontId="3" numFmtId="0" xfId="0" applyAlignment="1" applyBorder="1" applyFont="1">
      <alignment horizontal="center" vertical="center"/>
    </xf>
    <xf borderId="89" fillId="3" fontId="3" numFmtId="0" xfId="0" applyAlignment="1" applyBorder="1" applyFont="1">
      <alignment vertical="center"/>
    </xf>
    <xf borderId="90" fillId="3" fontId="3" numFmtId="0" xfId="0" applyAlignment="1" applyBorder="1" applyFont="1">
      <alignment vertical="center"/>
    </xf>
    <xf borderId="17" fillId="3" fontId="3" numFmtId="0" xfId="0" applyAlignment="1" applyBorder="1" applyFont="1">
      <alignment horizontal="center" vertical="center"/>
    </xf>
    <xf borderId="81" fillId="3" fontId="3" numFmtId="0" xfId="0" applyAlignment="1" applyBorder="1" applyFont="1">
      <alignment horizontal="center" shrinkToFit="0" vertical="center" wrapText="1"/>
    </xf>
    <xf borderId="72" fillId="3" fontId="3" numFmtId="0" xfId="0" applyAlignment="1" applyBorder="1" applyFont="1">
      <alignment horizontal="center" shrinkToFit="0" vertical="center" wrapText="1"/>
    </xf>
    <xf borderId="72" fillId="3" fontId="3" numFmtId="0" xfId="0" applyAlignment="1" applyBorder="1" applyFont="1">
      <alignment horizontal="center" vertical="center"/>
    </xf>
    <xf borderId="34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shrinkToFit="0" vertical="center" wrapText="1"/>
    </xf>
    <xf borderId="58" fillId="3" fontId="23" numFmtId="0" xfId="0" applyAlignment="1" applyBorder="1" applyFont="1">
      <alignment horizontal="center" vertical="center"/>
    </xf>
    <xf borderId="91" fillId="3" fontId="3" numFmtId="0" xfId="0" applyAlignment="1" applyBorder="1" applyFont="1">
      <alignment horizontal="center" vertical="center"/>
    </xf>
    <xf borderId="52" fillId="3" fontId="3" numFmtId="0" xfId="0" applyAlignment="1" applyBorder="1" applyFont="1">
      <alignment horizontal="center" vertical="center"/>
    </xf>
    <xf borderId="66" fillId="3" fontId="3" numFmtId="0" xfId="0" applyAlignment="1" applyBorder="1" applyFont="1">
      <alignment horizontal="center" vertical="center"/>
    </xf>
    <xf borderId="61" fillId="3" fontId="23" numFmtId="0" xfId="0" applyAlignment="1" applyBorder="1" applyFont="1">
      <alignment horizontal="center" vertical="center"/>
    </xf>
    <xf borderId="82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74" fillId="3" fontId="3" numFmtId="0" xfId="0" applyAlignment="1" applyBorder="1" applyFont="1">
      <alignment horizontal="center" vertical="center"/>
    </xf>
    <xf borderId="45" fillId="3" fontId="3" numFmtId="0" xfId="0" applyAlignment="1" applyBorder="1" applyFont="1">
      <alignment horizontal="center" vertical="center"/>
    </xf>
    <xf borderId="65" fillId="3" fontId="23" numFmtId="0" xfId="0" applyAlignment="1" applyBorder="1" applyFont="1">
      <alignment horizontal="center" vertical="center"/>
    </xf>
    <xf borderId="92" fillId="3" fontId="3" numFmtId="0" xfId="0" applyAlignment="1" applyBorder="1" applyFont="1">
      <alignment horizontal="center" vertical="center"/>
    </xf>
    <xf borderId="75" fillId="3" fontId="3" numFmtId="0" xfId="0" applyAlignment="1" applyBorder="1" applyFont="1">
      <alignment horizontal="center" vertical="center"/>
    </xf>
    <xf borderId="61" fillId="3" fontId="23" numFmtId="0" xfId="0" applyAlignment="1" applyBorder="1" applyFont="1">
      <alignment horizontal="center" shrinkToFit="0" vertical="center" wrapText="1"/>
    </xf>
    <xf borderId="82" fillId="3" fontId="31" numFmtId="2" xfId="0" applyAlignment="1" applyBorder="1" applyFont="1" applyNumberFormat="1">
      <alignment horizontal="center" vertical="center"/>
    </xf>
    <xf borderId="45" fillId="3" fontId="31" numFmtId="0" xfId="0" applyAlignment="1" applyBorder="1" applyFont="1">
      <alignment horizontal="center" vertical="center"/>
    </xf>
    <xf borderId="65" fillId="3" fontId="23" numFmtId="0" xfId="0" applyAlignment="1" applyBorder="1" applyFont="1">
      <alignment horizontal="center" shrinkToFit="0" vertical="center" wrapText="1"/>
    </xf>
    <xf borderId="92" fillId="3" fontId="3" numFmtId="2" xfId="0" applyAlignment="1" applyBorder="1" applyFont="1" applyNumberFormat="1">
      <alignment horizontal="center" vertical="center"/>
    </xf>
    <xf borderId="48" fillId="3" fontId="3" numFmtId="2" xfId="0" applyAlignment="1" applyBorder="1" applyFont="1" applyNumberFormat="1">
      <alignment horizontal="center" vertical="center"/>
    </xf>
    <xf borderId="11" fillId="3" fontId="32" numFmtId="0" xfId="0" applyAlignment="1" applyBorder="1" applyFont="1">
      <alignment horizontal="center" vertical="center"/>
    </xf>
    <xf borderId="22" fillId="3" fontId="33" numFmtId="2" xfId="0" applyAlignment="1" applyBorder="1" applyFont="1" applyNumberFormat="1">
      <alignment horizontal="center" vertical="center"/>
    </xf>
    <xf borderId="22" fillId="3" fontId="32" numFmtId="0" xfId="0" applyAlignment="1" applyBorder="1" applyFont="1">
      <alignment horizontal="center" shrinkToFit="0" vertical="center" wrapText="1"/>
    </xf>
    <xf borderId="22" fillId="3" fontId="33" numFmtId="0" xfId="0" applyAlignment="1" applyBorder="1" applyFont="1">
      <alignment horizontal="center" vertical="center"/>
    </xf>
    <xf borderId="22" fillId="3" fontId="33" numFmtId="9" xfId="0" applyAlignment="1" applyBorder="1" applyFont="1" applyNumberFormat="1">
      <alignment horizontal="center" vertical="center"/>
    </xf>
    <xf borderId="22" fillId="3" fontId="32" numFmtId="0" xfId="0" applyAlignment="1" applyBorder="1" applyFont="1">
      <alignment horizontal="center" vertical="center"/>
    </xf>
    <xf borderId="11" fillId="4" fontId="34" numFmtId="0" xfId="0" applyAlignment="1" applyBorder="1" applyFont="1">
      <alignment horizontal="center" vertical="center"/>
    </xf>
    <xf borderId="88" fillId="4" fontId="34" numFmtId="2" xfId="0" applyAlignment="1" applyBorder="1" applyFont="1" applyNumberFormat="1">
      <alignment vertical="center"/>
    </xf>
    <xf borderId="34" fillId="4" fontId="34" numFmtId="0" xfId="0" applyAlignment="1" applyBorder="1" applyFont="1">
      <alignment vertical="center"/>
    </xf>
    <xf borderId="23" fillId="2" fontId="3" numFmtId="0" xfId="0" applyAlignment="1" applyBorder="1" applyFont="1">
      <alignment horizontal="center"/>
    </xf>
    <xf borderId="11" fillId="3" fontId="7" numFmtId="0" xfId="0" applyAlignment="1" applyBorder="1" applyFont="1">
      <alignment horizontal="center" shrinkToFit="0" vertical="bottom" wrapText="1"/>
    </xf>
    <xf borderId="17" fillId="3" fontId="10" numFmtId="0" xfId="0" applyAlignment="1" applyBorder="1" applyFont="1">
      <alignment horizontal="center" shrinkToFit="0" vertical="bottom" wrapText="1"/>
    </xf>
    <xf borderId="17" fillId="3" fontId="10" numFmtId="0" xfId="0" applyAlignment="1" applyBorder="1" applyFont="1">
      <alignment horizontal="center" shrinkToFit="0" textRotation="90" vertical="bottom" wrapText="1"/>
    </xf>
    <xf borderId="17" fillId="2" fontId="3" numFmtId="0" xfId="0" applyAlignment="1" applyBorder="1" applyFont="1">
      <alignment vertical="bottom"/>
    </xf>
    <xf borderId="17" fillId="3" fontId="4" numFmtId="0" xfId="0" applyAlignment="1" applyBorder="1" applyFont="1">
      <alignment horizontal="center" shrinkToFit="0" vertical="bottom" wrapText="1"/>
    </xf>
    <xf borderId="17" fillId="4" fontId="36" numFmtId="0" xfId="0" applyAlignment="1" applyBorder="1" applyFont="1">
      <alignment horizontal="center" shrinkToFit="0" vertical="center" wrapText="1"/>
    </xf>
    <xf borderId="17" fillId="4" fontId="4" numFmtId="0" xfId="0" applyAlignment="1" applyBorder="1" applyFont="1">
      <alignment horizontal="center" shrinkToFit="0" vertical="bottom" wrapText="1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32</xdr:row>
      <xdr:rowOff>66675</xdr:rowOff>
    </xdr:from>
    <xdr:ext cx="352425" cy="161925"/>
    <xdr:sp>
      <xdr:nvSpPr>
        <xdr:cNvPr id="3" name="Shape 3"/>
        <xdr:cNvSpPr/>
      </xdr:nvSpPr>
      <xdr:spPr>
        <a:xfrm>
          <a:off x="5179313" y="3708563"/>
          <a:ext cx="333375" cy="1428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>
      <xdr:nvSpPr>
        <xdr:cNvPr id="4" name="Shape 4"/>
        <xdr:cNvSpPr/>
      </xdr:nvSpPr>
      <xdr:spPr>
        <a:xfrm>
          <a:off x="5217413" y="3679988"/>
          <a:ext cx="257175" cy="2000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>
      <xdr:nvSpPr>
        <xdr:cNvPr id="3" name="Shape 3"/>
        <xdr:cNvSpPr/>
      </xdr:nvSpPr>
      <xdr:spPr>
        <a:xfrm>
          <a:off x="5179313" y="3708563"/>
          <a:ext cx="333375" cy="1428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>
      <xdr:nvSpPr>
        <xdr:cNvPr id="3" name="Shape 3"/>
        <xdr:cNvSpPr/>
      </xdr:nvSpPr>
      <xdr:spPr>
        <a:xfrm>
          <a:off x="5179313" y="3708563"/>
          <a:ext cx="333375" cy="1428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>
      <xdr:nvSpPr>
        <xdr:cNvPr id="4" name="Shape 4"/>
        <xdr:cNvSpPr/>
      </xdr:nvSpPr>
      <xdr:spPr>
        <a:xfrm>
          <a:off x="5217413" y="3679988"/>
          <a:ext cx="257175" cy="2000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1333500</xdr:colOff>
      <xdr:row>96</xdr:row>
      <xdr:rowOff>276225</xdr:rowOff>
    </xdr:from>
    <xdr:ext cx="114300" cy="161925"/>
    <xdr:sp>
      <xdr:nvSpPr>
        <xdr:cNvPr id="5" name="Shape 5"/>
        <xdr:cNvSpPr/>
      </xdr:nvSpPr>
      <xdr:spPr>
        <a:xfrm>
          <a:off x="5298375" y="3708563"/>
          <a:ext cx="95250" cy="14287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1371600</xdr:colOff>
      <xdr:row>96</xdr:row>
      <xdr:rowOff>219075</xdr:rowOff>
    </xdr:from>
    <xdr:ext cx="114300" cy="152400"/>
    <xdr:sp>
      <xdr:nvSpPr>
        <xdr:cNvPr id="6" name="Shape 6"/>
        <xdr:cNvSpPr/>
      </xdr:nvSpPr>
      <xdr:spPr>
        <a:xfrm>
          <a:off x="5298375" y="3713325"/>
          <a:ext cx="95250" cy="13335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14"/>
    <col customWidth="1" min="3" max="3" width="8.71"/>
    <col customWidth="1" min="4" max="4" width="38.29"/>
    <col customWidth="1" min="5" max="5" width="13.29"/>
    <col customWidth="1" min="6" max="7" width="8.71"/>
    <col customWidth="1" min="8" max="8" width="10.86"/>
    <col customWidth="1" min="9" max="9" width="12.86"/>
    <col customWidth="1" min="10" max="15" width="8.71"/>
  </cols>
  <sheetData>
    <row r="1">
      <c r="D1" s="1" t="s">
        <v>0</v>
      </c>
      <c r="E1" s="2"/>
      <c r="F1" s="2"/>
      <c r="G1" s="2"/>
      <c r="H1" s="2"/>
      <c r="I1" s="2"/>
      <c r="J1" s="2"/>
      <c r="K1" s="2"/>
      <c r="L1" s="3"/>
    </row>
    <row r="3">
      <c r="B3" s="4"/>
      <c r="C3" s="5" t="s">
        <v>1</v>
      </c>
      <c r="D3" s="6" t="s">
        <v>2</v>
      </c>
      <c r="E3" s="7"/>
    </row>
    <row r="4">
      <c r="B4" s="8"/>
      <c r="C4" s="5" t="s">
        <v>3</v>
      </c>
      <c r="D4" s="6">
        <v>315004.0</v>
      </c>
      <c r="E4" s="7"/>
    </row>
    <row r="5">
      <c r="B5" s="4"/>
      <c r="C5" s="5" t="s">
        <v>4</v>
      </c>
      <c r="D5" s="9" t="s">
        <v>5</v>
      </c>
      <c r="E5" s="10"/>
    </row>
    <row r="6">
      <c r="B6" s="4"/>
      <c r="C6" s="5" t="s">
        <v>6</v>
      </c>
      <c r="D6" s="11" t="s">
        <v>7</v>
      </c>
      <c r="E6" s="7"/>
    </row>
    <row r="7">
      <c r="B7" s="12" t="s">
        <v>8</v>
      </c>
      <c r="C7" s="8"/>
      <c r="D7" s="8"/>
      <c r="E7" s="8"/>
    </row>
    <row r="8" ht="28.5" customHeight="1">
      <c r="B8" s="8"/>
      <c r="C8" s="13" t="s">
        <v>9</v>
      </c>
      <c r="D8" s="14" t="s">
        <v>10</v>
      </c>
      <c r="E8" s="15"/>
    </row>
    <row r="9" ht="28.5" customHeight="1">
      <c r="B9" s="8"/>
      <c r="C9" s="13" t="s">
        <v>11</v>
      </c>
      <c r="D9" s="14" t="s">
        <v>12</v>
      </c>
      <c r="E9" s="15"/>
    </row>
    <row r="10" ht="28.5" customHeight="1">
      <c r="B10" s="8"/>
      <c r="C10" s="13" t="s">
        <v>13</v>
      </c>
      <c r="D10" s="14" t="s">
        <v>14</v>
      </c>
      <c r="E10" s="15"/>
    </row>
    <row r="11" ht="28.5" customHeight="1">
      <c r="B11" s="8"/>
      <c r="C11" s="13" t="s">
        <v>15</v>
      </c>
      <c r="D11" s="14" t="s">
        <v>16</v>
      </c>
      <c r="E11" s="15"/>
    </row>
    <row r="12" ht="28.5" customHeight="1">
      <c r="B12" s="8"/>
      <c r="C12" s="13" t="s">
        <v>17</v>
      </c>
      <c r="D12" s="16"/>
      <c r="E12" s="15"/>
    </row>
    <row r="14">
      <c r="B14" s="17" t="s">
        <v>18</v>
      </c>
      <c r="C14" s="18"/>
      <c r="D14" s="19"/>
      <c r="E14" s="18"/>
      <c r="F14" s="18"/>
      <c r="G14" s="18"/>
      <c r="H14" s="18"/>
      <c r="I14" s="18"/>
      <c r="J14" s="18"/>
      <c r="K14" s="18"/>
      <c r="L14" s="18"/>
      <c r="M14" s="18"/>
    </row>
    <row r="15">
      <c r="B15" s="20" t="s">
        <v>19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>
      <c r="B16" s="21" t="s">
        <v>20</v>
      </c>
      <c r="C16" s="22" t="s">
        <v>21</v>
      </c>
      <c r="D16" s="23"/>
      <c r="E16" s="24" t="s">
        <v>22</v>
      </c>
      <c r="F16" s="25"/>
      <c r="G16" s="25"/>
      <c r="H16" s="25"/>
      <c r="I16" s="25"/>
      <c r="J16" s="25"/>
      <c r="K16" s="26"/>
      <c r="L16" s="27" t="s">
        <v>23</v>
      </c>
      <c r="M16" s="26"/>
    </row>
    <row r="17">
      <c r="B17" s="28"/>
      <c r="C17" s="29"/>
      <c r="D17" s="30"/>
      <c r="E17" s="31" t="s">
        <v>24</v>
      </c>
      <c r="F17" s="31" t="s">
        <v>25</v>
      </c>
      <c r="G17" s="31" t="s">
        <v>26</v>
      </c>
      <c r="H17" s="31" t="s">
        <v>27</v>
      </c>
      <c r="I17" s="31" t="s">
        <v>28</v>
      </c>
      <c r="J17" s="31" t="s">
        <v>29</v>
      </c>
      <c r="K17" s="31" t="s">
        <v>30</v>
      </c>
      <c r="L17" s="32" t="s">
        <v>31</v>
      </c>
      <c r="M17" s="32" t="s">
        <v>32</v>
      </c>
    </row>
    <row r="18" ht="122.25" customHeight="1">
      <c r="B18" s="33"/>
      <c r="C18" s="34"/>
      <c r="D18" s="35"/>
      <c r="E18" s="36" t="s">
        <v>33</v>
      </c>
      <c r="F18" s="36" t="s">
        <v>34</v>
      </c>
      <c r="G18" s="36" t="s">
        <v>35</v>
      </c>
      <c r="H18" s="36" t="s">
        <v>36</v>
      </c>
      <c r="I18" s="36" t="s">
        <v>37</v>
      </c>
      <c r="J18" s="36" t="s">
        <v>38</v>
      </c>
      <c r="K18" s="36" t="s">
        <v>39</v>
      </c>
      <c r="L18" s="37" t="s">
        <v>40</v>
      </c>
      <c r="M18" s="37" t="s">
        <v>41</v>
      </c>
    </row>
    <row r="19" ht="42.75" customHeight="1">
      <c r="B19" s="38">
        <v>1.0</v>
      </c>
      <c r="C19" s="39" t="str">
        <f t="shared" ref="C19:D19" si="1">C8</f>
        <v>CO1</v>
      </c>
      <c r="D19" s="40" t="str">
        <f t="shared" si="1"/>
        <v>Observe time/resource management and industrial safety aspects.</v>
      </c>
      <c r="E19" s="41"/>
      <c r="F19" s="41"/>
      <c r="G19" s="41"/>
      <c r="H19" s="41"/>
      <c r="I19" s="41"/>
      <c r="J19" s="42"/>
      <c r="K19" s="41"/>
      <c r="L19" s="43"/>
      <c r="M19" s="43"/>
    </row>
    <row r="20">
      <c r="B20" s="38">
        <v>2.0</v>
      </c>
      <c r="C20" s="39" t="str">
        <f t="shared" ref="C20:D20" si="2">C9</f>
        <v>CO2</v>
      </c>
      <c r="D20" s="44" t="str">
        <f t="shared" si="2"/>
        <v>Acquire professional experience of industry environment .</v>
      </c>
      <c r="E20" s="41"/>
      <c r="F20" s="41"/>
      <c r="G20" s="41"/>
      <c r="H20" s="41"/>
      <c r="I20" s="41"/>
      <c r="J20" s="42"/>
      <c r="K20" s="41"/>
      <c r="L20" s="43"/>
      <c r="M20" s="43"/>
    </row>
    <row r="21" ht="15.75" customHeight="1">
      <c r="B21" s="38">
        <v>3.0</v>
      </c>
      <c r="C21" s="39" t="str">
        <f t="shared" ref="C21:D21" si="3">C10</f>
        <v>CO3</v>
      </c>
      <c r="D21" s="44" t="str">
        <f t="shared" si="3"/>
        <v>Establish effective communication in working environment.</v>
      </c>
      <c r="E21" s="41"/>
      <c r="F21" s="41"/>
      <c r="G21" s="41"/>
      <c r="H21" s="41"/>
      <c r="I21" s="41"/>
      <c r="J21" s="42"/>
      <c r="K21" s="41"/>
      <c r="L21" s="43"/>
      <c r="M21" s="43"/>
    </row>
    <row r="22" ht="15.75" customHeight="1">
      <c r="B22" s="38">
        <v>4.0</v>
      </c>
      <c r="C22" s="39" t="str">
        <f t="shared" ref="C22:D22" si="4">C11</f>
        <v>CO4</v>
      </c>
      <c r="D22" s="44" t="str">
        <f t="shared" si="4"/>
        <v>Prepare report of assigned activities and accomplishments.</v>
      </c>
      <c r="E22" s="41"/>
      <c r="F22" s="41"/>
      <c r="G22" s="41"/>
      <c r="H22" s="41"/>
      <c r="I22" s="41"/>
      <c r="J22" s="42"/>
      <c r="K22" s="41"/>
      <c r="L22" s="43"/>
      <c r="M22" s="43"/>
    </row>
    <row r="23" ht="15.75" customHeight="1">
      <c r="B23" s="38">
        <v>5.0</v>
      </c>
      <c r="C23" s="39" t="str">
        <f t="shared" ref="C23:D23" si="5">C12</f>
        <v>CO5</v>
      </c>
      <c r="D23" s="44" t="str">
        <f t="shared" si="5"/>
        <v/>
      </c>
      <c r="E23" s="41"/>
      <c r="F23" s="41"/>
      <c r="G23" s="41"/>
      <c r="H23" s="41"/>
      <c r="I23" s="41"/>
      <c r="J23" s="42"/>
      <c r="K23" s="41"/>
      <c r="L23" s="45"/>
      <c r="M23" s="45"/>
    </row>
    <row r="24" ht="15.75" customHeight="1">
      <c r="B24" s="46" t="s">
        <v>42</v>
      </c>
      <c r="C24" s="25"/>
      <c r="D24" s="26"/>
      <c r="E24" s="39">
        <f t="shared" ref="E24:K24" si="6">IFERROR(AVERAGE(E19:E23),2)</f>
        <v>2</v>
      </c>
      <c r="F24" s="39">
        <f t="shared" si="6"/>
        <v>2</v>
      </c>
      <c r="G24" s="39">
        <f t="shared" si="6"/>
        <v>2</v>
      </c>
      <c r="H24" s="39">
        <f t="shared" si="6"/>
        <v>2</v>
      </c>
      <c r="I24" s="39">
        <f t="shared" si="6"/>
        <v>2</v>
      </c>
      <c r="J24" s="39">
        <f t="shared" si="6"/>
        <v>2</v>
      </c>
      <c r="K24" s="39">
        <f t="shared" si="6"/>
        <v>2</v>
      </c>
      <c r="L24" s="47">
        <f t="shared" ref="L24:M24" si="7">IFERROR(AVERAGE(L19:L23),2)</f>
        <v>2</v>
      </c>
      <c r="M24" s="47">
        <f t="shared" si="7"/>
        <v>2</v>
      </c>
    </row>
    <row r="25" ht="15.75" customHeight="1">
      <c r="B25" s="48" t="s">
        <v>43</v>
      </c>
      <c r="C25" s="25"/>
      <c r="D25" s="26"/>
      <c r="E25" s="49">
        <f t="shared" ref="E25:M25" si="8">E24</f>
        <v>2</v>
      </c>
      <c r="F25" s="49">
        <f t="shared" si="8"/>
        <v>2</v>
      </c>
      <c r="G25" s="49">
        <f t="shared" si="8"/>
        <v>2</v>
      </c>
      <c r="H25" s="50">
        <f t="shared" si="8"/>
        <v>2</v>
      </c>
      <c r="I25" s="50">
        <f t="shared" si="8"/>
        <v>2</v>
      </c>
      <c r="J25" s="49">
        <f t="shared" si="8"/>
        <v>2</v>
      </c>
      <c r="K25" s="49">
        <f t="shared" si="8"/>
        <v>2</v>
      </c>
      <c r="L25" s="51">
        <f t="shared" si="8"/>
        <v>2</v>
      </c>
      <c r="M25" s="51">
        <f t="shared" si="8"/>
        <v>2</v>
      </c>
    </row>
    <row r="26" ht="15.75" customHeight="1"/>
    <row r="27" ht="15.75" customHeight="1"/>
    <row r="28" ht="15.75" customHeight="1">
      <c r="D28" s="52" t="s">
        <v>44</v>
      </c>
      <c r="J28" s="53" t="s">
        <v>45</v>
      </c>
    </row>
    <row r="29" ht="15.75" customHeight="1">
      <c r="A29" s="54"/>
      <c r="B29" s="54"/>
      <c r="C29" s="55" t="s">
        <v>46</v>
      </c>
      <c r="D29" s="10"/>
      <c r="E29" s="7"/>
      <c r="F29" s="54"/>
      <c r="G29" s="54"/>
      <c r="H29" s="54"/>
      <c r="I29" s="54"/>
      <c r="J29" s="56" t="s">
        <v>46</v>
      </c>
      <c r="K29" s="10"/>
      <c r="L29" s="10"/>
      <c r="M29" s="10"/>
      <c r="N29" s="7"/>
      <c r="O29" s="54"/>
      <c r="P29" s="54"/>
      <c r="Q29" s="54"/>
      <c r="R29" s="54"/>
      <c r="S29" s="54"/>
      <c r="T29" s="54"/>
      <c r="U29" s="54"/>
      <c r="V29" s="54"/>
      <c r="W29" s="54"/>
    </row>
    <row r="30" ht="15.75" customHeight="1"/>
    <row r="31" ht="15.75" customHeight="1"/>
    <row r="32" ht="15.75" customHeight="1"/>
    <row r="33" ht="28.5" customHeight="1">
      <c r="B33" s="57" t="s">
        <v>47</v>
      </c>
      <c r="C33" s="41"/>
      <c r="D33" s="58" t="s">
        <v>48</v>
      </c>
    </row>
    <row r="34" ht="47.25" customHeight="1">
      <c r="B34" s="59"/>
      <c r="C34" s="49"/>
      <c r="D34" s="60" t="s">
        <v>49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11:E11"/>
    <mergeCell ref="D12:E12"/>
    <mergeCell ref="B16:B18"/>
    <mergeCell ref="C16:D18"/>
    <mergeCell ref="E16:K16"/>
    <mergeCell ref="L16:M16"/>
    <mergeCell ref="B33:B34"/>
    <mergeCell ref="D33:E33"/>
    <mergeCell ref="D34:E34"/>
    <mergeCell ref="J28:N28"/>
    <mergeCell ref="C29:E29"/>
    <mergeCell ref="J29:N29"/>
    <mergeCell ref="B24:D24"/>
    <mergeCell ref="B25:D25"/>
    <mergeCell ref="D3:E3"/>
    <mergeCell ref="D4:E4"/>
    <mergeCell ref="D5:E5"/>
    <mergeCell ref="D6:E6"/>
    <mergeCell ref="D8:E8"/>
    <mergeCell ref="D9:E9"/>
    <mergeCell ref="D10:E10"/>
  </mergeCells>
  <printOptions/>
  <pageMargins bottom="0.75" footer="0.0" header="0.0" left="0.7" right="0.7" top="0.75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8.86"/>
    <col customWidth="1" min="3" max="3" width="42.57"/>
    <col customWidth="1" min="4" max="4" width="20.43"/>
    <col customWidth="1" min="5" max="5" width="10.29"/>
    <col customWidth="1" min="6" max="6" width="9.29"/>
    <col customWidth="1" min="7" max="7" width="11.43"/>
    <col customWidth="1" min="8" max="8" width="9.86"/>
    <col customWidth="1" min="9" max="9" width="11.86"/>
    <col customWidth="1" min="10" max="10" width="10.71"/>
    <col customWidth="1" min="11" max="11" width="11.57"/>
    <col customWidth="1" min="12" max="15" width="5.43"/>
  </cols>
  <sheetData>
    <row r="1">
      <c r="A1" s="61" t="s">
        <v>50</v>
      </c>
      <c r="L1" s="8"/>
      <c r="M1" s="8"/>
      <c r="N1" s="8"/>
      <c r="O1" s="8"/>
    </row>
    <row r="2">
      <c r="A2" s="61" t="s">
        <v>51</v>
      </c>
      <c r="L2" s="8"/>
      <c r="M2" s="8"/>
      <c r="N2" s="8"/>
      <c r="O2" s="8"/>
    </row>
    <row r="3">
      <c r="A3" s="8"/>
      <c r="B3" s="5" t="s">
        <v>1</v>
      </c>
      <c r="C3" s="62" t="str">
        <f>'PO Set Target attain level'!D3</f>
        <v>INTERNSHIP(12 WEEKS)</v>
      </c>
      <c r="D3" s="15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B4" s="5" t="s">
        <v>3</v>
      </c>
      <c r="C4" s="62">
        <f>'PO Set Target attain level'!D4</f>
        <v>315004</v>
      </c>
      <c r="D4" s="15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B5" s="5" t="s">
        <v>52</v>
      </c>
      <c r="C5" s="62" t="str">
        <f>'PO Set Target attain level'!D5</f>
        <v>5th Sem Co5K K-Scheme</v>
      </c>
      <c r="D5" s="15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8"/>
      <c r="B6" s="5" t="s">
        <v>53</v>
      </c>
      <c r="C6" s="62" t="str">
        <f>'PO Set Target attain level'!D6</f>
        <v>2025-26</v>
      </c>
      <c r="D6" s="15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25.5" customHeight="1">
      <c r="A8" s="63" t="s">
        <v>20</v>
      </c>
      <c r="B8" s="64" t="s">
        <v>54</v>
      </c>
      <c r="C8" s="65" t="s">
        <v>55</v>
      </c>
      <c r="D8" s="66" t="s">
        <v>56</v>
      </c>
      <c r="E8" s="67" t="s">
        <v>57</v>
      </c>
      <c r="F8" s="68" t="s">
        <v>58</v>
      </c>
      <c r="G8" s="69" t="s">
        <v>59</v>
      </c>
      <c r="H8" s="70" t="s">
        <v>60</v>
      </c>
      <c r="I8" s="71" t="s">
        <v>61</v>
      </c>
      <c r="J8" s="72" t="s">
        <v>62</v>
      </c>
      <c r="K8" s="72" t="s">
        <v>63</v>
      </c>
      <c r="L8" s="8"/>
      <c r="M8" s="8"/>
      <c r="N8" s="8"/>
      <c r="O8" s="8"/>
    </row>
    <row r="9" ht="18.75" customHeight="1">
      <c r="A9" s="73"/>
      <c r="B9" s="73"/>
      <c r="C9" s="73"/>
      <c r="D9" s="73"/>
      <c r="E9" s="73"/>
      <c r="F9" s="73"/>
      <c r="G9" s="73"/>
      <c r="H9" s="73"/>
      <c r="I9" s="73"/>
      <c r="J9" s="74" t="s">
        <v>64</v>
      </c>
      <c r="K9" s="75"/>
      <c r="L9" s="8"/>
      <c r="M9" s="8"/>
      <c r="N9" s="8"/>
      <c r="O9" s="8"/>
    </row>
    <row r="10" ht="23.25" customHeight="1">
      <c r="A10" s="73"/>
      <c r="B10" s="73"/>
      <c r="C10" s="73"/>
      <c r="D10" s="73"/>
      <c r="E10" s="73"/>
      <c r="F10" s="73"/>
      <c r="G10" s="73"/>
      <c r="H10" s="73"/>
      <c r="I10" s="73"/>
      <c r="J10" s="76"/>
      <c r="K10" s="59"/>
      <c r="L10" s="8"/>
      <c r="M10" s="8"/>
      <c r="N10" s="8"/>
      <c r="O10" s="8"/>
    </row>
    <row r="11" ht="14.25" customHeight="1">
      <c r="A11" s="73"/>
      <c r="B11" s="73"/>
      <c r="C11" s="73"/>
      <c r="D11" s="77"/>
      <c r="E11" s="77"/>
      <c r="F11" s="77"/>
      <c r="G11" s="77"/>
      <c r="H11" s="77"/>
      <c r="I11" s="77"/>
      <c r="J11" s="78"/>
      <c r="K11" s="79"/>
      <c r="L11" s="8"/>
      <c r="M11" s="8"/>
      <c r="N11" s="8"/>
      <c r="O11" s="8"/>
    </row>
    <row r="12" ht="18.75" customHeight="1">
      <c r="A12" s="77"/>
      <c r="B12" s="77"/>
      <c r="C12" s="77"/>
      <c r="D12" s="80">
        <v>8.0</v>
      </c>
      <c r="E12" s="81">
        <v>12.0</v>
      </c>
      <c r="F12" s="81">
        <v>8.0</v>
      </c>
      <c r="G12" s="81">
        <v>8.0</v>
      </c>
      <c r="H12" s="82">
        <v>12.0</v>
      </c>
      <c r="I12" s="83">
        <v>8.0</v>
      </c>
      <c r="J12" s="84">
        <f t="shared" ref="J12:J95" si="1">D12+E12+F12</f>
        <v>28</v>
      </c>
      <c r="K12" s="84">
        <f t="shared" ref="K12:K95" si="2">G12+H12+I12</f>
        <v>28</v>
      </c>
      <c r="L12" s="8"/>
      <c r="M12" s="8"/>
      <c r="N12" s="8"/>
      <c r="O12" s="8"/>
    </row>
    <row r="13">
      <c r="A13" s="85">
        <v>1.0</v>
      </c>
      <c r="B13" s="86">
        <v>2.201180008E9</v>
      </c>
      <c r="C13" s="87" t="s">
        <v>65</v>
      </c>
      <c r="D13" s="88"/>
      <c r="E13" s="88"/>
      <c r="F13" s="88"/>
      <c r="G13" s="88"/>
      <c r="H13" s="88"/>
      <c r="I13" s="88"/>
      <c r="J13" s="84">
        <f t="shared" si="1"/>
        <v>0</v>
      </c>
      <c r="K13" s="84">
        <f t="shared" si="2"/>
        <v>0</v>
      </c>
      <c r="L13" s="8"/>
      <c r="M13" s="8"/>
      <c r="N13" s="8"/>
      <c r="O13" s="8"/>
    </row>
    <row r="14">
      <c r="A14" s="85">
        <v>2.0</v>
      </c>
      <c r="B14" s="86">
        <v>2.3510250191E10</v>
      </c>
      <c r="C14" s="87" t="s">
        <v>66</v>
      </c>
      <c r="D14" s="88"/>
      <c r="E14" s="88"/>
      <c r="F14" s="88"/>
      <c r="G14" s="88"/>
      <c r="H14" s="88"/>
      <c r="I14" s="88"/>
      <c r="J14" s="84">
        <f t="shared" si="1"/>
        <v>0</v>
      </c>
      <c r="K14" s="84">
        <f t="shared" si="2"/>
        <v>0</v>
      </c>
      <c r="L14" s="8"/>
      <c r="M14" s="8"/>
      <c r="N14" s="8"/>
      <c r="O14" s="8"/>
    </row>
    <row r="15">
      <c r="A15" s="85">
        <v>3.0</v>
      </c>
      <c r="B15" s="86">
        <v>2.3510250192E10</v>
      </c>
      <c r="C15" s="87" t="s">
        <v>67</v>
      </c>
      <c r="D15" s="88"/>
      <c r="E15" s="88"/>
      <c r="F15" s="88"/>
      <c r="G15" s="88"/>
      <c r="H15" s="88"/>
      <c r="I15" s="88"/>
      <c r="J15" s="84">
        <f t="shared" si="1"/>
        <v>0</v>
      </c>
      <c r="K15" s="84">
        <f t="shared" si="2"/>
        <v>0</v>
      </c>
      <c r="L15" s="8"/>
      <c r="M15" s="8"/>
      <c r="N15" s="8"/>
      <c r="O15" s="8"/>
    </row>
    <row r="16">
      <c r="A16" s="85">
        <v>4.0</v>
      </c>
      <c r="B16" s="86">
        <v>2.3510250193E10</v>
      </c>
      <c r="C16" s="87" t="s">
        <v>68</v>
      </c>
      <c r="D16" s="88"/>
      <c r="E16" s="88"/>
      <c r="F16" s="88"/>
      <c r="G16" s="88"/>
      <c r="H16" s="88"/>
      <c r="I16" s="88"/>
      <c r="J16" s="84">
        <f t="shared" si="1"/>
        <v>0</v>
      </c>
      <c r="K16" s="84">
        <f t="shared" si="2"/>
        <v>0</v>
      </c>
      <c r="L16" s="8"/>
      <c r="M16" s="8"/>
      <c r="N16" s="8"/>
      <c r="O16" s="8"/>
    </row>
    <row r="17">
      <c r="A17" s="85">
        <v>5.0</v>
      </c>
      <c r="B17" s="86">
        <v>2.3510250194E10</v>
      </c>
      <c r="C17" s="87" t="s">
        <v>69</v>
      </c>
      <c r="D17" s="88"/>
      <c r="E17" s="88"/>
      <c r="F17" s="88"/>
      <c r="G17" s="88"/>
      <c r="H17" s="88"/>
      <c r="I17" s="88"/>
      <c r="J17" s="84">
        <f t="shared" si="1"/>
        <v>0</v>
      </c>
      <c r="K17" s="84">
        <f t="shared" si="2"/>
        <v>0</v>
      </c>
      <c r="L17" s="8"/>
      <c r="M17" s="8"/>
      <c r="N17" s="8"/>
      <c r="O17" s="8"/>
    </row>
    <row r="18">
      <c r="A18" s="85">
        <v>6.0</v>
      </c>
      <c r="B18" s="86">
        <v>2.3510250195E10</v>
      </c>
      <c r="C18" s="87" t="s">
        <v>70</v>
      </c>
      <c r="D18" s="88"/>
      <c r="E18" s="88"/>
      <c r="F18" s="88"/>
      <c r="G18" s="88"/>
      <c r="H18" s="88"/>
      <c r="I18" s="88"/>
      <c r="J18" s="84">
        <f t="shared" si="1"/>
        <v>0</v>
      </c>
      <c r="K18" s="84">
        <f t="shared" si="2"/>
        <v>0</v>
      </c>
      <c r="L18" s="8"/>
      <c r="M18" s="8"/>
      <c r="N18" s="8"/>
      <c r="O18" s="8"/>
    </row>
    <row r="19">
      <c r="A19" s="85">
        <v>7.0</v>
      </c>
      <c r="B19" s="86">
        <v>2.3510250196E10</v>
      </c>
      <c r="C19" s="87" t="s">
        <v>71</v>
      </c>
      <c r="D19" s="88"/>
      <c r="E19" s="88"/>
      <c r="F19" s="88"/>
      <c r="G19" s="88"/>
      <c r="H19" s="88"/>
      <c r="I19" s="88"/>
      <c r="J19" s="84">
        <f t="shared" si="1"/>
        <v>0</v>
      </c>
      <c r="K19" s="84">
        <f t="shared" si="2"/>
        <v>0</v>
      </c>
      <c r="L19" s="8"/>
      <c r="M19" s="8"/>
      <c r="N19" s="8"/>
      <c r="O19" s="8"/>
    </row>
    <row r="20">
      <c r="A20" s="85">
        <v>8.0</v>
      </c>
      <c r="B20" s="86">
        <v>2.3510250197E10</v>
      </c>
      <c r="C20" s="87" t="s">
        <v>72</v>
      </c>
      <c r="D20" s="88"/>
      <c r="E20" s="88"/>
      <c r="F20" s="88"/>
      <c r="G20" s="88"/>
      <c r="H20" s="88"/>
      <c r="I20" s="88"/>
      <c r="J20" s="84">
        <f t="shared" si="1"/>
        <v>0</v>
      </c>
      <c r="K20" s="84">
        <f t="shared" si="2"/>
        <v>0</v>
      </c>
      <c r="L20" s="8"/>
      <c r="M20" s="8"/>
      <c r="N20" s="8"/>
      <c r="O20" s="8"/>
    </row>
    <row r="21" ht="15.75" customHeight="1">
      <c r="A21" s="85">
        <v>9.0</v>
      </c>
      <c r="B21" s="86">
        <v>2.3510250198E10</v>
      </c>
      <c r="C21" s="87" t="s">
        <v>73</v>
      </c>
      <c r="D21" s="88"/>
      <c r="E21" s="88"/>
      <c r="F21" s="88"/>
      <c r="G21" s="88"/>
      <c r="H21" s="88"/>
      <c r="I21" s="88"/>
      <c r="J21" s="84">
        <f t="shared" si="1"/>
        <v>0</v>
      </c>
      <c r="K21" s="84">
        <f t="shared" si="2"/>
        <v>0</v>
      </c>
      <c r="L21" s="8"/>
      <c r="M21" s="8"/>
      <c r="N21" s="8"/>
      <c r="O21" s="8"/>
    </row>
    <row r="22" ht="15.75" customHeight="1">
      <c r="A22" s="85">
        <v>10.0</v>
      </c>
      <c r="B22" s="86">
        <v>2.3510250199E10</v>
      </c>
      <c r="C22" s="87" t="s">
        <v>74</v>
      </c>
      <c r="D22" s="88"/>
      <c r="E22" s="88"/>
      <c r="F22" s="88"/>
      <c r="G22" s="88"/>
      <c r="H22" s="88"/>
      <c r="I22" s="88"/>
      <c r="J22" s="84">
        <f t="shared" si="1"/>
        <v>0</v>
      </c>
      <c r="K22" s="84">
        <f t="shared" si="2"/>
        <v>0</v>
      </c>
      <c r="L22" s="8"/>
      <c r="M22" s="8"/>
      <c r="N22" s="8"/>
      <c r="O22" s="8"/>
    </row>
    <row r="23" ht="15.75" customHeight="1">
      <c r="A23" s="85">
        <v>11.0</v>
      </c>
      <c r="B23" s="86">
        <v>2.35102502E10</v>
      </c>
      <c r="C23" s="87" t="s">
        <v>75</v>
      </c>
      <c r="D23" s="88"/>
      <c r="E23" s="88"/>
      <c r="F23" s="88"/>
      <c r="G23" s="88"/>
      <c r="H23" s="88"/>
      <c r="I23" s="88"/>
      <c r="J23" s="84">
        <f t="shared" si="1"/>
        <v>0</v>
      </c>
      <c r="K23" s="84">
        <f t="shared" si="2"/>
        <v>0</v>
      </c>
      <c r="L23" s="8"/>
      <c r="M23" s="8"/>
      <c r="N23" s="8"/>
      <c r="O23" s="8"/>
    </row>
    <row r="24" ht="15.75" customHeight="1">
      <c r="A24" s="85">
        <v>12.0</v>
      </c>
      <c r="B24" s="86">
        <v>2.3510250201E10</v>
      </c>
      <c r="C24" s="87" t="s">
        <v>76</v>
      </c>
      <c r="D24" s="88"/>
      <c r="E24" s="88"/>
      <c r="F24" s="88"/>
      <c r="G24" s="88"/>
      <c r="H24" s="88"/>
      <c r="I24" s="88"/>
      <c r="J24" s="84">
        <f t="shared" si="1"/>
        <v>0</v>
      </c>
      <c r="K24" s="84">
        <f t="shared" si="2"/>
        <v>0</v>
      </c>
      <c r="L24" s="8"/>
      <c r="M24" s="8"/>
      <c r="N24" s="8"/>
      <c r="O24" s="8"/>
    </row>
    <row r="25" ht="15.75" customHeight="1">
      <c r="A25" s="85">
        <v>13.0</v>
      </c>
      <c r="B25" s="86">
        <v>2.3510250202E10</v>
      </c>
      <c r="C25" s="87" t="s">
        <v>77</v>
      </c>
      <c r="D25" s="88"/>
      <c r="E25" s="88"/>
      <c r="F25" s="88"/>
      <c r="G25" s="88"/>
      <c r="H25" s="88"/>
      <c r="I25" s="88"/>
      <c r="J25" s="84">
        <f t="shared" si="1"/>
        <v>0</v>
      </c>
      <c r="K25" s="84">
        <f t="shared" si="2"/>
        <v>0</v>
      </c>
      <c r="L25" s="8"/>
      <c r="M25" s="8"/>
      <c r="N25" s="8"/>
      <c r="O25" s="8"/>
    </row>
    <row r="26" ht="15.75" customHeight="1">
      <c r="A26" s="85">
        <v>14.0</v>
      </c>
      <c r="B26" s="86">
        <v>2.3510250203E10</v>
      </c>
      <c r="C26" s="87" t="s">
        <v>78</v>
      </c>
      <c r="D26" s="88"/>
      <c r="E26" s="88"/>
      <c r="F26" s="88"/>
      <c r="G26" s="88"/>
      <c r="H26" s="88"/>
      <c r="I26" s="88"/>
      <c r="J26" s="84">
        <f t="shared" si="1"/>
        <v>0</v>
      </c>
      <c r="K26" s="84">
        <f t="shared" si="2"/>
        <v>0</v>
      </c>
      <c r="L26" s="8"/>
      <c r="M26" s="8"/>
      <c r="N26" s="8"/>
      <c r="O26" s="8"/>
    </row>
    <row r="27" ht="15.75" customHeight="1">
      <c r="A27" s="85">
        <v>15.0</v>
      </c>
      <c r="B27" s="86">
        <v>2.3510250204E10</v>
      </c>
      <c r="C27" s="87" t="s">
        <v>79</v>
      </c>
      <c r="D27" s="88"/>
      <c r="E27" s="88"/>
      <c r="F27" s="88"/>
      <c r="G27" s="88"/>
      <c r="H27" s="88"/>
      <c r="I27" s="88"/>
      <c r="J27" s="84">
        <f t="shared" si="1"/>
        <v>0</v>
      </c>
      <c r="K27" s="84">
        <f t="shared" si="2"/>
        <v>0</v>
      </c>
      <c r="L27" s="8"/>
      <c r="M27" s="8"/>
      <c r="N27" s="8"/>
      <c r="O27" s="8"/>
    </row>
    <row r="28" ht="15.75" customHeight="1">
      <c r="A28" s="85">
        <v>16.0</v>
      </c>
      <c r="B28" s="86">
        <v>2.3510250205E10</v>
      </c>
      <c r="C28" s="87" t="s">
        <v>80</v>
      </c>
      <c r="D28" s="88"/>
      <c r="E28" s="88"/>
      <c r="F28" s="88"/>
      <c r="G28" s="88"/>
      <c r="H28" s="88"/>
      <c r="I28" s="88"/>
      <c r="J28" s="84">
        <f t="shared" si="1"/>
        <v>0</v>
      </c>
      <c r="K28" s="84">
        <f t="shared" si="2"/>
        <v>0</v>
      </c>
      <c r="L28" s="8"/>
      <c r="M28" s="8"/>
      <c r="N28" s="8"/>
      <c r="O28" s="8"/>
    </row>
    <row r="29" ht="15.75" customHeight="1">
      <c r="A29" s="85">
        <v>17.0</v>
      </c>
      <c r="B29" s="86">
        <v>2.3510250207E10</v>
      </c>
      <c r="C29" s="87" t="s">
        <v>81</v>
      </c>
      <c r="D29" s="88"/>
      <c r="E29" s="88"/>
      <c r="F29" s="88"/>
      <c r="G29" s="88"/>
      <c r="H29" s="88"/>
      <c r="I29" s="88"/>
      <c r="J29" s="84">
        <f t="shared" si="1"/>
        <v>0</v>
      </c>
      <c r="K29" s="84">
        <f t="shared" si="2"/>
        <v>0</v>
      </c>
      <c r="L29" s="8"/>
      <c r="M29" s="8"/>
      <c r="N29" s="8"/>
      <c r="O29" s="8"/>
    </row>
    <row r="30" ht="15.75" customHeight="1">
      <c r="A30" s="85">
        <v>18.0</v>
      </c>
      <c r="B30" s="86">
        <v>2.3510250208E10</v>
      </c>
      <c r="C30" s="87" t="s">
        <v>82</v>
      </c>
      <c r="D30" s="88"/>
      <c r="E30" s="88"/>
      <c r="F30" s="88"/>
      <c r="G30" s="88"/>
      <c r="H30" s="88"/>
      <c r="I30" s="88"/>
      <c r="J30" s="84">
        <f t="shared" si="1"/>
        <v>0</v>
      </c>
      <c r="K30" s="84">
        <f t="shared" si="2"/>
        <v>0</v>
      </c>
      <c r="L30" s="8"/>
      <c r="M30" s="8"/>
      <c r="N30" s="8"/>
      <c r="O30" s="8"/>
    </row>
    <row r="31" ht="15.75" customHeight="1">
      <c r="A31" s="85">
        <v>19.0</v>
      </c>
      <c r="B31" s="86">
        <v>2.3510250209E10</v>
      </c>
      <c r="C31" s="87" t="s">
        <v>83</v>
      </c>
      <c r="D31" s="88"/>
      <c r="E31" s="88"/>
      <c r="F31" s="88"/>
      <c r="G31" s="88"/>
      <c r="H31" s="88"/>
      <c r="I31" s="88"/>
      <c r="J31" s="84">
        <f t="shared" si="1"/>
        <v>0</v>
      </c>
      <c r="K31" s="84">
        <f t="shared" si="2"/>
        <v>0</v>
      </c>
      <c r="L31" s="8"/>
      <c r="M31" s="8"/>
      <c r="N31" s="8"/>
      <c r="O31" s="8"/>
    </row>
    <row r="32" ht="15.75" customHeight="1">
      <c r="A32" s="85">
        <v>20.0</v>
      </c>
      <c r="B32" s="86">
        <v>2.351025021E10</v>
      </c>
      <c r="C32" s="87" t="s">
        <v>84</v>
      </c>
      <c r="D32" s="88"/>
      <c r="E32" s="88"/>
      <c r="F32" s="88"/>
      <c r="G32" s="88"/>
      <c r="H32" s="88"/>
      <c r="I32" s="88"/>
      <c r="J32" s="84">
        <f t="shared" si="1"/>
        <v>0</v>
      </c>
      <c r="K32" s="84">
        <f t="shared" si="2"/>
        <v>0</v>
      </c>
      <c r="L32" s="8"/>
      <c r="M32" s="8"/>
      <c r="N32" s="8"/>
      <c r="O32" s="8"/>
    </row>
    <row r="33" ht="15.75" customHeight="1">
      <c r="A33" s="85">
        <v>21.0</v>
      </c>
      <c r="B33" s="86">
        <v>2.3510250212E10</v>
      </c>
      <c r="C33" s="87" t="s">
        <v>85</v>
      </c>
      <c r="D33" s="88"/>
      <c r="E33" s="88"/>
      <c r="F33" s="88"/>
      <c r="G33" s="88"/>
      <c r="H33" s="88"/>
      <c r="I33" s="88"/>
      <c r="J33" s="84">
        <f t="shared" si="1"/>
        <v>0</v>
      </c>
      <c r="K33" s="84">
        <f t="shared" si="2"/>
        <v>0</v>
      </c>
      <c r="L33" s="8"/>
      <c r="M33" s="8"/>
      <c r="N33" s="8"/>
      <c r="O33" s="8"/>
    </row>
    <row r="34" ht="15.75" customHeight="1">
      <c r="A34" s="85">
        <v>22.0</v>
      </c>
      <c r="B34" s="86">
        <v>2.3510250215E10</v>
      </c>
      <c r="C34" s="87" t="s">
        <v>86</v>
      </c>
      <c r="D34" s="88"/>
      <c r="E34" s="88"/>
      <c r="F34" s="88"/>
      <c r="G34" s="88"/>
      <c r="H34" s="88"/>
      <c r="I34" s="88"/>
      <c r="J34" s="84">
        <f t="shared" si="1"/>
        <v>0</v>
      </c>
      <c r="K34" s="84">
        <f t="shared" si="2"/>
        <v>0</v>
      </c>
      <c r="L34" s="8"/>
      <c r="M34" s="8"/>
      <c r="N34" s="8"/>
      <c r="O34" s="8"/>
    </row>
    <row r="35" ht="15.75" customHeight="1">
      <c r="A35" s="85">
        <v>23.0</v>
      </c>
      <c r="B35" s="86">
        <v>2.3510250216E10</v>
      </c>
      <c r="C35" s="87" t="s">
        <v>87</v>
      </c>
      <c r="D35" s="88"/>
      <c r="E35" s="88"/>
      <c r="F35" s="88"/>
      <c r="G35" s="88"/>
      <c r="H35" s="88"/>
      <c r="I35" s="88"/>
      <c r="J35" s="84">
        <f t="shared" si="1"/>
        <v>0</v>
      </c>
      <c r="K35" s="84">
        <f t="shared" si="2"/>
        <v>0</v>
      </c>
      <c r="L35" s="8"/>
      <c r="M35" s="8"/>
      <c r="N35" s="8"/>
      <c r="O35" s="8"/>
    </row>
    <row r="36" ht="15.75" customHeight="1">
      <c r="A36" s="85">
        <v>24.0</v>
      </c>
      <c r="B36" s="86">
        <v>2.3510250217E10</v>
      </c>
      <c r="C36" s="87" t="s">
        <v>88</v>
      </c>
      <c r="D36" s="88"/>
      <c r="E36" s="88"/>
      <c r="F36" s="88"/>
      <c r="G36" s="88"/>
      <c r="H36" s="88"/>
      <c r="I36" s="88"/>
      <c r="J36" s="84">
        <f t="shared" si="1"/>
        <v>0</v>
      </c>
      <c r="K36" s="84">
        <f t="shared" si="2"/>
        <v>0</v>
      </c>
      <c r="L36" s="8"/>
      <c r="M36" s="8"/>
      <c r="N36" s="8"/>
      <c r="O36" s="8"/>
    </row>
    <row r="37" ht="15.75" customHeight="1">
      <c r="A37" s="85">
        <v>25.0</v>
      </c>
      <c r="B37" s="86">
        <v>2.3510250218E10</v>
      </c>
      <c r="C37" s="87" t="s">
        <v>89</v>
      </c>
      <c r="D37" s="88"/>
      <c r="E37" s="88"/>
      <c r="F37" s="88"/>
      <c r="G37" s="88"/>
      <c r="H37" s="88"/>
      <c r="I37" s="88"/>
      <c r="J37" s="84">
        <f t="shared" si="1"/>
        <v>0</v>
      </c>
      <c r="K37" s="84">
        <f t="shared" si="2"/>
        <v>0</v>
      </c>
      <c r="L37" s="8"/>
      <c r="M37" s="8"/>
      <c r="N37" s="8"/>
      <c r="O37" s="8"/>
    </row>
    <row r="38" ht="15.75" customHeight="1">
      <c r="A38" s="85">
        <v>26.0</v>
      </c>
      <c r="B38" s="86">
        <v>2.3510250219E10</v>
      </c>
      <c r="C38" s="87" t="s">
        <v>90</v>
      </c>
      <c r="D38" s="88"/>
      <c r="E38" s="88"/>
      <c r="F38" s="88"/>
      <c r="G38" s="88"/>
      <c r="H38" s="88"/>
      <c r="I38" s="88"/>
      <c r="J38" s="84">
        <f t="shared" si="1"/>
        <v>0</v>
      </c>
      <c r="K38" s="84">
        <f t="shared" si="2"/>
        <v>0</v>
      </c>
      <c r="L38" s="8"/>
      <c r="M38" s="8"/>
      <c r="N38" s="8"/>
      <c r="O38" s="8"/>
    </row>
    <row r="39" ht="15.75" customHeight="1">
      <c r="A39" s="85">
        <v>27.0</v>
      </c>
      <c r="B39" s="86">
        <v>2.3510250221E10</v>
      </c>
      <c r="C39" s="87" t="s">
        <v>91</v>
      </c>
      <c r="D39" s="88"/>
      <c r="E39" s="88"/>
      <c r="F39" s="88"/>
      <c r="G39" s="88"/>
      <c r="H39" s="88"/>
      <c r="I39" s="88"/>
      <c r="J39" s="84">
        <f t="shared" si="1"/>
        <v>0</v>
      </c>
      <c r="K39" s="84">
        <f t="shared" si="2"/>
        <v>0</v>
      </c>
      <c r="L39" s="8"/>
      <c r="M39" s="8"/>
      <c r="N39" s="8"/>
      <c r="O39" s="8"/>
    </row>
    <row r="40" ht="15.75" customHeight="1">
      <c r="A40" s="85">
        <v>28.0</v>
      </c>
      <c r="B40" s="86">
        <v>2.3510250222E10</v>
      </c>
      <c r="C40" s="87" t="s">
        <v>92</v>
      </c>
      <c r="D40" s="88"/>
      <c r="E40" s="88"/>
      <c r="F40" s="88"/>
      <c r="G40" s="88"/>
      <c r="H40" s="88"/>
      <c r="I40" s="88"/>
      <c r="J40" s="84">
        <f t="shared" si="1"/>
        <v>0</v>
      </c>
      <c r="K40" s="84">
        <f t="shared" si="2"/>
        <v>0</v>
      </c>
      <c r="L40" s="8"/>
      <c r="M40" s="8"/>
      <c r="N40" s="8"/>
      <c r="O40" s="8"/>
    </row>
    <row r="41" ht="15.75" customHeight="1">
      <c r="A41" s="85">
        <v>29.0</v>
      </c>
      <c r="B41" s="86">
        <v>2.3510250223E10</v>
      </c>
      <c r="C41" s="87" t="s">
        <v>93</v>
      </c>
      <c r="D41" s="88"/>
      <c r="E41" s="88"/>
      <c r="F41" s="88"/>
      <c r="G41" s="88"/>
      <c r="H41" s="88"/>
      <c r="I41" s="88"/>
      <c r="J41" s="84">
        <f t="shared" si="1"/>
        <v>0</v>
      </c>
      <c r="K41" s="84">
        <f t="shared" si="2"/>
        <v>0</v>
      </c>
      <c r="L41" s="8"/>
      <c r="M41" s="8"/>
      <c r="N41" s="8"/>
      <c r="O41" s="8"/>
    </row>
    <row r="42" ht="15.75" customHeight="1">
      <c r="A42" s="85">
        <v>30.0</v>
      </c>
      <c r="B42" s="86">
        <v>2.3510250224E10</v>
      </c>
      <c r="C42" s="87" t="s">
        <v>94</v>
      </c>
      <c r="D42" s="88"/>
      <c r="E42" s="88"/>
      <c r="F42" s="88"/>
      <c r="G42" s="88"/>
      <c r="H42" s="88"/>
      <c r="I42" s="88"/>
      <c r="J42" s="84">
        <f t="shared" si="1"/>
        <v>0</v>
      </c>
      <c r="K42" s="84">
        <f t="shared" si="2"/>
        <v>0</v>
      </c>
      <c r="L42" s="8"/>
      <c r="M42" s="8"/>
      <c r="N42" s="8"/>
      <c r="O42" s="8"/>
    </row>
    <row r="43" ht="15.75" customHeight="1">
      <c r="A43" s="85">
        <v>31.0</v>
      </c>
      <c r="B43" s="86">
        <v>2.3510250225E10</v>
      </c>
      <c r="C43" s="87" t="s">
        <v>95</v>
      </c>
      <c r="D43" s="88"/>
      <c r="E43" s="88"/>
      <c r="F43" s="88"/>
      <c r="G43" s="88"/>
      <c r="H43" s="88"/>
      <c r="I43" s="88"/>
      <c r="J43" s="84">
        <f t="shared" si="1"/>
        <v>0</v>
      </c>
      <c r="K43" s="84">
        <f t="shared" si="2"/>
        <v>0</v>
      </c>
      <c r="L43" s="8"/>
      <c r="M43" s="8"/>
      <c r="N43" s="8"/>
      <c r="O43" s="8"/>
    </row>
    <row r="44" ht="15.75" customHeight="1">
      <c r="A44" s="85">
        <v>32.0</v>
      </c>
      <c r="B44" s="86">
        <v>2.3510250226E10</v>
      </c>
      <c r="C44" s="87" t="s">
        <v>96</v>
      </c>
      <c r="D44" s="88"/>
      <c r="E44" s="88"/>
      <c r="F44" s="88"/>
      <c r="G44" s="88"/>
      <c r="H44" s="88"/>
      <c r="I44" s="88"/>
      <c r="J44" s="84">
        <f t="shared" si="1"/>
        <v>0</v>
      </c>
      <c r="K44" s="84">
        <f t="shared" si="2"/>
        <v>0</v>
      </c>
      <c r="L44" s="8"/>
      <c r="M44" s="8"/>
      <c r="N44" s="8"/>
      <c r="O44" s="8"/>
    </row>
    <row r="45" ht="15.75" customHeight="1">
      <c r="A45" s="85">
        <v>33.0</v>
      </c>
      <c r="B45" s="86">
        <v>2.3510250227E10</v>
      </c>
      <c r="C45" s="87" t="s">
        <v>97</v>
      </c>
      <c r="D45" s="88"/>
      <c r="E45" s="88"/>
      <c r="F45" s="88"/>
      <c r="G45" s="88"/>
      <c r="H45" s="88"/>
      <c r="I45" s="88"/>
      <c r="J45" s="84">
        <f t="shared" si="1"/>
        <v>0</v>
      </c>
      <c r="K45" s="84">
        <f t="shared" si="2"/>
        <v>0</v>
      </c>
      <c r="L45" s="8"/>
      <c r="M45" s="8"/>
      <c r="N45" s="8"/>
      <c r="O45" s="8"/>
    </row>
    <row r="46" ht="15.75" customHeight="1">
      <c r="A46" s="85">
        <v>34.0</v>
      </c>
      <c r="B46" s="86">
        <v>2.3510250228E10</v>
      </c>
      <c r="C46" s="87" t="s">
        <v>98</v>
      </c>
      <c r="D46" s="88"/>
      <c r="E46" s="88"/>
      <c r="F46" s="88"/>
      <c r="G46" s="88"/>
      <c r="H46" s="88"/>
      <c r="I46" s="88"/>
      <c r="J46" s="84">
        <f t="shared" si="1"/>
        <v>0</v>
      </c>
      <c r="K46" s="84">
        <f t="shared" si="2"/>
        <v>0</v>
      </c>
      <c r="L46" s="8"/>
      <c r="M46" s="8"/>
      <c r="N46" s="8"/>
      <c r="O46" s="8"/>
    </row>
    <row r="47" ht="15.75" customHeight="1">
      <c r="A47" s="85">
        <v>35.0</v>
      </c>
      <c r="B47" s="86">
        <v>2.3510250233E10</v>
      </c>
      <c r="C47" s="87" t="s">
        <v>99</v>
      </c>
      <c r="D47" s="88"/>
      <c r="E47" s="88"/>
      <c r="F47" s="88"/>
      <c r="G47" s="88"/>
      <c r="H47" s="88"/>
      <c r="I47" s="88"/>
      <c r="J47" s="84">
        <f t="shared" si="1"/>
        <v>0</v>
      </c>
      <c r="K47" s="84">
        <f t="shared" si="2"/>
        <v>0</v>
      </c>
      <c r="L47" s="8"/>
      <c r="M47" s="8"/>
      <c r="N47" s="8"/>
      <c r="O47" s="8"/>
    </row>
    <row r="48" ht="15.75" customHeight="1">
      <c r="A48" s="85">
        <v>36.0</v>
      </c>
      <c r="B48" s="86">
        <v>2.3510250234E10</v>
      </c>
      <c r="C48" s="87" t="s">
        <v>100</v>
      </c>
      <c r="D48" s="88"/>
      <c r="E48" s="88"/>
      <c r="F48" s="88"/>
      <c r="G48" s="88"/>
      <c r="H48" s="88"/>
      <c r="I48" s="88"/>
      <c r="J48" s="84">
        <f t="shared" si="1"/>
        <v>0</v>
      </c>
      <c r="K48" s="84">
        <f t="shared" si="2"/>
        <v>0</v>
      </c>
      <c r="L48" s="8"/>
      <c r="M48" s="8"/>
      <c r="N48" s="8"/>
      <c r="O48" s="8"/>
    </row>
    <row r="49" ht="15.75" customHeight="1">
      <c r="A49" s="85">
        <v>37.0</v>
      </c>
      <c r="B49" s="86">
        <v>2.3510250235E10</v>
      </c>
      <c r="C49" s="87" t="s">
        <v>101</v>
      </c>
      <c r="D49" s="88"/>
      <c r="E49" s="88"/>
      <c r="F49" s="88"/>
      <c r="G49" s="88"/>
      <c r="H49" s="88"/>
      <c r="I49" s="88"/>
      <c r="J49" s="84">
        <f t="shared" si="1"/>
        <v>0</v>
      </c>
      <c r="K49" s="84">
        <f t="shared" si="2"/>
        <v>0</v>
      </c>
      <c r="L49" s="8"/>
      <c r="M49" s="8"/>
      <c r="N49" s="8"/>
      <c r="O49" s="8"/>
    </row>
    <row r="50" ht="15.75" customHeight="1">
      <c r="A50" s="85">
        <v>38.0</v>
      </c>
      <c r="B50" s="86">
        <v>2.3510250236E10</v>
      </c>
      <c r="C50" s="87" t="s">
        <v>102</v>
      </c>
      <c r="D50" s="88"/>
      <c r="E50" s="88"/>
      <c r="F50" s="88"/>
      <c r="G50" s="88"/>
      <c r="H50" s="88"/>
      <c r="I50" s="88"/>
      <c r="J50" s="84">
        <f t="shared" si="1"/>
        <v>0</v>
      </c>
      <c r="K50" s="84">
        <f t="shared" si="2"/>
        <v>0</v>
      </c>
      <c r="L50" s="8"/>
      <c r="M50" s="8"/>
      <c r="N50" s="8"/>
      <c r="O50" s="8"/>
    </row>
    <row r="51" ht="15.75" customHeight="1">
      <c r="A51" s="85">
        <v>39.0</v>
      </c>
      <c r="B51" s="86">
        <v>2.3510250237E10</v>
      </c>
      <c r="C51" s="87" t="s">
        <v>103</v>
      </c>
      <c r="D51" s="88"/>
      <c r="E51" s="88"/>
      <c r="F51" s="88"/>
      <c r="G51" s="88"/>
      <c r="H51" s="88"/>
      <c r="I51" s="88"/>
      <c r="J51" s="84">
        <f t="shared" si="1"/>
        <v>0</v>
      </c>
      <c r="K51" s="84">
        <f t="shared" si="2"/>
        <v>0</v>
      </c>
      <c r="L51" s="8"/>
      <c r="M51" s="8"/>
      <c r="N51" s="8"/>
      <c r="O51" s="8"/>
    </row>
    <row r="52" ht="15.75" customHeight="1">
      <c r="A52" s="85">
        <v>40.0</v>
      </c>
      <c r="B52" s="86">
        <v>2.3510250238E10</v>
      </c>
      <c r="C52" s="87" t="s">
        <v>104</v>
      </c>
      <c r="D52" s="88"/>
      <c r="E52" s="88"/>
      <c r="F52" s="88"/>
      <c r="G52" s="88"/>
      <c r="H52" s="88"/>
      <c r="I52" s="88"/>
      <c r="J52" s="84">
        <f t="shared" si="1"/>
        <v>0</v>
      </c>
      <c r="K52" s="84">
        <f t="shared" si="2"/>
        <v>0</v>
      </c>
      <c r="L52" s="8"/>
      <c r="M52" s="8"/>
      <c r="N52" s="8"/>
      <c r="O52" s="8"/>
    </row>
    <row r="53" ht="15.75" customHeight="1">
      <c r="A53" s="85">
        <v>41.0</v>
      </c>
      <c r="B53" s="86">
        <v>2.3510250239E10</v>
      </c>
      <c r="C53" s="87" t="s">
        <v>105</v>
      </c>
      <c r="D53" s="88"/>
      <c r="E53" s="88"/>
      <c r="F53" s="88"/>
      <c r="G53" s="88"/>
      <c r="H53" s="88"/>
      <c r="I53" s="88"/>
      <c r="J53" s="84">
        <f t="shared" si="1"/>
        <v>0</v>
      </c>
      <c r="K53" s="84">
        <f t="shared" si="2"/>
        <v>0</v>
      </c>
      <c r="L53" s="8"/>
      <c r="M53" s="8"/>
      <c r="N53" s="8"/>
      <c r="O53" s="8"/>
    </row>
    <row r="54" ht="15.75" customHeight="1">
      <c r="A54" s="85">
        <v>42.0</v>
      </c>
      <c r="B54" s="86">
        <v>2.351025024E10</v>
      </c>
      <c r="C54" s="87" t="s">
        <v>106</v>
      </c>
      <c r="D54" s="88"/>
      <c r="E54" s="88"/>
      <c r="F54" s="88"/>
      <c r="G54" s="88"/>
      <c r="H54" s="88"/>
      <c r="I54" s="88"/>
      <c r="J54" s="84">
        <f t="shared" si="1"/>
        <v>0</v>
      </c>
      <c r="K54" s="84">
        <f t="shared" si="2"/>
        <v>0</v>
      </c>
      <c r="L54" s="8"/>
      <c r="M54" s="8"/>
      <c r="N54" s="8"/>
      <c r="O54" s="8"/>
    </row>
    <row r="55" ht="15.75" customHeight="1">
      <c r="A55" s="85">
        <v>43.0</v>
      </c>
      <c r="B55" s="86">
        <v>2.3510250241E10</v>
      </c>
      <c r="C55" s="87" t="s">
        <v>107</v>
      </c>
      <c r="D55" s="88"/>
      <c r="E55" s="88"/>
      <c r="F55" s="88"/>
      <c r="G55" s="88"/>
      <c r="H55" s="88"/>
      <c r="I55" s="88"/>
      <c r="J55" s="84">
        <f t="shared" si="1"/>
        <v>0</v>
      </c>
      <c r="K55" s="84">
        <f t="shared" si="2"/>
        <v>0</v>
      </c>
      <c r="L55" s="8"/>
      <c r="M55" s="8"/>
      <c r="N55" s="8"/>
      <c r="O55" s="8"/>
    </row>
    <row r="56" ht="15.75" customHeight="1">
      <c r="A56" s="85">
        <v>44.0</v>
      </c>
      <c r="B56" s="86">
        <v>2.3510250242E10</v>
      </c>
      <c r="C56" s="87" t="s">
        <v>108</v>
      </c>
      <c r="D56" s="88"/>
      <c r="E56" s="88"/>
      <c r="F56" s="88"/>
      <c r="G56" s="88"/>
      <c r="H56" s="88"/>
      <c r="I56" s="88"/>
      <c r="J56" s="84">
        <f t="shared" si="1"/>
        <v>0</v>
      </c>
      <c r="K56" s="84">
        <f t="shared" si="2"/>
        <v>0</v>
      </c>
      <c r="L56" s="8"/>
      <c r="M56" s="8"/>
      <c r="N56" s="8"/>
      <c r="O56" s="8"/>
    </row>
    <row r="57" ht="15.75" customHeight="1">
      <c r="A57" s="85">
        <v>45.0</v>
      </c>
      <c r="B57" s="86">
        <v>2.3510250244E10</v>
      </c>
      <c r="C57" s="87" t="s">
        <v>109</v>
      </c>
      <c r="D57" s="88"/>
      <c r="E57" s="88"/>
      <c r="F57" s="88"/>
      <c r="G57" s="88"/>
      <c r="H57" s="88"/>
      <c r="I57" s="88"/>
      <c r="J57" s="84">
        <f t="shared" si="1"/>
        <v>0</v>
      </c>
      <c r="K57" s="84">
        <f t="shared" si="2"/>
        <v>0</v>
      </c>
      <c r="L57" s="8"/>
      <c r="M57" s="8"/>
      <c r="N57" s="8"/>
      <c r="O57" s="8"/>
    </row>
    <row r="58" ht="15.75" customHeight="1">
      <c r="A58" s="85">
        <v>46.0</v>
      </c>
      <c r="B58" s="86">
        <v>2.3510250246E10</v>
      </c>
      <c r="C58" s="87" t="s">
        <v>110</v>
      </c>
      <c r="D58" s="88"/>
      <c r="E58" s="88"/>
      <c r="F58" s="88"/>
      <c r="G58" s="88"/>
      <c r="H58" s="88"/>
      <c r="I58" s="88"/>
      <c r="J58" s="84">
        <f t="shared" si="1"/>
        <v>0</v>
      </c>
      <c r="K58" s="84">
        <f t="shared" si="2"/>
        <v>0</v>
      </c>
      <c r="L58" s="8"/>
      <c r="M58" s="8"/>
      <c r="N58" s="8"/>
      <c r="O58" s="8"/>
    </row>
    <row r="59" ht="15.75" customHeight="1">
      <c r="A59" s="85">
        <v>47.0</v>
      </c>
      <c r="B59" s="86">
        <v>2.3510250247E10</v>
      </c>
      <c r="C59" s="87" t="s">
        <v>111</v>
      </c>
      <c r="D59" s="88"/>
      <c r="E59" s="88"/>
      <c r="F59" s="88"/>
      <c r="G59" s="88"/>
      <c r="H59" s="88"/>
      <c r="I59" s="88"/>
      <c r="J59" s="84">
        <f t="shared" si="1"/>
        <v>0</v>
      </c>
      <c r="K59" s="84">
        <f t="shared" si="2"/>
        <v>0</v>
      </c>
      <c r="L59" s="8"/>
      <c r="M59" s="8"/>
      <c r="N59" s="8"/>
      <c r="O59" s="8"/>
    </row>
    <row r="60" ht="15.75" customHeight="1">
      <c r="A60" s="85">
        <v>48.0</v>
      </c>
      <c r="B60" s="86">
        <v>2.3510250248E10</v>
      </c>
      <c r="C60" s="87" t="s">
        <v>112</v>
      </c>
      <c r="D60" s="88"/>
      <c r="E60" s="88"/>
      <c r="F60" s="88"/>
      <c r="G60" s="88"/>
      <c r="H60" s="88"/>
      <c r="I60" s="88"/>
      <c r="J60" s="84">
        <f t="shared" si="1"/>
        <v>0</v>
      </c>
      <c r="K60" s="84">
        <f t="shared" si="2"/>
        <v>0</v>
      </c>
      <c r="L60" s="8"/>
      <c r="M60" s="8"/>
      <c r="N60" s="8"/>
      <c r="O60" s="8"/>
    </row>
    <row r="61" ht="15.75" customHeight="1">
      <c r="A61" s="85">
        <v>49.0</v>
      </c>
      <c r="B61" s="86">
        <v>2.3510250249E10</v>
      </c>
      <c r="C61" s="87" t="s">
        <v>113</v>
      </c>
      <c r="D61" s="88"/>
      <c r="E61" s="88"/>
      <c r="F61" s="88"/>
      <c r="G61" s="88"/>
      <c r="H61" s="88"/>
      <c r="I61" s="88"/>
      <c r="J61" s="84">
        <f t="shared" si="1"/>
        <v>0</v>
      </c>
      <c r="K61" s="84">
        <f t="shared" si="2"/>
        <v>0</v>
      </c>
      <c r="L61" s="8"/>
      <c r="M61" s="8"/>
      <c r="N61" s="8"/>
      <c r="O61" s="8"/>
    </row>
    <row r="62" ht="15.75" customHeight="1">
      <c r="A62" s="85">
        <v>50.0</v>
      </c>
      <c r="B62" s="86">
        <v>2.351025025E10</v>
      </c>
      <c r="C62" s="87" t="s">
        <v>114</v>
      </c>
      <c r="D62" s="88"/>
      <c r="E62" s="88"/>
      <c r="F62" s="88"/>
      <c r="G62" s="88"/>
      <c r="H62" s="88"/>
      <c r="I62" s="88"/>
      <c r="J62" s="84">
        <f t="shared" si="1"/>
        <v>0</v>
      </c>
      <c r="K62" s="84">
        <f t="shared" si="2"/>
        <v>0</v>
      </c>
      <c r="L62" s="8"/>
      <c r="M62" s="8"/>
      <c r="N62" s="8"/>
      <c r="O62" s="8"/>
    </row>
    <row r="63" ht="15.75" customHeight="1">
      <c r="A63" s="85">
        <v>51.0</v>
      </c>
      <c r="B63" s="86">
        <v>2.3510250251E10</v>
      </c>
      <c r="C63" s="87" t="s">
        <v>115</v>
      </c>
      <c r="D63" s="88"/>
      <c r="E63" s="88"/>
      <c r="F63" s="88"/>
      <c r="G63" s="88"/>
      <c r="H63" s="88"/>
      <c r="I63" s="88"/>
      <c r="J63" s="84">
        <f t="shared" si="1"/>
        <v>0</v>
      </c>
      <c r="K63" s="84">
        <f t="shared" si="2"/>
        <v>0</v>
      </c>
      <c r="L63" s="8"/>
      <c r="M63" s="8"/>
      <c r="N63" s="8"/>
      <c r="O63" s="8"/>
    </row>
    <row r="64" ht="15.75" customHeight="1">
      <c r="A64" s="85">
        <v>52.0</v>
      </c>
      <c r="B64" s="86">
        <v>2.3510250252E10</v>
      </c>
      <c r="C64" s="87" t="s">
        <v>116</v>
      </c>
      <c r="D64" s="88"/>
      <c r="E64" s="88"/>
      <c r="F64" s="88"/>
      <c r="G64" s="88"/>
      <c r="H64" s="88"/>
      <c r="I64" s="88"/>
      <c r="J64" s="84">
        <f t="shared" si="1"/>
        <v>0</v>
      </c>
      <c r="K64" s="84">
        <f t="shared" si="2"/>
        <v>0</v>
      </c>
      <c r="L64" s="8"/>
      <c r="M64" s="8"/>
      <c r="N64" s="8"/>
      <c r="O64" s="8"/>
    </row>
    <row r="65" ht="15.75" customHeight="1">
      <c r="A65" s="85">
        <v>53.0</v>
      </c>
      <c r="B65" s="86">
        <v>2.3510250254E10</v>
      </c>
      <c r="C65" s="87" t="s">
        <v>117</v>
      </c>
      <c r="D65" s="88"/>
      <c r="E65" s="88"/>
      <c r="F65" s="88"/>
      <c r="G65" s="88"/>
      <c r="H65" s="88"/>
      <c r="I65" s="88"/>
      <c r="J65" s="84">
        <f t="shared" si="1"/>
        <v>0</v>
      </c>
      <c r="K65" s="84">
        <f t="shared" si="2"/>
        <v>0</v>
      </c>
      <c r="L65" s="8"/>
      <c r="M65" s="8"/>
      <c r="N65" s="8"/>
      <c r="O65" s="8"/>
    </row>
    <row r="66" ht="15.75" customHeight="1">
      <c r="A66" s="85">
        <v>54.0</v>
      </c>
      <c r="B66" s="86">
        <v>2.3510250255E10</v>
      </c>
      <c r="C66" s="87" t="s">
        <v>118</v>
      </c>
      <c r="D66" s="88"/>
      <c r="E66" s="88"/>
      <c r="F66" s="88"/>
      <c r="G66" s="88"/>
      <c r="H66" s="88"/>
      <c r="I66" s="88"/>
      <c r="J66" s="84">
        <f t="shared" si="1"/>
        <v>0</v>
      </c>
      <c r="K66" s="84">
        <f t="shared" si="2"/>
        <v>0</v>
      </c>
      <c r="L66" s="8"/>
      <c r="M66" s="8"/>
      <c r="N66" s="8"/>
      <c r="O66" s="8"/>
    </row>
    <row r="67" ht="15.75" customHeight="1">
      <c r="A67" s="85">
        <v>55.0</v>
      </c>
      <c r="B67" s="86">
        <v>2.3510250257E10</v>
      </c>
      <c r="C67" s="87" t="s">
        <v>119</v>
      </c>
      <c r="D67" s="88"/>
      <c r="E67" s="88"/>
      <c r="F67" s="88"/>
      <c r="G67" s="88"/>
      <c r="H67" s="88"/>
      <c r="I67" s="88"/>
      <c r="J67" s="84">
        <f t="shared" si="1"/>
        <v>0</v>
      </c>
      <c r="K67" s="84">
        <f t="shared" si="2"/>
        <v>0</v>
      </c>
      <c r="L67" s="8"/>
      <c r="M67" s="8"/>
      <c r="N67" s="8"/>
      <c r="O67" s="8"/>
    </row>
    <row r="68" ht="15.75" customHeight="1">
      <c r="A68" s="85">
        <v>56.0</v>
      </c>
      <c r="B68" s="86">
        <v>2.3510250524E10</v>
      </c>
      <c r="C68" s="87" t="s">
        <v>120</v>
      </c>
      <c r="D68" s="88"/>
      <c r="E68" s="88"/>
      <c r="F68" s="88"/>
      <c r="G68" s="88"/>
      <c r="H68" s="88"/>
      <c r="I68" s="88"/>
      <c r="J68" s="84">
        <f t="shared" si="1"/>
        <v>0</v>
      </c>
      <c r="K68" s="84">
        <f t="shared" si="2"/>
        <v>0</v>
      </c>
      <c r="L68" s="8"/>
      <c r="M68" s="8"/>
      <c r="N68" s="8"/>
      <c r="O68" s="8"/>
    </row>
    <row r="69" ht="15.75" customHeight="1">
      <c r="A69" s="85">
        <v>57.0</v>
      </c>
      <c r="B69" s="86">
        <v>2.451025026E10</v>
      </c>
      <c r="C69" s="87" t="s">
        <v>121</v>
      </c>
      <c r="D69" s="88"/>
      <c r="E69" s="88"/>
      <c r="F69" s="88"/>
      <c r="G69" s="88"/>
      <c r="H69" s="88"/>
      <c r="I69" s="88"/>
      <c r="J69" s="84">
        <f t="shared" si="1"/>
        <v>0</v>
      </c>
      <c r="K69" s="84">
        <f t="shared" si="2"/>
        <v>0</v>
      </c>
      <c r="L69" s="8"/>
      <c r="M69" s="8"/>
      <c r="N69" s="8"/>
      <c r="O69" s="8"/>
    </row>
    <row r="70" ht="15.75" customHeight="1">
      <c r="A70" s="85">
        <v>58.0</v>
      </c>
      <c r="B70" s="86">
        <v>2.4510250261E10</v>
      </c>
      <c r="C70" s="87" t="s">
        <v>122</v>
      </c>
      <c r="D70" s="88"/>
      <c r="E70" s="88"/>
      <c r="F70" s="88"/>
      <c r="G70" s="88"/>
      <c r="H70" s="88"/>
      <c r="I70" s="88"/>
      <c r="J70" s="84">
        <f t="shared" si="1"/>
        <v>0</v>
      </c>
      <c r="K70" s="84">
        <f t="shared" si="2"/>
        <v>0</v>
      </c>
      <c r="L70" s="8"/>
      <c r="M70" s="8"/>
      <c r="N70" s="8"/>
      <c r="O70" s="8"/>
    </row>
    <row r="71" ht="15.75" customHeight="1">
      <c r="A71" s="85">
        <v>59.0</v>
      </c>
      <c r="B71" s="86">
        <v>2.4510250262E10</v>
      </c>
      <c r="C71" s="87" t="s">
        <v>123</v>
      </c>
      <c r="D71" s="88"/>
      <c r="E71" s="88"/>
      <c r="F71" s="88"/>
      <c r="G71" s="88"/>
      <c r="H71" s="88"/>
      <c r="I71" s="88"/>
      <c r="J71" s="84">
        <f t="shared" si="1"/>
        <v>0</v>
      </c>
      <c r="K71" s="84">
        <f t="shared" si="2"/>
        <v>0</v>
      </c>
      <c r="L71" s="8"/>
      <c r="M71" s="8"/>
      <c r="N71" s="8"/>
      <c r="O71" s="8"/>
    </row>
    <row r="72" ht="15.75" customHeight="1">
      <c r="A72" s="85">
        <v>60.0</v>
      </c>
      <c r="B72" s="86">
        <v>2.4510250263E10</v>
      </c>
      <c r="C72" s="87" t="s">
        <v>124</v>
      </c>
      <c r="D72" s="88"/>
      <c r="E72" s="88"/>
      <c r="F72" s="88"/>
      <c r="G72" s="88"/>
      <c r="H72" s="88"/>
      <c r="I72" s="88"/>
      <c r="J72" s="84">
        <f t="shared" si="1"/>
        <v>0</v>
      </c>
      <c r="K72" s="84">
        <f t="shared" si="2"/>
        <v>0</v>
      </c>
      <c r="L72" s="8"/>
      <c r="M72" s="8"/>
      <c r="N72" s="8"/>
      <c r="O72" s="8"/>
    </row>
    <row r="73" ht="15.75" customHeight="1">
      <c r="A73" s="85">
        <v>61.0</v>
      </c>
      <c r="B73" s="86">
        <v>2.4510250264E10</v>
      </c>
      <c r="C73" s="87" t="s">
        <v>125</v>
      </c>
      <c r="D73" s="88"/>
      <c r="E73" s="88"/>
      <c r="F73" s="88"/>
      <c r="G73" s="88"/>
      <c r="H73" s="88"/>
      <c r="I73" s="88"/>
      <c r="J73" s="84">
        <f t="shared" si="1"/>
        <v>0</v>
      </c>
      <c r="K73" s="84">
        <f t="shared" si="2"/>
        <v>0</v>
      </c>
      <c r="L73" s="8"/>
      <c r="M73" s="8"/>
      <c r="N73" s="8"/>
      <c r="O73" s="8"/>
    </row>
    <row r="74" ht="15.75" customHeight="1">
      <c r="A74" s="85">
        <v>62.0</v>
      </c>
      <c r="B74" s="86">
        <v>2.4510250265E10</v>
      </c>
      <c r="C74" s="87" t="s">
        <v>126</v>
      </c>
      <c r="D74" s="88"/>
      <c r="E74" s="88"/>
      <c r="F74" s="88"/>
      <c r="G74" s="88"/>
      <c r="H74" s="88"/>
      <c r="I74" s="88"/>
      <c r="J74" s="84">
        <f t="shared" si="1"/>
        <v>0</v>
      </c>
      <c r="K74" s="84">
        <f t="shared" si="2"/>
        <v>0</v>
      </c>
      <c r="L74" s="8"/>
      <c r="M74" s="8"/>
      <c r="N74" s="8"/>
      <c r="O74" s="8"/>
    </row>
    <row r="75" ht="15.75" customHeight="1">
      <c r="A75" s="85">
        <v>63.0</v>
      </c>
      <c r="B75" s="86">
        <v>2.4510250266E10</v>
      </c>
      <c r="C75" s="87" t="s">
        <v>127</v>
      </c>
      <c r="D75" s="88"/>
      <c r="E75" s="88"/>
      <c r="F75" s="88"/>
      <c r="G75" s="88"/>
      <c r="H75" s="88"/>
      <c r="I75" s="88"/>
      <c r="J75" s="84">
        <f t="shared" si="1"/>
        <v>0</v>
      </c>
      <c r="K75" s="84">
        <f t="shared" si="2"/>
        <v>0</v>
      </c>
      <c r="L75" s="8"/>
      <c r="M75" s="8"/>
      <c r="N75" s="8"/>
      <c r="O75" s="8"/>
    </row>
    <row r="76" ht="15.75" customHeight="1">
      <c r="A76" s="85">
        <v>64.0</v>
      </c>
      <c r="B76" s="89"/>
      <c r="C76" s="89"/>
      <c r="D76" s="88"/>
      <c r="E76" s="88"/>
      <c r="F76" s="88"/>
      <c r="G76" s="88"/>
      <c r="H76" s="88"/>
      <c r="I76" s="88"/>
      <c r="J76" s="84">
        <f t="shared" si="1"/>
        <v>0</v>
      </c>
      <c r="K76" s="84">
        <f t="shared" si="2"/>
        <v>0</v>
      </c>
      <c r="L76" s="8"/>
      <c r="M76" s="8"/>
      <c r="N76" s="8"/>
      <c r="O76" s="8"/>
    </row>
    <row r="77" ht="15.75" customHeight="1">
      <c r="A77" s="85">
        <v>65.0</v>
      </c>
      <c r="B77" s="89"/>
      <c r="C77" s="89"/>
      <c r="D77" s="88"/>
      <c r="E77" s="88"/>
      <c r="F77" s="88"/>
      <c r="G77" s="88"/>
      <c r="H77" s="88"/>
      <c r="I77" s="88"/>
      <c r="J77" s="84">
        <f t="shared" si="1"/>
        <v>0</v>
      </c>
      <c r="K77" s="84">
        <f t="shared" si="2"/>
        <v>0</v>
      </c>
      <c r="L77" s="8"/>
      <c r="M77" s="8"/>
      <c r="N77" s="8"/>
      <c r="O77" s="8"/>
    </row>
    <row r="78" ht="15.75" customHeight="1">
      <c r="A78" s="85">
        <v>66.0</v>
      </c>
      <c r="B78" s="89"/>
      <c r="C78" s="89"/>
      <c r="D78" s="88"/>
      <c r="E78" s="88"/>
      <c r="F78" s="88"/>
      <c r="G78" s="88"/>
      <c r="H78" s="88"/>
      <c r="I78" s="88"/>
      <c r="J78" s="84">
        <f t="shared" si="1"/>
        <v>0</v>
      </c>
      <c r="K78" s="84">
        <f t="shared" si="2"/>
        <v>0</v>
      </c>
      <c r="L78" s="8"/>
      <c r="M78" s="8"/>
      <c r="N78" s="8"/>
      <c r="O78" s="8"/>
    </row>
    <row r="79" ht="15.75" customHeight="1">
      <c r="A79" s="85">
        <v>67.0</v>
      </c>
      <c r="B79" s="89"/>
      <c r="C79" s="89"/>
      <c r="D79" s="88"/>
      <c r="E79" s="88"/>
      <c r="F79" s="88"/>
      <c r="G79" s="88"/>
      <c r="H79" s="88"/>
      <c r="I79" s="88"/>
      <c r="J79" s="84">
        <f t="shared" si="1"/>
        <v>0</v>
      </c>
      <c r="K79" s="84">
        <f t="shared" si="2"/>
        <v>0</v>
      </c>
      <c r="L79" s="8"/>
      <c r="M79" s="8"/>
      <c r="N79" s="8"/>
      <c r="O79" s="8"/>
    </row>
    <row r="80" ht="15.75" customHeight="1">
      <c r="A80" s="85">
        <v>68.0</v>
      </c>
      <c r="B80" s="89"/>
      <c r="C80" s="89"/>
      <c r="D80" s="88"/>
      <c r="E80" s="88"/>
      <c r="F80" s="88"/>
      <c r="G80" s="88"/>
      <c r="H80" s="88"/>
      <c r="I80" s="88"/>
      <c r="J80" s="84">
        <f t="shared" si="1"/>
        <v>0</v>
      </c>
      <c r="K80" s="84">
        <f t="shared" si="2"/>
        <v>0</v>
      </c>
      <c r="L80" s="8"/>
      <c r="M80" s="8"/>
      <c r="N80" s="8"/>
      <c r="O80" s="8"/>
    </row>
    <row r="81" ht="15.75" customHeight="1">
      <c r="A81" s="85">
        <v>69.0</v>
      </c>
      <c r="B81" s="89"/>
      <c r="C81" s="89"/>
      <c r="D81" s="88"/>
      <c r="E81" s="88"/>
      <c r="F81" s="88"/>
      <c r="G81" s="88"/>
      <c r="H81" s="88"/>
      <c r="I81" s="88"/>
      <c r="J81" s="84">
        <f t="shared" si="1"/>
        <v>0</v>
      </c>
      <c r="K81" s="84">
        <f t="shared" si="2"/>
        <v>0</v>
      </c>
      <c r="L81" s="8"/>
      <c r="M81" s="8"/>
      <c r="N81" s="8"/>
      <c r="O81" s="8"/>
    </row>
    <row r="82" ht="15.75" customHeight="1">
      <c r="A82" s="85">
        <v>70.0</v>
      </c>
      <c r="B82" s="89"/>
      <c r="C82" s="89"/>
      <c r="D82" s="88"/>
      <c r="E82" s="88"/>
      <c r="F82" s="88"/>
      <c r="G82" s="88"/>
      <c r="H82" s="88"/>
      <c r="I82" s="88"/>
      <c r="J82" s="84">
        <f t="shared" si="1"/>
        <v>0</v>
      </c>
      <c r="K82" s="84">
        <f t="shared" si="2"/>
        <v>0</v>
      </c>
      <c r="L82" s="8"/>
      <c r="M82" s="8"/>
      <c r="N82" s="8"/>
      <c r="O82" s="8"/>
    </row>
    <row r="83" ht="15.75" customHeight="1">
      <c r="A83" s="85">
        <v>71.0</v>
      </c>
      <c r="B83" s="89"/>
      <c r="C83" s="89"/>
      <c r="D83" s="88"/>
      <c r="E83" s="88"/>
      <c r="F83" s="88"/>
      <c r="G83" s="88"/>
      <c r="H83" s="88"/>
      <c r="I83" s="88"/>
      <c r="J83" s="84">
        <f t="shared" si="1"/>
        <v>0</v>
      </c>
      <c r="K83" s="84">
        <f t="shared" si="2"/>
        <v>0</v>
      </c>
      <c r="L83" s="8"/>
      <c r="M83" s="8"/>
      <c r="N83" s="8"/>
      <c r="O83" s="8"/>
    </row>
    <row r="84" ht="15.75" customHeight="1">
      <c r="A84" s="85">
        <v>72.0</v>
      </c>
      <c r="B84" s="89"/>
      <c r="C84" s="89"/>
      <c r="D84" s="88"/>
      <c r="E84" s="88"/>
      <c r="F84" s="88"/>
      <c r="G84" s="88"/>
      <c r="H84" s="88"/>
      <c r="I84" s="88"/>
      <c r="J84" s="84">
        <f t="shared" si="1"/>
        <v>0</v>
      </c>
      <c r="K84" s="84">
        <f t="shared" si="2"/>
        <v>0</v>
      </c>
      <c r="L84" s="8"/>
      <c r="M84" s="8"/>
      <c r="N84" s="8"/>
      <c r="O84" s="8"/>
    </row>
    <row r="85" ht="15.75" customHeight="1">
      <c r="A85" s="85">
        <v>73.0</v>
      </c>
      <c r="B85" s="89"/>
      <c r="C85" s="89"/>
      <c r="D85" s="88"/>
      <c r="E85" s="88"/>
      <c r="F85" s="88"/>
      <c r="G85" s="88"/>
      <c r="H85" s="88"/>
      <c r="I85" s="88"/>
      <c r="J85" s="84">
        <f t="shared" si="1"/>
        <v>0</v>
      </c>
      <c r="K85" s="84">
        <f t="shared" si="2"/>
        <v>0</v>
      </c>
      <c r="L85" s="8"/>
      <c r="M85" s="8"/>
      <c r="N85" s="8"/>
      <c r="O85" s="8"/>
    </row>
    <row r="86" ht="15.75" customHeight="1">
      <c r="A86" s="85">
        <v>74.0</v>
      </c>
      <c r="B86" s="89"/>
      <c r="C86" s="89"/>
      <c r="D86" s="88"/>
      <c r="E86" s="88"/>
      <c r="F86" s="88"/>
      <c r="G86" s="88"/>
      <c r="H86" s="88"/>
      <c r="I86" s="88"/>
      <c r="J86" s="84">
        <f t="shared" si="1"/>
        <v>0</v>
      </c>
      <c r="K86" s="84">
        <f t="shared" si="2"/>
        <v>0</v>
      </c>
      <c r="L86" s="8"/>
      <c r="M86" s="8"/>
      <c r="N86" s="8"/>
      <c r="O86" s="8"/>
    </row>
    <row r="87" ht="15.75" customHeight="1">
      <c r="A87" s="85">
        <v>75.0</v>
      </c>
      <c r="B87" s="89"/>
      <c r="C87" s="89"/>
      <c r="D87" s="88"/>
      <c r="E87" s="88"/>
      <c r="F87" s="88"/>
      <c r="G87" s="88"/>
      <c r="H87" s="88"/>
      <c r="I87" s="88"/>
      <c r="J87" s="84">
        <f t="shared" si="1"/>
        <v>0</v>
      </c>
      <c r="K87" s="84">
        <f t="shared" si="2"/>
        <v>0</v>
      </c>
      <c r="L87" s="8"/>
      <c r="M87" s="8"/>
      <c r="N87" s="8"/>
      <c r="O87" s="8"/>
    </row>
    <row r="88" ht="15.75" customHeight="1">
      <c r="A88" s="85">
        <v>76.0</v>
      </c>
      <c r="B88" s="89"/>
      <c r="C88" s="89"/>
      <c r="D88" s="88"/>
      <c r="E88" s="88"/>
      <c r="F88" s="88"/>
      <c r="G88" s="88"/>
      <c r="H88" s="88"/>
      <c r="I88" s="88"/>
      <c r="J88" s="84">
        <f t="shared" si="1"/>
        <v>0</v>
      </c>
      <c r="K88" s="84">
        <f t="shared" si="2"/>
        <v>0</v>
      </c>
      <c r="L88" s="8"/>
      <c r="M88" s="8"/>
      <c r="N88" s="8"/>
      <c r="O88" s="8"/>
    </row>
    <row r="89" ht="15.75" customHeight="1">
      <c r="A89" s="85">
        <v>77.0</v>
      </c>
      <c r="B89" s="89"/>
      <c r="C89" s="89"/>
      <c r="D89" s="88"/>
      <c r="E89" s="88"/>
      <c r="F89" s="88"/>
      <c r="G89" s="88"/>
      <c r="H89" s="88"/>
      <c r="I89" s="88"/>
      <c r="J89" s="84">
        <f t="shared" si="1"/>
        <v>0</v>
      </c>
      <c r="K89" s="84">
        <f t="shared" si="2"/>
        <v>0</v>
      </c>
      <c r="L89" s="8"/>
      <c r="M89" s="8"/>
      <c r="N89" s="8"/>
      <c r="O89" s="8"/>
    </row>
    <row r="90" ht="15.75" customHeight="1">
      <c r="A90" s="85">
        <v>78.0</v>
      </c>
      <c r="B90" s="89"/>
      <c r="C90" s="89"/>
      <c r="D90" s="88"/>
      <c r="E90" s="88"/>
      <c r="F90" s="88"/>
      <c r="G90" s="88"/>
      <c r="H90" s="88"/>
      <c r="I90" s="88"/>
      <c r="J90" s="84">
        <f t="shared" si="1"/>
        <v>0</v>
      </c>
      <c r="K90" s="84">
        <f t="shared" si="2"/>
        <v>0</v>
      </c>
      <c r="L90" s="8"/>
      <c r="M90" s="8"/>
      <c r="N90" s="8"/>
      <c r="O90" s="8"/>
    </row>
    <row r="91" ht="15.75" customHeight="1">
      <c r="A91" s="85">
        <v>79.0</v>
      </c>
      <c r="B91" s="89"/>
      <c r="C91" s="89"/>
      <c r="D91" s="88"/>
      <c r="E91" s="88"/>
      <c r="F91" s="88"/>
      <c r="G91" s="88"/>
      <c r="H91" s="88"/>
      <c r="I91" s="88"/>
      <c r="J91" s="84">
        <f t="shared" si="1"/>
        <v>0</v>
      </c>
      <c r="K91" s="84">
        <f t="shared" si="2"/>
        <v>0</v>
      </c>
      <c r="L91" s="8"/>
      <c r="M91" s="8"/>
      <c r="N91" s="8"/>
      <c r="O91" s="8"/>
    </row>
    <row r="92" ht="15.75" customHeight="1">
      <c r="A92" s="85">
        <v>80.0</v>
      </c>
      <c r="B92" s="89"/>
      <c r="C92" s="89"/>
      <c r="D92" s="88"/>
      <c r="E92" s="88"/>
      <c r="F92" s="88"/>
      <c r="G92" s="88"/>
      <c r="H92" s="88"/>
      <c r="I92" s="88"/>
      <c r="J92" s="84">
        <f t="shared" si="1"/>
        <v>0</v>
      </c>
      <c r="K92" s="84">
        <f t="shared" si="2"/>
        <v>0</v>
      </c>
      <c r="L92" s="8"/>
      <c r="M92" s="8"/>
      <c r="N92" s="8"/>
      <c r="O92" s="8"/>
    </row>
    <row r="93" ht="15.75" customHeight="1">
      <c r="A93" s="85">
        <v>81.0</v>
      </c>
      <c r="B93" s="89"/>
      <c r="C93" s="89"/>
      <c r="D93" s="88"/>
      <c r="E93" s="88"/>
      <c r="F93" s="88"/>
      <c r="G93" s="88"/>
      <c r="H93" s="88"/>
      <c r="I93" s="88"/>
      <c r="J93" s="84">
        <f t="shared" si="1"/>
        <v>0</v>
      </c>
      <c r="K93" s="84">
        <f t="shared" si="2"/>
        <v>0</v>
      </c>
      <c r="L93" s="8"/>
      <c r="M93" s="8"/>
      <c r="N93" s="8"/>
      <c r="O93" s="8"/>
    </row>
    <row r="94" ht="15.75" customHeight="1">
      <c r="A94" s="85">
        <v>82.0</v>
      </c>
      <c r="B94" s="89"/>
      <c r="C94" s="89"/>
      <c r="D94" s="88"/>
      <c r="E94" s="88"/>
      <c r="F94" s="88"/>
      <c r="G94" s="88"/>
      <c r="H94" s="88"/>
      <c r="I94" s="88"/>
      <c r="J94" s="84">
        <f t="shared" si="1"/>
        <v>0</v>
      </c>
      <c r="K94" s="84">
        <f t="shared" si="2"/>
        <v>0</v>
      </c>
      <c r="L94" s="8"/>
      <c r="M94" s="8"/>
      <c r="N94" s="8"/>
      <c r="O94" s="8"/>
    </row>
    <row r="95" ht="15.75" customHeight="1">
      <c r="A95" s="85">
        <v>83.0</v>
      </c>
      <c r="B95" s="89"/>
      <c r="C95" s="89"/>
      <c r="D95" s="88"/>
      <c r="E95" s="88"/>
      <c r="F95" s="88"/>
      <c r="G95" s="88"/>
      <c r="H95" s="88"/>
      <c r="I95" s="88"/>
      <c r="J95" s="84">
        <f t="shared" si="1"/>
        <v>0</v>
      </c>
      <c r="K95" s="84">
        <f t="shared" si="2"/>
        <v>0</v>
      </c>
      <c r="L95" s="8"/>
      <c r="M95" s="8"/>
      <c r="N95" s="8"/>
      <c r="O95" s="8"/>
    </row>
    <row r="96" ht="60.75" customHeight="1">
      <c r="A96" s="90" t="s">
        <v>128</v>
      </c>
      <c r="C96" s="91">
        <v>0.4</v>
      </c>
      <c r="D96" s="92">
        <f t="shared" ref="D96:I96" si="3">$C$96*D12</f>
        <v>3.2</v>
      </c>
      <c r="E96" s="92">
        <f t="shared" si="3"/>
        <v>4.8</v>
      </c>
      <c r="F96" s="92">
        <f t="shared" si="3"/>
        <v>3.2</v>
      </c>
      <c r="G96" s="92">
        <f t="shared" si="3"/>
        <v>3.2</v>
      </c>
      <c r="H96" s="92">
        <f t="shared" si="3"/>
        <v>4.8</v>
      </c>
      <c r="I96" s="92">
        <f t="shared" si="3"/>
        <v>3.2</v>
      </c>
      <c r="J96" s="93"/>
      <c r="K96" s="93"/>
      <c r="L96" s="8"/>
      <c r="M96" s="8"/>
      <c r="N96" s="8"/>
      <c r="O96" s="8"/>
    </row>
    <row r="97" ht="15.75" customHeight="1">
      <c r="A97" s="94" t="s">
        <v>129</v>
      </c>
      <c r="C97" s="30"/>
      <c r="D97" s="33"/>
      <c r="E97" s="33"/>
      <c r="F97" s="33"/>
      <c r="G97" s="33"/>
      <c r="H97" s="33"/>
      <c r="I97" s="33"/>
      <c r="J97" s="33"/>
      <c r="K97" s="33"/>
      <c r="L97" s="8"/>
      <c r="M97" s="8"/>
      <c r="N97" s="8"/>
      <c r="O97" s="8"/>
    </row>
    <row r="98" ht="15.75" customHeight="1">
      <c r="C98" s="30"/>
      <c r="D98" s="95">
        <f t="shared" ref="D98:I98" si="4">COUNTIF(D13:D95,"&gt;=" &amp;D96)</f>
        <v>0</v>
      </c>
      <c r="E98" s="95">
        <f t="shared" si="4"/>
        <v>0</v>
      </c>
      <c r="F98" s="95">
        <f t="shared" si="4"/>
        <v>0</v>
      </c>
      <c r="G98" s="95">
        <f t="shared" si="4"/>
        <v>0</v>
      </c>
      <c r="H98" s="95">
        <f t="shared" si="4"/>
        <v>0</v>
      </c>
      <c r="I98" s="95">
        <f t="shared" si="4"/>
        <v>0</v>
      </c>
      <c r="J98" s="96"/>
      <c r="K98" s="96"/>
      <c r="L98" s="8"/>
      <c r="M98" s="8"/>
      <c r="N98" s="8"/>
      <c r="O98" s="8"/>
    </row>
    <row r="99" ht="15.75" customHeight="1">
      <c r="A99" s="8"/>
      <c r="B99" s="8"/>
      <c r="C99" s="8"/>
      <c r="D99" s="33"/>
      <c r="E99" s="33"/>
      <c r="F99" s="33"/>
      <c r="G99" s="33"/>
      <c r="H99" s="33"/>
      <c r="I99" s="33"/>
      <c r="J99" s="33"/>
      <c r="K99" s="33"/>
      <c r="L99" s="8"/>
      <c r="M99" s="8"/>
      <c r="N99" s="8"/>
      <c r="O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43.5" customHeight="1">
      <c r="A103" s="8"/>
      <c r="B103" s="97" t="s">
        <v>130</v>
      </c>
      <c r="C103" s="25"/>
      <c r="D103" s="25"/>
      <c r="E103" s="26"/>
      <c r="F103" s="98" t="s">
        <v>131</v>
      </c>
      <c r="G103" s="26"/>
      <c r="H103" s="99"/>
      <c r="I103" s="100" t="s">
        <v>132</v>
      </c>
      <c r="J103" s="26"/>
      <c r="K103" s="8"/>
      <c r="L103" s="8"/>
      <c r="M103" s="8"/>
      <c r="N103" s="8"/>
      <c r="O103" s="8"/>
    </row>
    <row r="104" ht="15.0" customHeight="1">
      <c r="A104" s="8"/>
      <c r="B104" s="101" t="s">
        <v>133</v>
      </c>
      <c r="C104" s="102" t="s">
        <v>134</v>
      </c>
      <c r="D104" s="103"/>
      <c r="E104" s="104">
        <v>50.0</v>
      </c>
      <c r="F104" s="105">
        <v>63.0</v>
      </c>
      <c r="G104" s="23"/>
      <c r="H104" s="106">
        <f>E104*F104/100</f>
        <v>31.5</v>
      </c>
      <c r="I104" s="107">
        <v>1.0</v>
      </c>
      <c r="J104" s="108"/>
      <c r="K104" s="8"/>
      <c r="L104" s="8"/>
      <c r="M104" s="8"/>
      <c r="N104" s="8"/>
      <c r="O104" s="8"/>
    </row>
    <row r="105" ht="15.75" customHeight="1">
      <c r="A105" s="8"/>
      <c r="B105" s="109"/>
      <c r="C105" s="102" t="s">
        <v>135</v>
      </c>
      <c r="D105" s="103"/>
      <c r="E105" s="104">
        <v>60.0</v>
      </c>
      <c r="F105" s="29"/>
      <c r="G105" s="30"/>
      <c r="H105" s="110">
        <f>E105*F104/100</f>
        <v>37.8</v>
      </c>
      <c r="I105" s="111">
        <v>2.0</v>
      </c>
      <c r="J105" s="112"/>
      <c r="K105" s="8"/>
      <c r="L105" s="8"/>
      <c r="M105" s="8"/>
      <c r="N105" s="8"/>
      <c r="O105" s="8"/>
    </row>
    <row r="106" ht="15.75" customHeight="1">
      <c r="A106" s="8"/>
      <c r="B106" s="113"/>
      <c r="C106" s="102" t="s">
        <v>136</v>
      </c>
      <c r="D106" s="103"/>
      <c r="E106" s="114">
        <v>70.0</v>
      </c>
      <c r="F106" s="34"/>
      <c r="G106" s="35"/>
      <c r="H106" s="115">
        <f>E106*F104/100</f>
        <v>44.1</v>
      </c>
      <c r="I106" s="116">
        <v>3.0</v>
      </c>
      <c r="J106" s="117"/>
      <c r="K106" s="8"/>
      <c r="L106" s="8"/>
      <c r="M106" s="8"/>
      <c r="N106" s="8"/>
      <c r="O106" s="8"/>
    </row>
    <row r="107" ht="15.75" customHeight="1">
      <c r="A107" s="8"/>
      <c r="B107" s="118"/>
      <c r="C107" s="118"/>
      <c r="D107" s="118"/>
      <c r="E107" s="118"/>
      <c r="F107" s="118"/>
      <c r="G107" s="118"/>
      <c r="H107" s="119"/>
      <c r="I107" s="10"/>
      <c r="J107" s="7"/>
      <c r="K107" s="8"/>
      <c r="L107" s="8"/>
      <c r="M107" s="8"/>
      <c r="N107" s="8"/>
      <c r="O107" s="8"/>
    </row>
    <row r="108" ht="15.75" customHeight="1">
      <c r="A108" s="8"/>
      <c r="B108" s="118"/>
      <c r="C108" s="118"/>
      <c r="D108" s="118"/>
      <c r="E108" s="118"/>
      <c r="F108" s="118"/>
      <c r="G108" s="118"/>
      <c r="H108" s="119"/>
      <c r="I108" s="10"/>
      <c r="J108" s="7"/>
      <c r="K108" s="8"/>
      <c r="L108" s="8"/>
      <c r="M108" s="8"/>
      <c r="N108" s="8"/>
      <c r="O108" s="8"/>
    </row>
    <row r="109" ht="24.0" customHeight="1">
      <c r="A109" s="8"/>
      <c r="B109" s="118"/>
      <c r="C109" s="120" t="s">
        <v>137</v>
      </c>
      <c r="D109" s="121" t="s">
        <v>9</v>
      </c>
      <c r="E109" s="121" t="s">
        <v>11</v>
      </c>
      <c r="F109" s="121" t="s">
        <v>13</v>
      </c>
      <c r="G109" s="121" t="s">
        <v>15</v>
      </c>
      <c r="H109" s="121" t="s">
        <v>138</v>
      </c>
      <c r="I109" s="122" t="s">
        <v>139</v>
      </c>
      <c r="J109" s="118"/>
      <c r="K109" s="8"/>
      <c r="L109" s="8"/>
      <c r="M109" s="8"/>
      <c r="N109" s="8"/>
      <c r="O109" s="8"/>
    </row>
    <row r="110" ht="23.25" customHeight="1">
      <c r="A110" s="8"/>
      <c r="B110" s="118"/>
      <c r="C110" s="123" t="s">
        <v>140</v>
      </c>
      <c r="D110" s="124">
        <f t="shared" ref="D110:I110" si="5">IF(D98&gt;=$H106,3,IF(D98&gt;=$H105,2,IF(D98&gt;=$H104,1,0)))</f>
        <v>0</v>
      </c>
      <c r="E110" s="124">
        <f t="shared" si="5"/>
        <v>0</v>
      </c>
      <c r="F110" s="124">
        <f t="shared" si="5"/>
        <v>0</v>
      </c>
      <c r="G110" s="124">
        <f t="shared" si="5"/>
        <v>0</v>
      </c>
      <c r="H110" s="124">
        <f t="shared" si="5"/>
        <v>0</v>
      </c>
      <c r="I110" s="124">
        <f t="shared" si="5"/>
        <v>0</v>
      </c>
      <c r="J110" s="118"/>
      <c r="K110" s="8"/>
      <c r="L110" s="8"/>
      <c r="M110" s="8"/>
      <c r="N110" s="8"/>
      <c r="O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24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/>
      <c r="B121" s="8"/>
      <c r="C121" s="8"/>
      <c r="D121" s="8"/>
      <c r="E121" s="8"/>
      <c r="F121" s="8" t="s">
        <v>141</v>
      </c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F8:F11"/>
    <mergeCell ref="G8:G11"/>
    <mergeCell ref="B8:B12"/>
    <mergeCell ref="C8:C12"/>
    <mergeCell ref="A96:B96"/>
    <mergeCell ref="E96:E97"/>
    <mergeCell ref="F96:F97"/>
    <mergeCell ref="G96:G97"/>
    <mergeCell ref="A97:C98"/>
    <mergeCell ref="C106:D106"/>
    <mergeCell ref="I106:J106"/>
    <mergeCell ref="H107:J107"/>
    <mergeCell ref="H108:J108"/>
    <mergeCell ref="B103:E103"/>
    <mergeCell ref="F103:G103"/>
    <mergeCell ref="I103:J103"/>
    <mergeCell ref="B104:B106"/>
    <mergeCell ref="C104:D104"/>
    <mergeCell ref="F104:G106"/>
    <mergeCell ref="C105:D105"/>
    <mergeCell ref="D8:D11"/>
    <mergeCell ref="E8:E11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H96:H97"/>
    <mergeCell ref="I96:I97"/>
    <mergeCell ref="J96:J97"/>
    <mergeCell ref="K96:K97"/>
    <mergeCell ref="J98:J99"/>
    <mergeCell ref="K98:K99"/>
    <mergeCell ref="D96:D97"/>
    <mergeCell ref="D98:D99"/>
    <mergeCell ref="E98:E99"/>
    <mergeCell ref="F98:F99"/>
    <mergeCell ref="G98:G99"/>
    <mergeCell ref="H98:H99"/>
    <mergeCell ref="I98:I99"/>
    <mergeCell ref="I104:J104"/>
    <mergeCell ref="I105:J105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86"/>
    <col customWidth="1" min="3" max="3" width="16.29"/>
    <col customWidth="1" min="4" max="4" width="42.43"/>
    <col customWidth="1" min="5" max="5" width="13.43"/>
    <col customWidth="1" min="6" max="8" width="6.57"/>
    <col customWidth="1" min="9" max="22" width="8.71"/>
  </cols>
  <sheetData>
    <row r="1">
      <c r="B1" s="125" t="s">
        <v>142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>
      <c r="B2" s="8"/>
      <c r="C2" s="8"/>
      <c r="D2" s="126" t="s">
        <v>143</v>
      </c>
      <c r="E2" s="18"/>
      <c r="F2" s="8"/>
      <c r="G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13.5" customHeight="1">
      <c r="B3" s="8"/>
      <c r="C3" s="8"/>
      <c r="D3" s="126"/>
      <c r="E3" s="18"/>
      <c r="F3" s="8"/>
      <c r="G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B4" s="8"/>
      <c r="C4" s="5" t="s">
        <v>1</v>
      </c>
      <c r="D4" s="127" t="str">
        <f>'CO_Attainment for Unit Tests'!C3</f>
        <v>INTERNSHIP(12 WEEKS)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B5" s="8"/>
      <c r="C5" s="5" t="s">
        <v>3</v>
      </c>
      <c r="D5" s="127">
        <f>'CO_Attainment for Unit Tests'!C4</f>
        <v>315004</v>
      </c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B6" s="8"/>
      <c r="C6" s="5" t="s">
        <v>52</v>
      </c>
      <c r="D6" s="127" t="str">
        <f>'CO_Attainment for Unit Tests'!C5</f>
        <v>5th Sem Co5K K-Scheme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B7" s="8"/>
      <c r="C7" s="5" t="s">
        <v>6</v>
      </c>
      <c r="D7" s="127" t="str">
        <f>'CO_Attainment for Unit Tests'!C6</f>
        <v>2025-26</v>
      </c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E8" s="18"/>
    </row>
    <row r="9" ht="15.75" customHeight="1">
      <c r="B9" s="128" t="s">
        <v>20</v>
      </c>
      <c r="C9" s="129" t="s">
        <v>54</v>
      </c>
      <c r="D9" s="65" t="s">
        <v>55</v>
      </c>
      <c r="E9" s="129" t="s">
        <v>144</v>
      </c>
    </row>
    <row r="10">
      <c r="B10" s="73"/>
      <c r="C10" s="73"/>
      <c r="D10" s="73"/>
      <c r="E10" s="73"/>
    </row>
    <row r="11">
      <c r="B11" s="73"/>
      <c r="C11" s="73"/>
      <c r="D11" s="73"/>
      <c r="E11" s="73"/>
    </row>
    <row r="12" ht="27.75" customHeight="1">
      <c r="B12" s="73"/>
      <c r="C12" s="73"/>
      <c r="D12" s="73"/>
      <c r="E12" s="77"/>
    </row>
    <row r="13">
      <c r="B13" s="77"/>
      <c r="C13" s="77"/>
      <c r="D13" s="77"/>
      <c r="E13" s="130">
        <v>70.0</v>
      </c>
    </row>
    <row r="14">
      <c r="B14" s="131">
        <v>1.0</v>
      </c>
      <c r="C14" s="131">
        <f>'CO_Attainment for Unit Tests'!B13</f>
        <v>2201180008</v>
      </c>
      <c r="D14" s="132" t="str">
        <f>'CO_Attainment for Unit Tests'!C13</f>
        <v>DHANSHETTI PRIYA SANJAY</v>
      </c>
      <c r="E14" s="89"/>
    </row>
    <row r="15" ht="15.0" customHeight="1">
      <c r="B15" s="131">
        <v>2.0</v>
      </c>
      <c r="C15" s="131">
        <f>'CO_Attainment for Unit Tests'!B14</f>
        <v>23510250191</v>
      </c>
      <c r="D15" s="132" t="str">
        <f>'CO_Attainment for Unit Tests'!C14</f>
        <v>ADSUL SHASHWATI NITIN</v>
      </c>
      <c r="E15" s="89"/>
    </row>
    <row r="16">
      <c r="B16" s="131">
        <v>3.0</v>
      </c>
      <c r="C16" s="131">
        <f>'CO_Attainment for Unit Tests'!B15</f>
        <v>23510250192</v>
      </c>
      <c r="D16" s="132" t="str">
        <f>'CO_Attainment for Unit Tests'!C15</f>
        <v>AVISHKAR BABRUWAN BHISE</v>
      </c>
      <c r="E16" s="89"/>
    </row>
    <row r="17">
      <c r="B17" s="131">
        <v>4.0</v>
      </c>
      <c r="C17" s="131">
        <f>'CO_Attainment for Unit Tests'!B16</f>
        <v>23510250193</v>
      </c>
      <c r="D17" s="132" t="str">
        <f>'CO_Attainment for Unit Tests'!C16</f>
        <v>AWAD MAHESHWARI BHAU</v>
      </c>
      <c r="E17" s="89"/>
    </row>
    <row r="18">
      <c r="B18" s="131">
        <v>5.0</v>
      </c>
      <c r="C18" s="131">
        <f>'CO_Attainment for Unit Tests'!B17</f>
        <v>23510250194</v>
      </c>
      <c r="D18" s="132" t="str">
        <f>'CO_Attainment for Unit Tests'!C17</f>
        <v>BADVE SHARVANI DNYANESHWAR</v>
      </c>
      <c r="E18" s="89"/>
    </row>
    <row r="19">
      <c r="B19" s="131">
        <v>6.0</v>
      </c>
      <c r="C19" s="131">
        <f>'CO_Attainment for Unit Tests'!B18</f>
        <v>23510250195</v>
      </c>
      <c r="D19" s="132" t="str">
        <f>'CO_Attainment for Unit Tests'!C18</f>
        <v>BAGADE MANASI MUKUND</v>
      </c>
      <c r="E19" s="89"/>
    </row>
    <row r="20">
      <c r="B20" s="131">
        <v>7.0</v>
      </c>
      <c r="C20" s="131">
        <f>'CO_Attainment for Unit Tests'!B19</f>
        <v>23510250196</v>
      </c>
      <c r="D20" s="132" t="str">
        <f>'CO_Attainment for Unit Tests'!C19</f>
        <v>BARDE ARCHANA HANUMANT</v>
      </c>
      <c r="E20" s="89"/>
    </row>
    <row r="21" ht="15.75" customHeight="1">
      <c r="B21" s="131">
        <v>8.0</v>
      </c>
      <c r="C21" s="131">
        <f>'CO_Attainment for Unit Tests'!B20</f>
        <v>23510250197</v>
      </c>
      <c r="D21" s="132" t="str">
        <f>'CO_Attainment for Unit Tests'!C20</f>
        <v>BARMADE SHRADDHA SUDHAKAR</v>
      </c>
      <c r="E21" s="89"/>
    </row>
    <row r="22" ht="15.75" customHeight="1">
      <c r="B22" s="131">
        <v>9.0</v>
      </c>
      <c r="C22" s="131">
        <f>'CO_Attainment for Unit Tests'!B21</f>
        <v>23510250198</v>
      </c>
      <c r="D22" s="132" t="str">
        <f>'CO_Attainment for Unit Tests'!C21</f>
        <v>BEDKE ANKITA SHRIRAM</v>
      </c>
      <c r="E22" s="89"/>
    </row>
    <row r="23" ht="15.75" customHeight="1">
      <c r="B23" s="131">
        <v>10.0</v>
      </c>
      <c r="C23" s="131">
        <f>'CO_Attainment for Unit Tests'!B22</f>
        <v>23510250199</v>
      </c>
      <c r="D23" s="132" t="str">
        <f>'CO_Attainment for Unit Tests'!C22</f>
        <v>BHAD SHRAVANI UMAKANT</v>
      </c>
      <c r="E23" s="89"/>
    </row>
    <row r="24" ht="15.75" customHeight="1">
      <c r="B24" s="131">
        <v>11.0</v>
      </c>
      <c r="C24" s="131">
        <f>'CO_Attainment for Unit Tests'!B23</f>
        <v>23510250200</v>
      </c>
      <c r="D24" s="132" t="str">
        <f>'CO_Attainment for Unit Tests'!C23</f>
        <v>BHORE NIKITA SHANKAR</v>
      </c>
      <c r="E24" s="89"/>
    </row>
    <row r="25" ht="15.75" customHeight="1">
      <c r="B25" s="131">
        <v>12.0</v>
      </c>
      <c r="C25" s="131">
        <f>'CO_Attainment for Unit Tests'!B24</f>
        <v>23510250201</v>
      </c>
      <c r="D25" s="132" t="str">
        <f>'CO_Attainment for Unit Tests'!C24</f>
        <v>BHOSALE PRADNYA HARIDAS</v>
      </c>
      <c r="E25" s="89"/>
    </row>
    <row r="26" ht="15.75" customHeight="1">
      <c r="B26" s="131">
        <v>13.0</v>
      </c>
      <c r="C26" s="131">
        <f>'CO_Attainment for Unit Tests'!B25</f>
        <v>23510250202</v>
      </c>
      <c r="D26" s="132" t="str">
        <f>'CO_Attainment for Unit Tests'!C25</f>
        <v>BHOSALE TEJAS GAJANAN</v>
      </c>
      <c r="E26" s="89"/>
    </row>
    <row r="27" ht="15.75" customHeight="1">
      <c r="B27" s="131">
        <v>14.0</v>
      </c>
      <c r="C27" s="131">
        <f>'CO_Attainment for Unit Tests'!B26</f>
        <v>23510250203</v>
      </c>
      <c r="D27" s="132" t="str">
        <f>'CO_Attainment for Unit Tests'!C26</f>
        <v>BIRAJDAR PRASHANT PADMAKAR</v>
      </c>
      <c r="E27" s="89"/>
    </row>
    <row r="28" ht="15.0" customHeight="1">
      <c r="B28" s="131">
        <v>15.0</v>
      </c>
      <c r="C28" s="131">
        <f>'CO_Attainment for Unit Tests'!B27</f>
        <v>23510250204</v>
      </c>
      <c r="D28" s="132" t="str">
        <f>'CO_Attainment for Unit Tests'!C27</f>
        <v>CHANDANE SHRAVANI PRASHANT</v>
      </c>
      <c r="E28" s="89"/>
    </row>
    <row r="29" ht="15.75" customHeight="1">
      <c r="B29" s="131">
        <v>16.0</v>
      </c>
      <c r="C29" s="131">
        <f>'CO_Attainment for Unit Tests'!B28</f>
        <v>23510250205</v>
      </c>
      <c r="D29" s="132" t="str">
        <f>'CO_Attainment for Unit Tests'!C28</f>
        <v>CHAVAN NIKITA NARAYAN</v>
      </c>
      <c r="E29" s="89"/>
    </row>
    <row r="30" ht="15.75" customHeight="1">
      <c r="B30" s="131">
        <v>17.0</v>
      </c>
      <c r="C30" s="131">
        <f>'CO_Attainment for Unit Tests'!B29</f>
        <v>23510250207</v>
      </c>
      <c r="D30" s="132" t="str">
        <f>'CO_Attainment for Unit Tests'!C29</f>
        <v>DANE SUSHANT VITTHAL</v>
      </c>
      <c r="E30" s="89"/>
    </row>
    <row r="31" ht="15.75" customHeight="1">
      <c r="B31" s="131">
        <v>18.0</v>
      </c>
      <c r="C31" s="131">
        <f>'CO_Attainment for Unit Tests'!B30</f>
        <v>23510250208</v>
      </c>
      <c r="D31" s="132" t="str">
        <f>'CO_Attainment for Unit Tests'!C30</f>
        <v>DEMGUNDE RAVIKIRAN DHONDIRAM</v>
      </c>
      <c r="E31" s="89"/>
    </row>
    <row r="32" ht="15.75" customHeight="1">
      <c r="B32" s="131">
        <v>19.0</v>
      </c>
      <c r="C32" s="131">
        <f>'CO_Attainment for Unit Tests'!B31</f>
        <v>23510250209</v>
      </c>
      <c r="D32" s="132" t="str">
        <f>'CO_Attainment for Unit Tests'!C31</f>
        <v>DHAGE ANUPAMA NAGESH</v>
      </c>
      <c r="E32" s="89"/>
    </row>
    <row r="33" ht="15.75" customHeight="1">
      <c r="B33" s="131">
        <v>20.0</v>
      </c>
      <c r="C33" s="131">
        <f>'CO_Attainment for Unit Tests'!B32</f>
        <v>23510250210</v>
      </c>
      <c r="D33" s="132" t="str">
        <f>'CO_Attainment for Unit Tests'!C32</f>
        <v>FULMALI SARTHAK SANTOSH</v>
      </c>
      <c r="E33" s="89"/>
    </row>
    <row r="34" ht="15.75" customHeight="1">
      <c r="B34" s="131">
        <v>21.0</v>
      </c>
      <c r="C34" s="131">
        <f>'CO_Attainment for Unit Tests'!B33</f>
        <v>23510250212</v>
      </c>
      <c r="D34" s="132" t="str">
        <f>'CO_Attainment for Unit Tests'!C33</f>
        <v>GAVALI MONIKA DNYANDEO</v>
      </c>
      <c r="E34" s="89"/>
    </row>
    <row r="35" ht="15.75" customHeight="1">
      <c r="B35" s="131">
        <v>22.0</v>
      </c>
      <c r="C35" s="131">
        <f>'CO_Attainment for Unit Tests'!B34</f>
        <v>23510250215</v>
      </c>
      <c r="D35" s="132" t="str">
        <f>'CO_Attainment for Unit Tests'!C34</f>
        <v>ISAKE PRATIKSHA MAHESH</v>
      </c>
      <c r="E35" s="89"/>
    </row>
    <row r="36" ht="15.75" customHeight="1">
      <c r="B36" s="131">
        <v>23.0</v>
      </c>
      <c r="C36" s="131">
        <f>'CO_Attainment for Unit Tests'!B35</f>
        <v>23510250216</v>
      </c>
      <c r="D36" s="132" t="str">
        <f>'CO_Attainment for Unit Tests'!C35</f>
        <v>JAGTAP SHREYA SHRIRANG</v>
      </c>
      <c r="E36" s="89"/>
    </row>
    <row r="37" ht="15.75" customHeight="1">
      <c r="B37" s="131">
        <v>24.0</v>
      </c>
      <c r="C37" s="131">
        <f>'CO_Attainment for Unit Tests'!B36</f>
        <v>23510250217</v>
      </c>
      <c r="D37" s="132" t="str">
        <f>'CO_Attainment for Unit Tests'!C36</f>
        <v>JOSHI TANUJA GUNDERAO</v>
      </c>
      <c r="E37" s="89"/>
    </row>
    <row r="38" ht="15.75" customHeight="1">
      <c r="B38" s="131">
        <v>25.0</v>
      </c>
      <c r="C38" s="131">
        <f>'CO_Attainment for Unit Tests'!B37</f>
        <v>23510250218</v>
      </c>
      <c r="D38" s="132" t="str">
        <f>'CO_Attainment for Unit Tests'!C37</f>
        <v>KALE PRACHI KISHOR</v>
      </c>
      <c r="E38" s="89"/>
    </row>
    <row r="39" ht="15.75" customHeight="1">
      <c r="B39" s="131">
        <v>26.0</v>
      </c>
      <c r="C39" s="131">
        <f>'CO_Attainment for Unit Tests'!B38</f>
        <v>23510250219</v>
      </c>
      <c r="D39" s="132" t="str">
        <f>'CO_Attainment for Unit Tests'!C38</f>
        <v>KALE VAISHNAVI DHANRAJ</v>
      </c>
      <c r="E39" s="89"/>
    </row>
    <row r="40" ht="15.75" customHeight="1">
      <c r="B40" s="131">
        <v>27.0</v>
      </c>
      <c r="C40" s="131">
        <f>'CO_Attainment for Unit Tests'!B39</f>
        <v>23510250221</v>
      </c>
      <c r="D40" s="132" t="str">
        <f>'CO_Attainment for Unit Tests'!C39</f>
        <v>KAMBLE SONAM VILAS</v>
      </c>
      <c r="E40" s="89"/>
    </row>
    <row r="41" ht="15.75" customHeight="1">
      <c r="B41" s="131">
        <v>28.0</v>
      </c>
      <c r="C41" s="131">
        <f>'CO_Attainment for Unit Tests'!B40</f>
        <v>23510250222</v>
      </c>
      <c r="D41" s="132" t="str">
        <f>'CO_Attainment for Unit Tests'!C40</f>
        <v>KENDRE MAYURI TUKARAM</v>
      </c>
      <c r="E41" s="89"/>
    </row>
    <row r="42" ht="15.75" customHeight="1">
      <c r="B42" s="131">
        <v>29.0</v>
      </c>
      <c r="C42" s="131">
        <f>'CO_Attainment for Unit Tests'!B41</f>
        <v>23510250223</v>
      </c>
      <c r="D42" s="132" t="str">
        <f>'CO_Attainment for Unit Tests'!C41</f>
        <v>KHANDAGALE SUHANI VIKRAM</v>
      </c>
      <c r="E42" s="89"/>
    </row>
    <row r="43" ht="15.75" customHeight="1">
      <c r="B43" s="131">
        <v>30.0</v>
      </c>
      <c r="C43" s="131">
        <f>'CO_Attainment for Unit Tests'!B42</f>
        <v>23510250224</v>
      </c>
      <c r="D43" s="132" t="str">
        <f>'CO_Attainment for Unit Tests'!C42</f>
        <v>KHUNE PRIYANKA PRAMOD</v>
      </c>
      <c r="E43" s="89"/>
    </row>
    <row r="44" ht="15.75" customHeight="1">
      <c r="B44" s="131">
        <v>31.0</v>
      </c>
      <c r="C44" s="131">
        <f>'CO_Attainment for Unit Tests'!B43</f>
        <v>23510250225</v>
      </c>
      <c r="D44" s="132" t="str">
        <f>'CO_Attainment for Unit Tests'!C43</f>
        <v>KSHIRSAGAR ISHWARI DATTATRAYA</v>
      </c>
      <c r="E44" s="89"/>
    </row>
    <row r="45" ht="15.75" customHeight="1">
      <c r="B45" s="131">
        <v>32.0</v>
      </c>
      <c r="C45" s="131">
        <f>'CO_Attainment for Unit Tests'!B44</f>
        <v>23510250226</v>
      </c>
      <c r="D45" s="132" t="str">
        <f>'CO_Attainment for Unit Tests'!C44</f>
        <v>LONDHE PRAMILA CHHATRAGUN</v>
      </c>
      <c r="E45" s="89"/>
    </row>
    <row r="46" ht="15.0" customHeight="1">
      <c r="B46" s="131">
        <v>33.0</v>
      </c>
      <c r="C46" s="131">
        <f>'CO_Attainment for Unit Tests'!B45</f>
        <v>23510250227</v>
      </c>
      <c r="D46" s="132" t="str">
        <f>'CO_Attainment for Unit Tests'!C45</f>
        <v>MALI KARAN ASHOK</v>
      </c>
      <c r="E46" s="89"/>
    </row>
    <row r="47" ht="15.75" customHeight="1">
      <c r="B47" s="131">
        <v>34.0</v>
      </c>
      <c r="C47" s="131">
        <f>'CO_Attainment for Unit Tests'!B46</f>
        <v>23510250228</v>
      </c>
      <c r="D47" s="132" t="str">
        <f>'CO_Attainment for Unit Tests'!C46</f>
        <v>MENDHEKAR PRITI GOROBA</v>
      </c>
      <c r="E47" s="89"/>
    </row>
    <row r="48" ht="15.75" customHeight="1">
      <c r="B48" s="131">
        <v>35.0</v>
      </c>
      <c r="C48" s="131">
        <f>'CO_Attainment for Unit Tests'!B47</f>
        <v>23510250233</v>
      </c>
      <c r="D48" s="132" t="str">
        <f>'CO_Attainment for Unit Tests'!C47</f>
        <v>NIMBALKAR ASMITA BHUJANG</v>
      </c>
      <c r="E48" s="89"/>
    </row>
    <row r="49" ht="15.75" customHeight="1">
      <c r="B49" s="131">
        <v>36.0</v>
      </c>
      <c r="C49" s="131">
        <f>'CO_Attainment for Unit Tests'!B48</f>
        <v>23510250234</v>
      </c>
      <c r="D49" s="132" t="str">
        <f>'CO_Attainment for Unit Tests'!C48</f>
        <v>PANCHAL GAYATRI DNYANESHWAR</v>
      </c>
      <c r="E49" s="89"/>
    </row>
    <row r="50" ht="15.75" customHeight="1">
      <c r="B50" s="131">
        <v>37.0</v>
      </c>
      <c r="C50" s="131">
        <f>'CO_Attainment for Unit Tests'!B49</f>
        <v>23510250235</v>
      </c>
      <c r="D50" s="132" t="str">
        <f>'CO_Attainment for Unit Tests'!C49</f>
        <v>PATHAN ADIBA FIRDOS AMJAD KHAN</v>
      </c>
      <c r="E50" s="89"/>
    </row>
    <row r="51" ht="15.75" customHeight="1">
      <c r="B51" s="131">
        <v>38.0</v>
      </c>
      <c r="C51" s="131">
        <f>'CO_Attainment for Unit Tests'!B50</f>
        <v>23510250236</v>
      </c>
      <c r="D51" s="132" t="str">
        <f>'CO_Attainment for Unit Tests'!C50</f>
        <v>PATIL AMRUTA SURESH</v>
      </c>
      <c r="E51" s="89"/>
    </row>
    <row r="52" ht="15.75" customHeight="1">
      <c r="B52" s="131">
        <v>39.0</v>
      </c>
      <c r="C52" s="131">
        <f>'CO_Attainment for Unit Tests'!B51</f>
        <v>23510250237</v>
      </c>
      <c r="D52" s="132" t="str">
        <f>'CO_Attainment for Unit Tests'!C51</f>
        <v>PATIL DNYANESHWARI SUBHASH</v>
      </c>
      <c r="E52" s="89"/>
    </row>
    <row r="53" ht="15.75" customHeight="1">
      <c r="B53" s="131">
        <v>40.0</v>
      </c>
      <c r="C53" s="131">
        <f>'CO_Attainment for Unit Tests'!B52</f>
        <v>23510250238</v>
      </c>
      <c r="D53" s="132" t="str">
        <f>'CO_Attainment for Unit Tests'!C52</f>
        <v>PAWAR ARYA RAJENDRA</v>
      </c>
      <c r="E53" s="89"/>
    </row>
    <row r="54" ht="15.75" customHeight="1">
      <c r="B54" s="131">
        <v>41.0</v>
      </c>
      <c r="C54" s="131">
        <f>'CO_Attainment for Unit Tests'!B53</f>
        <v>23510250239</v>
      </c>
      <c r="D54" s="132" t="str">
        <f>'CO_Attainment for Unit Tests'!C53</f>
        <v>PAWAR SARIKA PANDURANG</v>
      </c>
      <c r="E54" s="89"/>
    </row>
    <row r="55" ht="15.75" customHeight="1">
      <c r="B55" s="131">
        <v>42.0</v>
      </c>
      <c r="C55" s="131">
        <f>'CO_Attainment for Unit Tests'!B54</f>
        <v>23510250240</v>
      </c>
      <c r="D55" s="132" t="str">
        <f>'CO_Attainment for Unit Tests'!C54</f>
        <v>PAWAR VAIBHAVI LAXMAN</v>
      </c>
      <c r="E55" s="89"/>
    </row>
    <row r="56" ht="15.75" customHeight="1">
      <c r="B56" s="131">
        <v>43.0</v>
      </c>
      <c r="C56" s="131">
        <f>'CO_Attainment for Unit Tests'!B55</f>
        <v>23510250241</v>
      </c>
      <c r="D56" s="132" t="str">
        <f>'CO_Attainment for Unit Tests'!C55</f>
        <v>PICHRUTE GAYATRI AMBADAS</v>
      </c>
      <c r="E56" s="89"/>
    </row>
    <row r="57" ht="15.75" customHeight="1">
      <c r="B57" s="131">
        <v>44.0</v>
      </c>
      <c r="C57" s="131">
        <f>'CO_Attainment for Unit Tests'!B56</f>
        <v>23510250242</v>
      </c>
      <c r="D57" s="132" t="str">
        <f>'CO_Attainment for Unit Tests'!C56</f>
        <v>PIRJADE AFREEN UBEDULLA</v>
      </c>
      <c r="E57" s="89"/>
    </row>
    <row r="58" ht="15.75" customHeight="1">
      <c r="B58" s="131">
        <v>45.0</v>
      </c>
      <c r="C58" s="131">
        <f>'CO_Attainment for Unit Tests'!B57</f>
        <v>23510250244</v>
      </c>
      <c r="D58" s="132" t="str">
        <f>'CO_Attainment for Unit Tests'!C57</f>
        <v>RAJPUT BHIMSING UMRAOSING</v>
      </c>
      <c r="E58" s="89"/>
    </row>
    <row r="59" ht="15.0" customHeight="1">
      <c r="B59" s="131">
        <v>46.0</v>
      </c>
      <c r="C59" s="131">
        <f>'CO_Attainment for Unit Tests'!B58</f>
        <v>23510250246</v>
      </c>
      <c r="D59" s="132" t="str">
        <f>'CO_Attainment for Unit Tests'!C58</f>
        <v>SAKHARKAR SHRAVANI HARI</v>
      </c>
      <c r="E59" s="89"/>
    </row>
    <row r="60" ht="15.75" customHeight="1">
      <c r="B60" s="131">
        <v>47.0</v>
      </c>
      <c r="C60" s="131">
        <f>'CO_Attainment for Unit Tests'!B59</f>
        <v>23510250247</v>
      </c>
      <c r="D60" s="132" t="str">
        <f>'CO_Attainment for Unit Tests'!C59</f>
        <v>SHINDALKAR ANIKET SHESHERAO</v>
      </c>
      <c r="E60" s="89"/>
    </row>
    <row r="61" ht="15.75" customHeight="1">
      <c r="B61" s="131">
        <v>48.0</v>
      </c>
      <c r="C61" s="131">
        <f>'CO_Attainment for Unit Tests'!B60</f>
        <v>23510250248</v>
      </c>
      <c r="D61" s="132" t="str">
        <f>'CO_Attainment for Unit Tests'!C60</f>
        <v>SHINDE DIPIKA DATTATRAY</v>
      </c>
      <c r="E61" s="89"/>
    </row>
    <row r="62" ht="15.75" customHeight="1">
      <c r="B62" s="131">
        <v>49.0</v>
      </c>
      <c r="C62" s="131">
        <f>'CO_Attainment for Unit Tests'!B61</f>
        <v>23510250249</v>
      </c>
      <c r="D62" s="132" t="str">
        <f>'CO_Attainment for Unit Tests'!C61</f>
        <v>SHINDE ROHAN RAJENDRA</v>
      </c>
      <c r="E62" s="89"/>
    </row>
    <row r="63" ht="15.75" customHeight="1">
      <c r="B63" s="131">
        <v>50.0</v>
      </c>
      <c r="C63" s="131">
        <f>'CO_Attainment for Unit Tests'!B62</f>
        <v>23510250250</v>
      </c>
      <c r="D63" s="132" t="str">
        <f>'CO_Attainment for Unit Tests'!C62</f>
        <v>SHINDE SHIVAM SANDEEP</v>
      </c>
      <c r="E63" s="89"/>
    </row>
    <row r="64" ht="15.75" customHeight="1">
      <c r="B64" s="131">
        <v>51.0</v>
      </c>
      <c r="C64" s="131">
        <f>'CO_Attainment for Unit Tests'!B63</f>
        <v>23510250251</v>
      </c>
      <c r="D64" s="132" t="str">
        <f>'CO_Attainment for Unit Tests'!C63</f>
        <v>SHINDE YASHRAJ YUVRAJ</v>
      </c>
      <c r="E64" s="89"/>
    </row>
    <row r="65" ht="15.75" customHeight="1">
      <c r="B65" s="131">
        <v>52.0</v>
      </c>
      <c r="C65" s="131">
        <f>'CO_Attainment for Unit Tests'!B64</f>
        <v>23510250252</v>
      </c>
      <c r="D65" s="132" t="str">
        <f>'CO_Attainment for Unit Tests'!C64</f>
        <v>SIRSAT ABHISHEK SHAHAJI</v>
      </c>
      <c r="E65" s="89"/>
    </row>
    <row r="66" ht="15.75" customHeight="1">
      <c r="B66" s="131">
        <v>53.0</v>
      </c>
      <c r="C66" s="131">
        <f>'CO_Attainment for Unit Tests'!B65</f>
        <v>23510250254</v>
      </c>
      <c r="D66" s="132" t="str">
        <f>'CO_Attainment for Unit Tests'!C65</f>
        <v>UMBARDAND SHIVLILA BABASAHEB</v>
      </c>
      <c r="E66" s="89"/>
    </row>
    <row r="67" ht="15.75" customHeight="1">
      <c r="B67" s="131">
        <v>54.0</v>
      </c>
      <c r="C67" s="131">
        <f>'CO_Attainment for Unit Tests'!B66</f>
        <v>23510250255</v>
      </c>
      <c r="D67" s="132" t="str">
        <f>'CO_Attainment for Unit Tests'!C66</f>
        <v>VARE ANJALI RAMDAS</v>
      </c>
      <c r="E67" s="89"/>
    </row>
    <row r="68" ht="15.75" customHeight="1">
      <c r="B68" s="131">
        <v>55.0</v>
      </c>
      <c r="C68" s="131">
        <f>'CO_Attainment for Unit Tests'!B67</f>
        <v>23510250257</v>
      </c>
      <c r="D68" s="132" t="str">
        <f>'CO_Attainment for Unit Tests'!C67</f>
        <v>WAGHMARE PALLAVI DNYANESHWAR</v>
      </c>
      <c r="E68" s="89"/>
    </row>
    <row r="69" ht="15.75" customHeight="1">
      <c r="B69" s="131">
        <v>56.0</v>
      </c>
      <c r="C69" s="131">
        <f>'CO_Attainment for Unit Tests'!B68</f>
        <v>23510250524</v>
      </c>
      <c r="D69" s="132" t="str">
        <f>'CO_Attainment for Unit Tests'!C68</f>
        <v>Gavasane Vedant Amol</v>
      </c>
      <c r="E69" s="89"/>
    </row>
    <row r="70" ht="15.75" customHeight="1">
      <c r="B70" s="131">
        <v>57.0</v>
      </c>
      <c r="C70" s="131">
        <f>'CO_Attainment for Unit Tests'!B69</f>
        <v>24510250260</v>
      </c>
      <c r="D70" s="132" t="str">
        <f>'CO_Attainment for Unit Tests'!C69</f>
        <v>HAJARE SWAPNALI SUJIT</v>
      </c>
      <c r="E70" s="89"/>
    </row>
    <row r="71" ht="15.75" customHeight="1">
      <c r="B71" s="131">
        <v>58.0</v>
      </c>
      <c r="C71" s="131">
        <f>'CO_Attainment for Unit Tests'!B70</f>
        <v>24510250261</v>
      </c>
      <c r="D71" s="132" t="str">
        <f>'CO_Attainment for Unit Tests'!C70</f>
        <v>MUGALE AMAR RAM</v>
      </c>
      <c r="E71" s="89"/>
    </row>
    <row r="72" ht="15.75" customHeight="1">
      <c r="B72" s="131">
        <v>59.0</v>
      </c>
      <c r="C72" s="131">
        <f>'CO_Attainment for Unit Tests'!B71</f>
        <v>24510250262</v>
      </c>
      <c r="D72" s="132" t="str">
        <f>'CO_Attainment for Unit Tests'!C71</f>
        <v>PAWAR ASHWASANDHYA NANDAKUMAR</v>
      </c>
      <c r="E72" s="89"/>
    </row>
    <row r="73" ht="15.75" customHeight="1">
      <c r="B73" s="131">
        <v>60.0</v>
      </c>
      <c r="C73" s="131">
        <f>'CO_Attainment for Unit Tests'!B72</f>
        <v>24510250263</v>
      </c>
      <c r="D73" s="132" t="str">
        <f>'CO_Attainment for Unit Tests'!C72</f>
        <v>PAWAR ASHWASHRADHA DHANAJI</v>
      </c>
      <c r="E73" s="89"/>
    </row>
    <row r="74" ht="15.75" customHeight="1">
      <c r="B74" s="131">
        <v>61.0</v>
      </c>
      <c r="C74" s="131">
        <f>'CO_Attainment for Unit Tests'!B73</f>
        <v>24510250264</v>
      </c>
      <c r="D74" s="132" t="str">
        <f>'CO_Attainment for Unit Tests'!C73</f>
        <v>SUTAR PRIYA BHAGVANT</v>
      </c>
      <c r="E74" s="89"/>
    </row>
    <row r="75" ht="15.75" customHeight="1">
      <c r="B75" s="131">
        <v>62.0</v>
      </c>
      <c r="C75" s="131">
        <f>'CO_Attainment for Unit Tests'!B74</f>
        <v>24510250265</v>
      </c>
      <c r="D75" s="132" t="str">
        <f>'CO_Attainment for Unit Tests'!C74</f>
        <v>SUTAR YOGESH EKNATH</v>
      </c>
      <c r="E75" s="89"/>
    </row>
    <row r="76" ht="15.75" customHeight="1">
      <c r="B76" s="131">
        <v>63.0</v>
      </c>
      <c r="C76" s="131">
        <f>'CO_Attainment for Unit Tests'!B75</f>
        <v>24510250266</v>
      </c>
      <c r="D76" s="132" t="str">
        <f>'CO_Attainment for Unit Tests'!C75</f>
        <v>WAWALKAR ANJALI ANIL</v>
      </c>
      <c r="E76" s="89"/>
    </row>
    <row r="77" ht="15.75" customHeight="1">
      <c r="B77" s="131">
        <v>64.0</v>
      </c>
      <c r="C77" s="131" t="str">
        <f>'CO_Attainment for Unit Tests'!B76</f>
        <v/>
      </c>
      <c r="D77" s="132" t="str">
        <f>'CO_Attainment for Unit Tests'!C76</f>
        <v/>
      </c>
      <c r="E77" s="89"/>
    </row>
    <row r="78" ht="15.75" customHeight="1">
      <c r="B78" s="131">
        <v>65.0</v>
      </c>
      <c r="C78" s="131" t="str">
        <f>'CO_Attainment for Unit Tests'!B77</f>
        <v/>
      </c>
      <c r="D78" s="132" t="str">
        <f>'CO_Attainment for Unit Tests'!C77</f>
        <v/>
      </c>
      <c r="E78" s="89"/>
    </row>
    <row r="79" ht="15.75" customHeight="1">
      <c r="B79" s="131">
        <v>66.0</v>
      </c>
      <c r="C79" s="131" t="str">
        <f>'CO_Attainment for Unit Tests'!B78</f>
        <v/>
      </c>
      <c r="D79" s="132" t="str">
        <f>'CO_Attainment for Unit Tests'!C78</f>
        <v/>
      </c>
      <c r="E79" s="89"/>
    </row>
    <row r="80" ht="15.75" customHeight="1">
      <c r="B80" s="131">
        <v>67.0</v>
      </c>
      <c r="C80" s="131" t="str">
        <f>'CO_Attainment for Unit Tests'!B79</f>
        <v/>
      </c>
      <c r="D80" s="132" t="str">
        <f>'CO_Attainment for Unit Tests'!C79</f>
        <v/>
      </c>
      <c r="E80" s="89"/>
    </row>
    <row r="81" ht="15.75" customHeight="1">
      <c r="B81" s="131">
        <v>68.0</v>
      </c>
      <c r="C81" s="131" t="str">
        <f>'CO_Attainment for Unit Tests'!B80</f>
        <v/>
      </c>
      <c r="D81" s="132" t="str">
        <f>'CO_Attainment for Unit Tests'!C80</f>
        <v/>
      </c>
      <c r="E81" s="89"/>
    </row>
    <row r="82" ht="15.75" customHeight="1">
      <c r="B82" s="131">
        <v>69.0</v>
      </c>
      <c r="C82" s="131" t="str">
        <f>'CO_Attainment for Unit Tests'!B81</f>
        <v/>
      </c>
      <c r="D82" s="132" t="str">
        <f>'CO_Attainment for Unit Tests'!C81</f>
        <v/>
      </c>
      <c r="E82" s="89"/>
    </row>
    <row r="83" ht="15.75" customHeight="1">
      <c r="B83" s="131">
        <v>70.0</v>
      </c>
      <c r="C83" s="131" t="str">
        <f>'CO_Attainment for Unit Tests'!B82</f>
        <v/>
      </c>
      <c r="D83" s="132" t="str">
        <f>'CO_Attainment for Unit Tests'!C82</f>
        <v/>
      </c>
      <c r="E83" s="89"/>
    </row>
    <row r="84" ht="15.75" customHeight="1">
      <c r="B84" s="131">
        <v>71.0</v>
      </c>
      <c r="C84" s="131" t="str">
        <f>'CO_Attainment for Unit Tests'!B83</f>
        <v/>
      </c>
      <c r="D84" s="132" t="str">
        <f>'CO_Attainment for Unit Tests'!C83</f>
        <v/>
      </c>
      <c r="E84" s="89"/>
    </row>
    <row r="85" ht="15.75" customHeight="1">
      <c r="B85" s="131">
        <v>72.0</v>
      </c>
      <c r="C85" s="131" t="str">
        <f>'CO_Attainment for Unit Tests'!B84</f>
        <v/>
      </c>
      <c r="D85" s="132" t="str">
        <f>'CO_Attainment for Unit Tests'!C84</f>
        <v/>
      </c>
      <c r="E85" s="89"/>
    </row>
    <row r="86" ht="15.75" customHeight="1">
      <c r="B86" s="131">
        <v>73.0</v>
      </c>
      <c r="C86" s="131" t="str">
        <f>'CO_Attainment for Unit Tests'!B85</f>
        <v/>
      </c>
      <c r="D86" s="132" t="str">
        <f>'CO_Attainment for Unit Tests'!C85</f>
        <v/>
      </c>
      <c r="E86" s="89"/>
    </row>
    <row r="87" ht="15.75" customHeight="1">
      <c r="B87" s="131">
        <v>74.0</v>
      </c>
      <c r="C87" s="131" t="str">
        <f>'CO_Attainment for Unit Tests'!B86</f>
        <v/>
      </c>
      <c r="D87" s="132" t="str">
        <f>'CO_Attainment for Unit Tests'!C86</f>
        <v/>
      </c>
      <c r="E87" s="89"/>
    </row>
    <row r="88" ht="15.0" customHeight="1">
      <c r="B88" s="131">
        <v>75.0</v>
      </c>
      <c r="C88" s="131" t="str">
        <f>'CO_Attainment for Unit Tests'!B87</f>
        <v/>
      </c>
      <c r="D88" s="132" t="str">
        <f>'CO_Attainment for Unit Tests'!C87</f>
        <v/>
      </c>
      <c r="E88" s="89"/>
    </row>
    <row r="89" ht="15.75" customHeight="1">
      <c r="B89" s="131">
        <v>76.0</v>
      </c>
      <c r="C89" s="131" t="str">
        <f>'CO_Attainment for Unit Tests'!B88</f>
        <v/>
      </c>
      <c r="D89" s="132" t="str">
        <f>'CO_Attainment for Unit Tests'!C88</f>
        <v/>
      </c>
      <c r="E89" s="89"/>
    </row>
    <row r="90" ht="15.75" customHeight="1">
      <c r="B90" s="131">
        <v>77.0</v>
      </c>
      <c r="C90" s="131" t="str">
        <f>'CO_Attainment for Unit Tests'!B89</f>
        <v/>
      </c>
      <c r="D90" s="132" t="str">
        <f>'CO_Attainment for Unit Tests'!C89</f>
        <v/>
      </c>
      <c r="E90" s="89"/>
    </row>
    <row r="91" ht="15.75" customHeight="1">
      <c r="B91" s="131">
        <v>78.0</v>
      </c>
      <c r="C91" s="131" t="str">
        <f>'CO_Attainment for Unit Tests'!B90</f>
        <v/>
      </c>
      <c r="D91" s="132" t="str">
        <f>'CO_Attainment for Unit Tests'!C90</f>
        <v/>
      </c>
      <c r="E91" s="89"/>
    </row>
    <row r="92" ht="15.75" customHeight="1">
      <c r="B92" s="131">
        <v>79.0</v>
      </c>
      <c r="C92" s="131" t="str">
        <f>'CO_Attainment for Unit Tests'!B91</f>
        <v/>
      </c>
      <c r="D92" s="132" t="str">
        <f>'CO_Attainment for Unit Tests'!C91</f>
        <v/>
      </c>
      <c r="E92" s="89"/>
    </row>
    <row r="93" ht="15.75" customHeight="1">
      <c r="B93" s="131">
        <v>80.0</v>
      </c>
      <c r="C93" s="131" t="str">
        <f>'CO_Attainment for Unit Tests'!B92</f>
        <v/>
      </c>
      <c r="D93" s="132" t="str">
        <f>'CO_Attainment for Unit Tests'!C92</f>
        <v/>
      </c>
      <c r="E93" s="89"/>
    </row>
    <row r="94" ht="24.75" customHeight="1">
      <c r="B94" s="131">
        <v>81.0</v>
      </c>
      <c r="C94" s="131" t="str">
        <f>'CO_Attainment for Unit Tests'!B93</f>
        <v/>
      </c>
      <c r="D94" s="132" t="str">
        <f>'CO_Attainment for Unit Tests'!C93</f>
        <v/>
      </c>
      <c r="E94" s="89"/>
    </row>
    <row r="95" ht="15.75" customHeight="1">
      <c r="B95" s="131">
        <v>82.0</v>
      </c>
      <c r="C95" s="131" t="str">
        <f>'CO_Attainment for Unit Tests'!B94</f>
        <v/>
      </c>
      <c r="D95" s="132" t="str">
        <f>'CO_Attainment for Unit Tests'!C94</f>
        <v/>
      </c>
      <c r="E95" s="89"/>
    </row>
    <row r="96" ht="15.75" customHeight="1">
      <c r="B96" s="131">
        <v>83.0</v>
      </c>
      <c r="C96" s="131" t="str">
        <f>'CO_Attainment for Unit Tests'!B95</f>
        <v/>
      </c>
      <c r="D96" s="132" t="str">
        <f>'CO_Attainment for Unit Tests'!C95</f>
        <v/>
      </c>
      <c r="E96" s="89"/>
    </row>
    <row r="97" ht="33.0" customHeight="1">
      <c r="B97" s="19"/>
      <c r="C97" s="19"/>
      <c r="D97" s="133" t="s">
        <v>145</v>
      </c>
      <c r="E97" s="134">
        <f>D98*E13/100</f>
        <v>32.879</v>
      </c>
    </row>
    <row r="98" ht="15.75" customHeight="1">
      <c r="D98" s="135">
        <v>46.97</v>
      </c>
      <c r="E98" s="33"/>
    </row>
    <row r="99" ht="15.0" customHeight="1">
      <c r="D99" s="136" t="s">
        <v>129</v>
      </c>
      <c r="E99" s="137">
        <f>COUNTIF(E14:E96,"&gt;=" &amp;E97)</f>
        <v>0</v>
      </c>
    </row>
    <row r="100" ht="15.75" customHeight="1">
      <c r="B100" s="19" t="s">
        <v>146</v>
      </c>
      <c r="D100" s="138"/>
      <c r="E100" s="139"/>
    </row>
    <row r="101" ht="15.75" customHeight="1">
      <c r="D101" s="138"/>
      <c r="E101" s="139"/>
    </row>
    <row r="102" ht="15.75" customHeight="1">
      <c r="E102" s="18"/>
    </row>
    <row r="103" ht="33.75" customHeight="1">
      <c r="A103" s="97" t="s">
        <v>130</v>
      </c>
      <c r="B103" s="25"/>
      <c r="C103" s="25"/>
      <c r="D103" s="26"/>
      <c r="E103" s="140" t="s">
        <v>131</v>
      </c>
      <c r="F103" s="99"/>
      <c r="G103" s="141" t="s">
        <v>132</v>
      </c>
      <c r="H103" s="142"/>
      <c r="I103" s="142"/>
    </row>
    <row r="104" ht="15.0" customHeight="1">
      <c r="A104" s="101" t="s">
        <v>133</v>
      </c>
      <c r="B104" s="143">
        <v>0.5</v>
      </c>
      <c r="C104" s="144" t="s">
        <v>147</v>
      </c>
      <c r="D104" s="145"/>
      <c r="E104" s="146">
        <f>COUNTA(D14:D96)-COUNTIFS(D14:D96,0)</f>
        <v>63</v>
      </c>
      <c r="F104" s="147">
        <f t="shared" ref="F104:F106" si="1">B104*$E$104</f>
        <v>31.5</v>
      </c>
      <c r="G104" s="148">
        <v>1.0</v>
      </c>
      <c r="H104" s="142"/>
      <c r="I104" s="142"/>
    </row>
    <row r="105" ht="15.75" customHeight="1">
      <c r="A105" s="109"/>
      <c r="B105" s="149">
        <v>0.6</v>
      </c>
      <c r="C105" s="150" t="s">
        <v>147</v>
      </c>
      <c r="D105" s="112"/>
      <c r="E105" s="28"/>
      <c r="F105" s="151">
        <f t="shared" si="1"/>
        <v>37.8</v>
      </c>
      <c r="G105" s="152">
        <v>2.0</v>
      </c>
      <c r="H105" s="142"/>
      <c r="I105" s="142"/>
    </row>
    <row r="106" ht="15.75" customHeight="1">
      <c r="A106" s="113"/>
      <c r="B106" s="153">
        <v>0.7</v>
      </c>
      <c r="C106" s="154" t="s">
        <v>148</v>
      </c>
      <c r="D106" s="117"/>
      <c r="E106" s="33"/>
      <c r="F106" s="155">
        <f t="shared" si="1"/>
        <v>44.1</v>
      </c>
      <c r="G106" s="156">
        <v>3.0</v>
      </c>
      <c r="H106" s="142"/>
      <c r="I106" s="142"/>
    </row>
    <row r="107" ht="15.75" customHeight="1">
      <c r="A107" s="142"/>
      <c r="B107" s="142"/>
      <c r="C107" s="142"/>
      <c r="D107" s="142"/>
      <c r="E107" s="157"/>
      <c r="F107" s="142"/>
      <c r="G107" s="142"/>
      <c r="H107" s="142"/>
      <c r="I107" s="142"/>
    </row>
    <row r="108" ht="15.75" customHeight="1">
      <c r="A108" s="142"/>
      <c r="B108" s="142"/>
      <c r="C108" s="142"/>
      <c r="D108" s="142"/>
      <c r="E108" s="157"/>
      <c r="F108" s="142"/>
      <c r="G108" s="142"/>
      <c r="H108" s="142"/>
      <c r="I108" s="142"/>
    </row>
    <row r="109" ht="71.25" customHeight="1">
      <c r="A109" s="158" t="s">
        <v>149</v>
      </c>
      <c r="B109" s="159"/>
      <c r="C109" s="121" t="s">
        <v>9</v>
      </c>
      <c r="D109" s="121" t="s">
        <v>11</v>
      </c>
      <c r="E109" s="121" t="s">
        <v>13</v>
      </c>
      <c r="F109" s="121" t="s">
        <v>15</v>
      </c>
      <c r="G109" s="121" t="s">
        <v>138</v>
      </c>
      <c r="H109" s="122" t="s">
        <v>139</v>
      </c>
      <c r="I109" s="142"/>
    </row>
    <row r="110" ht="39.0" customHeight="1">
      <c r="A110" s="160" t="s">
        <v>150</v>
      </c>
      <c r="B110" s="161"/>
      <c r="C110" s="124">
        <f>IF(E99&gt;=$F106,3,IF(E99&gt;=$F105,2,IF(E99&gt;=$F104,1,0)))</f>
        <v>0</v>
      </c>
      <c r="D110" s="124">
        <f t="shared" ref="D110:H110" si="2">$C110</f>
        <v>0</v>
      </c>
      <c r="E110" s="124">
        <f t="shared" si="2"/>
        <v>0</v>
      </c>
      <c r="F110" s="124">
        <f t="shared" si="2"/>
        <v>0</v>
      </c>
      <c r="G110" s="124">
        <f t="shared" si="2"/>
        <v>0</v>
      </c>
      <c r="H110" s="124">
        <f t="shared" si="2"/>
        <v>0</v>
      </c>
      <c r="I110" s="142"/>
    </row>
    <row r="111" ht="15.75" customHeight="1">
      <c r="A111" s="142" t="s">
        <v>151</v>
      </c>
      <c r="B111" s="142"/>
      <c r="C111" s="142"/>
      <c r="D111" s="142"/>
      <c r="E111" s="157"/>
      <c r="F111" s="142"/>
      <c r="G111" s="142"/>
      <c r="H111" s="142"/>
      <c r="I111" s="142"/>
    </row>
    <row r="112" ht="15.75" customHeight="1">
      <c r="A112" s="142"/>
      <c r="B112" s="142"/>
      <c r="C112" s="142"/>
      <c r="D112" s="142"/>
      <c r="E112" s="157"/>
      <c r="F112" s="142"/>
      <c r="G112" s="142"/>
      <c r="H112" s="142"/>
      <c r="I112" s="142"/>
    </row>
    <row r="113" ht="15.75" customHeight="1">
      <c r="E113" s="18"/>
    </row>
    <row r="114" ht="15.75" customHeight="1">
      <c r="E114" s="18"/>
    </row>
    <row r="115" ht="15.75" customHeight="1">
      <c r="E115" s="18"/>
    </row>
    <row r="116" ht="15.75" customHeight="1">
      <c r="E116" s="18"/>
    </row>
    <row r="117" ht="15.75" customHeight="1">
      <c r="E117" s="18"/>
    </row>
    <row r="118" ht="15.75" customHeight="1">
      <c r="E118" s="18"/>
    </row>
    <row r="119" ht="15.75" customHeight="1">
      <c r="E119" s="18"/>
    </row>
    <row r="120" ht="15.75" customHeight="1">
      <c r="E120" s="18"/>
    </row>
    <row r="121" ht="15.75" customHeight="1">
      <c r="E121" s="18"/>
    </row>
    <row r="122" ht="15.75" customHeight="1">
      <c r="E122" s="18"/>
    </row>
    <row r="123" ht="15.75" customHeight="1">
      <c r="E123" s="18"/>
    </row>
    <row r="124" ht="15.75" customHeight="1">
      <c r="E124" s="18"/>
    </row>
    <row r="125" ht="15.75" customHeight="1">
      <c r="E125" s="18"/>
    </row>
    <row r="126" ht="15.75" customHeight="1">
      <c r="E126" s="18"/>
    </row>
    <row r="127" ht="15.75" customHeight="1">
      <c r="E127" s="18"/>
    </row>
    <row r="128" ht="15.75" customHeight="1">
      <c r="E128" s="18"/>
    </row>
    <row r="129" ht="15.75" customHeight="1">
      <c r="E129" s="18"/>
    </row>
    <row r="130" ht="15.75" customHeight="1">
      <c r="E130" s="18"/>
    </row>
    <row r="131" ht="15.75" customHeight="1">
      <c r="E131" s="18"/>
    </row>
    <row r="132" ht="15.75" customHeight="1">
      <c r="E132" s="18"/>
    </row>
    <row r="133" ht="15.75" customHeight="1">
      <c r="E133" s="18"/>
    </row>
    <row r="134" ht="15.75" customHeight="1">
      <c r="E134" s="18"/>
    </row>
    <row r="135" ht="15.75" customHeight="1">
      <c r="E135" s="18"/>
    </row>
    <row r="136" ht="15.75" customHeight="1">
      <c r="E136" s="18"/>
    </row>
    <row r="137" ht="15.75" customHeight="1">
      <c r="E137" s="18"/>
    </row>
    <row r="138" ht="15.75" customHeight="1">
      <c r="E138" s="18"/>
    </row>
    <row r="139" ht="15.75" customHeight="1">
      <c r="E139" s="18"/>
    </row>
    <row r="140" ht="15.75" customHeight="1">
      <c r="E140" s="18"/>
    </row>
    <row r="141" ht="15.75" customHeight="1">
      <c r="E141" s="18"/>
    </row>
    <row r="142" ht="15.75" customHeight="1">
      <c r="E142" s="18"/>
    </row>
    <row r="143" ht="15.75" customHeight="1">
      <c r="E143" s="18"/>
    </row>
    <row r="144" ht="15.75" customHeight="1">
      <c r="E144" s="18"/>
    </row>
    <row r="145" ht="15.75" customHeight="1">
      <c r="E145" s="18"/>
    </row>
    <row r="146" ht="15.75" customHeight="1">
      <c r="E146" s="18"/>
    </row>
    <row r="147" ht="15.75" customHeight="1">
      <c r="E147" s="18"/>
    </row>
    <row r="148" ht="15.75" customHeight="1">
      <c r="E148" s="18"/>
    </row>
    <row r="149" ht="15.75" customHeight="1">
      <c r="E149" s="18"/>
    </row>
    <row r="150" ht="15.75" customHeight="1">
      <c r="E150" s="18"/>
    </row>
    <row r="151" ht="15.75" customHeight="1">
      <c r="E151" s="18"/>
    </row>
    <row r="152" ht="15.75" customHeight="1">
      <c r="E152" s="18"/>
    </row>
    <row r="153" ht="15.75" customHeight="1">
      <c r="E153" s="18"/>
    </row>
    <row r="154" ht="15.75" customHeight="1">
      <c r="E154" s="18"/>
    </row>
    <row r="155" ht="15.75" customHeight="1">
      <c r="E155" s="18"/>
    </row>
    <row r="156" ht="15.75" customHeight="1">
      <c r="E156" s="18"/>
    </row>
    <row r="157" ht="15.75" customHeight="1">
      <c r="E157" s="18"/>
    </row>
    <row r="158" ht="15.75" customHeight="1">
      <c r="E158" s="18"/>
    </row>
    <row r="159" ht="15.75" customHeight="1">
      <c r="E159" s="18"/>
    </row>
    <row r="160" ht="15.75" customHeight="1">
      <c r="E160" s="18"/>
    </row>
    <row r="161" ht="15.75" customHeight="1">
      <c r="E161" s="18"/>
    </row>
    <row r="162" ht="15.75" customHeight="1">
      <c r="E162" s="18"/>
    </row>
    <row r="163" ht="15.75" customHeight="1">
      <c r="E163" s="18"/>
    </row>
    <row r="164" ht="15.75" customHeight="1">
      <c r="E164" s="18"/>
    </row>
    <row r="165" ht="15.75" customHeight="1">
      <c r="E165" s="18"/>
    </row>
    <row r="166" ht="15.75" customHeight="1">
      <c r="E166" s="18"/>
    </row>
    <row r="167" ht="15.75" customHeight="1">
      <c r="E167" s="18"/>
    </row>
    <row r="168" ht="15.75" customHeight="1">
      <c r="E168" s="18"/>
    </row>
    <row r="169" ht="15.75" customHeight="1">
      <c r="E169" s="18"/>
    </row>
    <row r="170" ht="15.75" customHeight="1">
      <c r="E170" s="18"/>
    </row>
    <row r="171" ht="15.75" customHeight="1">
      <c r="E171" s="18"/>
    </row>
    <row r="172" ht="15.75" customHeight="1">
      <c r="E172" s="18"/>
    </row>
    <row r="173" ht="15.75" customHeight="1">
      <c r="E173" s="18"/>
    </row>
    <row r="174" ht="15.75" customHeight="1">
      <c r="E174" s="18"/>
    </row>
    <row r="175" ht="15.75" customHeight="1">
      <c r="E175" s="18"/>
    </row>
    <row r="176" ht="15.75" customHeight="1">
      <c r="E176" s="18"/>
    </row>
    <row r="177" ht="15.75" customHeight="1">
      <c r="E177" s="18"/>
    </row>
    <row r="178" ht="15.75" customHeight="1">
      <c r="E178" s="18"/>
    </row>
    <row r="179" ht="15.75" customHeight="1">
      <c r="E179" s="18"/>
    </row>
    <row r="180" ht="15.75" customHeight="1">
      <c r="E180" s="18"/>
    </row>
    <row r="181" ht="15.75" customHeight="1">
      <c r="E181" s="18"/>
    </row>
    <row r="182" ht="15.75" customHeight="1">
      <c r="E182" s="18"/>
    </row>
    <row r="183" ht="15.75" customHeight="1">
      <c r="E183" s="18"/>
    </row>
    <row r="184" ht="15.75" customHeight="1">
      <c r="E184" s="18"/>
    </row>
    <row r="185" ht="15.75" customHeight="1">
      <c r="E185" s="18"/>
    </row>
    <row r="186" ht="15.75" customHeight="1">
      <c r="E186" s="18"/>
    </row>
    <row r="187" ht="15.75" customHeight="1">
      <c r="E187" s="18"/>
    </row>
    <row r="188" ht="15.75" customHeight="1">
      <c r="E188" s="18"/>
    </row>
    <row r="189" ht="15.75" customHeight="1">
      <c r="E189" s="18"/>
    </row>
    <row r="190" ht="15.75" customHeight="1">
      <c r="E190" s="18"/>
    </row>
    <row r="191" ht="15.75" customHeight="1">
      <c r="E191" s="18"/>
    </row>
    <row r="192" ht="15.75" customHeight="1">
      <c r="E192" s="18"/>
    </row>
    <row r="193" ht="15.75" customHeight="1">
      <c r="E193" s="18"/>
    </row>
    <row r="194" ht="15.75" customHeight="1">
      <c r="E194" s="18"/>
    </row>
    <row r="195" ht="15.75" customHeight="1">
      <c r="E195" s="18"/>
    </row>
    <row r="196" ht="15.75" customHeight="1">
      <c r="E196" s="18"/>
    </row>
    <row r="197" ht="15.75" customHeight="1">
      <c r="E197" s="18"/>
    </row>
    <row r="198" ht="15.75" customHeight="1">
      <c r="E198" s="18"/>
    </row>
    <row r="199" ht="15.75" customHeight="1">
      <c r="E199" s="18"/>
    </row>
    <row r="200" ht="15.75" customHeight="1">
      <c r="E200" s="18"/>
    </row>
    <row r="201" ht="15.75" customHeight="1">
      <c r="E201" s="18"/>
    </row>
    <row r="202" ht="15.75" customHeight="1">
      <c r="E202" s="18"/>
    </row>
    <row r="203" ht="15.75" customHeight="1">
      <c r="E203" s="18"/>
    </row>
    <row r="204" ht="15.75" customHeight="1">
      <c r="E204" s="18"/>
    </row>
    <row r="205" ht="15.75" customHeight="1">
      <c r="E205" s="18"/>
    </row>
    <row r="206" ht="15.75" customHeight="1">
      <c r="E206" s="18"/>
    </row>
    <row r="207" ht="15.75" customHeight="1">
      <c r="E207" s="18"/>
    </row>
    <row r="208" ht="15.75" customHeight="1">
      <c r="E208" s="18"/>
    </row>
    <row r="209" ht="15.75" customHeight="1">
      <c r="E209" s="18"/>
    </row>
    <row r="210" ht="15.75" customHeight="1">
      <c r="E210" s="18"/>
    </row>
    <row r="211" ht="15.75" customHeight="1">
      <c r="E211" s="18"/>
    </row>
    <row r="212" ht="15.75" customHeight="1">
      <c r="E212" s="18"/>
    </row>
    <row r="213" ht="15.75" customHeight="1">
      <c r="E213" s="18"/>
    </row>
    <row r="214" ht="15.75" customHeight="1">
      <c r="E214" s="18"/>
    </row>
    <row r="215" ht="15.75" customHeight="1">
      <c r="E215" s="18"/>
    </row>
    <row r="216" ht="15.75" customHeight="1">
      <c r="E216" s="18"/>
    </row>
    <row r="217" ht="15.75" customHeight="1">
      <c r="E217" s="18"/>
    </row>
    <row r="218" ht="15.75" customHeight="1">
      <c r="E218" s="18"/>
    </row>
    <row r="219" ht="15.75" customHeight="1">
      <c r="E219" s="18"/>
    </row>
    <row r="220" ht="15.75" customHeight="1">
      <c r="E220" s="18"/>
    </row>
    <row r="221" ht="15.75" customHeight="1">
      <c r="E221" s="18"/>
    </row>
    <row r="222" ht="15.75" customHeight="1">
      <c r="E222" s="18"/>
    </row>
    <row r="223" ht="15.75" customHeight="1">
      <c r="E223" s="18"/>
    </row>
    <row r="224" ht="15.75" customHeight="1">
      <c r="E224" s="18"/>
    </row>
    <row r="225" ht="15.75" customHeight="1">
      <c r="E225" s="18"/>
    </row>
    <row r="226" ht="15.75" customHeight="1">
      <c r="E226" s="18"/>
    </row>
    <row r="227" ht="15.75" customHeight="1">
      <c r="E227" s="18"/>
    </row>
    <row r="228" ht="15.75" customHeight="1">
      <c r="E228" s="18"/>
    </row>
    <row r="229" ht="15.75" customHeight="1">
      <c r="E229" s="18"/>
    </row>
    <row r="230" ht="15.75" customHeight="1">
      <c r="E230" s="18"/>
    </row>
    <row r="231" ht="15.75" customHeight="1">
      <c r="E231" s="18"/>
    </row>
    <row r="232" ht="15.75" customHeight="1">
      <c r="E232" s="18"/>
    </row>
    <row r="233" ht="15.75" customHeight="1">
      <c r="E233" s="18"/>
    </row>
    <row r="234" ht="15.75" customHeight="1">
      <c r="E234" s="18"/>
    </row>
    <row r="235" ht="15.75" customHeight="1">
      <c r="E235" s="18"/>
    </row>
    <row r="236" ht="15.75" customHeight="1">
      <c r="E236" s="18"/>
    </row>
    <row r="237" ht="15.75" customHeight="1">
      <c r="E237" s="18"/>
    </row>
    <row r="238" ht="15.75" customHeight="1">
      <c r="E238" s="18"/>
    </row>
    <row r="239" ht="15.75" customHeight="1">
      <c r="E239" s="18"/>
    </row>
    <row r="240" ht="15.75" customHeight="1">
      <c r="E240" s="18"/>
    </row>
    <row r="241" ht="15.75" customHeight="1">
      <c r="E241" s="18"/>
    </row>
    <row r="242" ht="15.75" customHeight="1">
      <c r="E242" s="18"/>
    </row>
    <row r="243" ht="15.75" customHeight="1">
      <c r="E243" s="18"/>
    </row>
    <row r="244" ht="15.75" customHeight="1">
      <c r="E244" s="18"/>
    </row>
    <row r="245" ht="15.75" customHeight="1">
      <c r="E245" s="18"/>
    </row>
    <row r="246" ht="15.75" customHeight="1">
      <c r="E246" s="18"/>
    </row>
    <row r="247" ht="15.75" customHeight="1">
      <c r="E247" s="18"/>
    </row>
    <row r="248" ht="15.75" customHeight="1">
      <c r="E248" s="18"/>
    </row>
    <row r="249" ht="15.75" customHeight="1">
      <c r="E249" s="18"/>
    </row>
    <row r="250" ht="15.75" customHeight="1">
      <c r="E250" s="18"/>
    </row>
    <row r="251" ht="15.75" customHeight="1">
      <c r="E251" s="18"/>
    </row>
    <row r="252" ht="15.75" customHeight="1">
      <c r="E252" s="18"/>
    </row>
    <row r="253" ht="15.75" customHeight="1">
      <c r="E253" s="18"/>
    </row>
    <row r="254" ht="15.75" customHeight="1">
      <c r="E254" s="18"/>
    </row>
    <row r="255" ht="15.75" customHeight="1">
      <c r="E255" s="18"/>
    </row>
    <row r="256" ht="15.75" customHeight="1">
      <c r="E256" s="18"/>
    </row>
    <row r="257" ht="15.75" customHeight="1">
      <c r="E257" s="18"/>
    </row>
    <row r="258" ht="15.75" customHeight="1">
      <c r="E258" s="18"/>
    </row>
    <row r="259" ht="15.75" customHeight="1">
      <c r="E259" s="18"/>
    </row>
    <row r="260" ht="15.75" customHeight="1">
      <c r="E260" s="18"/>
    </row>
    <row r="261" ht="15.75" customHeight="1">
      <c r="E261" s="18"/>
    </row>
    <row r="262" ht="15.75" customHeight="1">
      <c r="E262" s="18"/>
    </row>
    <row r="263" ht="15.75" customHeight="1">
      <c r="E263" s="18"/>
    </row>
    <row r="264" ht="15.75" customHeight="1">
      <c r="E264" s="18"/>
    </row>
    <row r="265" ht="15.75" customHeight="1">
      <c r="E265" s="18"/>
    </row>
    <row r="266" ht="15.75" customHeight="1">
      <c r="E266" s="18"/>
    </row>
    <row r="267" ht="15.75" customHeight="1">
      <c r="E267" s="18"/>
    </row>
    <row r="268" ht="15.75" customHeight="1">
      <c r="E268" s="18"/>
    </row>
    <row r="269" ht="15.75" customHeight="1">
      <c r="E269" s="18"/>
    </row>
    <row r="270" ht="15.75" customHeight="1">
      <c r="E270" s="18"/>
    </row>
    <row r="271" ht="15.75" customHeight="1">
      <c r="E271" s="18"/>
    </row>
    <row r="272" ht="15.75" customHeight="1">
      <c r="E272" s="18"/>
    </row>
    <row r="273" ht="15.75" customHeight="1">
      <c r="E273" s="18"/>
    </row>
    <row r="274" ht="15.75" customHeight="1">
      <c r="E274" s="18"/>
    </row>
    <row r="275" ht="15.75" customHeight="1">
      <c r="E275" s="18"/>
    </row>
    <row r="276" ht="15.75" customHeight="1">
      <c r="E276" s="18"/>
    </row>
    <row r="277" ht="15.75" customHeight="1">
      <c r="E277" s="18"/>
    </row>
    <row r="278" ht="15.75" customHeight="1">
      <c r="E278" s="18"/>
    </row>
    <row r="279" ht="15.75" customHeight="1">
      <c r="E279" s="18"/>
    </row>
    <row r="280" ht="15.75" customHeight="1">
      <c r="E280" s="18"/>
    </row>
    <row r="281" ht="15.75" customHeight="1">
      <c r="E281" s="18"/>
    </row>
    <row r="282" ht="15.75" customHeight="1">
      <c r="E282" s="18"/>
    </row>
    <row r="283" ht="15.75" customHeight="1">
      <c r="E283" s="18"/>
    </row>
    <row r="284" ht="15.75" customHeight="1">
      <c r="E284" s="18"/>
    </row>
    <row r="285" ht="15.75" customHeight="1">
      <c r="E285" s="18"/>
    </row>
    <row r="286" ht="15.75" customHeight="1">
      <c r="E286" s="18"/>
    </row>
    <row r="287" ht="15.75" customHeight="1">
      <c r="E287" s="18"/>
    </row>
    <row r="288" ht="15.75" customHeight="1">
      <c r="E288" s="18"/>
    </row>
    <row r="289" ht="15.75" customHeight="1">
      <c r="E289" s="18"/>
    </row>
    <row r="290" ht="15.75" customHeight="1">
      <c r="E290" s="18"/>
    </row>
    <row r="291" ht="15.75" customHeight="1">
      <c r="E291" s="18"/>
    </row>
    <row r="292" ht="15.75" customHeight="1">
      <c r="E292" s="18"/>
    </row>
    <row r="293" ht="15.75" customHeight="1">
      <c r="E293" s="18"/>
    </row>
    <row r="294" ht="15.75" customHeight="1">
      <c r="E294" s="18"/>
    </row>
    <row r="295" ht="15.75" customHeight="1">
      <c r="E295" s="18"/>
    </row>
    <row r="296" ht="15.75" customHeight="1">
      <c r="E296" s="18"/>
    </row>
    <row r="297" ht="15.75" customHeight="1">
      <c r="E297" s="18"/>
    </row>
    <row r="298" ht="15.75" customHeight="1">
      <c r="E298" s="18"/>
    </row>
    <row r="299" ht="15.75" customHeight="1">
      <c r="E299" s="18"/>
    </row>
    <row r="300" ht="15.75" customHeight="1">
      <c r="E300" s="18"/>
    </row>
    <row r="301" ht="15.75" customHeight="1">
      <c r="E301" s="18"/>
    </row>
    <row r="302" ht="15.75" customHeight="1">
      <c r="E302" s="18"/>
    </row>
    <row r="303" ht="15.75" customHeight="1">
      <c r="E303" s="18"/>
    </row>
    <row r="304" ht="15.75" customHeight="1">
      <c r="E304" s="18"/>
    </row>
    <row r="305" ht="15.75" customHeight="1">
      <c r="E305" s="18"/>
    </row>
    <row r="306" ht="15.75" customHeight="1">
      <c r="E306" s="18"/>
    </row>
    <row r="307" ht="15.75" customHeight="1">
      <c r="E307" s="18"/>
    </row>
    <row r="308" ht="15.75" customHeight="1">
      <c r="E308" s="18"/>
    </row>
    <row r="309" ht="15.75" customHeight="1">
      <c r="E309" s="18"/>
    </row>
    <row r="310" ht="15.75" customHeight="1">
      <c r="E310" s="18"/>
    </row>
    <row r="311" ht="15.75" customHeight="1">
      <c r="E311" s="18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1"/>
    <mergeCell ref="D4:E4"/>
    <mergeCell ref="D5:E5"/>
    <mergeCell ref="D6:E6"/>
    <mergeCell ref="D7:E7"/>
    <mergeCell ref="B9:B13"/>
    <mergeCell ref="C9:C13"/>
    <mergeCell ref="C105:D105"/>
    <mergeCell ref="C106:D106"/>
    <mergeCell ref="A109:B109"/>
    <mergeCell ref="A110:B110"/>
    <mergeCell ref="D9:D13"/>
    <mergeCell ref="E9:E12"/>
    <mergeCell ref="E97:E98"/>
    <mergeCell ref="A103:D103"/>
    <mergeCell ref="A104:A106"/>
    <mergeCell ref="C104:D104"/>
    <mergeCell ref="E104:E10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6.0"/>
    <col customWidth="1" min="4" max="4" width="43.14"/>
    <col customWidth="1" min="5" max="5" width="15.57"/>
    <col customWidth="1" min="6" max="6" width="21.29"/>
    <col customWidth="1" min="7" max="7" width="14.71"/>
    <col customWidth="1" min="8" max="8" width="8.71"/>
  </cols>
  <sheetData>
    <row r="1">
      <c r="D1" s="162" t="s">
        <v>152</v>
      </c>
      <c r="E1" s="162"/>
      <c r="F1" s="162"/>
      <c r="G1" s="162"/>
      <c r="H1" s="8"/>
    </row>
    <row r="2">
      <c r="B2" s="8"/>
      <c r="C2" s="8"/>
      <c r="E2" s="126" t="s">
        <v>153</v>
      </c>
      <c r="F2" s="8"/>
      <c r="G2" s="8"/>
    </row>
    <row r="3">
      <c r="B3" s="8"/>
      <c r="C3" s="8"/>
      <c r="D3" s="126"/>
      <c r="E3" s="18"/>
      <c r="F3" s="8"/>
      <c r="G3" s="8"/>
    </row>
    <row r="4">
      <c r="B4" s="8"/>
      <c r="C4" s="5" t="s">
        <v>1</v>
      </c>
      <c r="D4" s="62" t="str">
        <f>'CO_Attainment for Unit Tests'!C3</f>
        <v>INTERNSHIP(12 WEEKS)</v>
      </c>
      <c r="E4" s="15"/>
      <c r="F4" s="8"/>
      <c r="G4" s="8"/>
      <c r="H4" s="8"/>
    </row>
    <row r="5">
      <c r="B5" s="8"/>
      <c r="C5" s="5" t="s">
        <v>3</v>
      </c>
      <c r="D5" s="62">
        <f>'CO_Attainment for Unit Tests'!C4</f>
        <v>315004</v>
      </c>
      <c r="E5" s="15"/>
      <c r="F5" s="8"/>
      <c r="G5" s="8"/>
      <c r="H5" s="8"/>
    </row>
    <row r="6">
      <c r="B6" s="8"/>
      <c r="C6" s="5" t="s">
        <v>52</v>
      </c>
      <c r="D6" s="62" t="str">
        <f>'CO_Attainment for Unit Tests'!C5</f>
        <v>5th Sem Co5K K-Scheme</v>
      </c>
      <c r="E6" s="15"/>
      <c r="F6" s="8"/>
      <c r="G6" s="8"/>
      <c r="H6" s="8"/>
    </row>
    <row r="7">
      <c r="B7" s="8"/>
      <c r="C7" s="5" t="s">
        <v>154</v>
      </c>
      <c r="D7" s="62" t="str">
        <f>'CO_Attainment for Unit Tests'!C6</f>
        <v>2025-26</v>
      </c>
      <c r="E7" s="15"/>
      <c r="F7" s="8"/>
      <c r="G7" s="8"/>
      <c r="H7" s="8"/>
    </row>
    <row r="9" ht="15.75" customHeight="1">
      <c r="B9" s="128" t="s">
        <v>20</v>
      </c>
      <c r="C9" s="129" t="s">
        <v>54</v>
      </c>
      <c r="D9" s="163" t="s">
        <v>55</v>
      </c>
      <c r="E9" s="129" t="s">
        <v>155</v>
      </c>
      <c r="F9" s="129" t="s">
        <v>156</v>
      </c>
      <c r="G9" s="129" t="s">
        <v>157</v>
      </c>
    </row>
    <row r="10" ht="15.75" customHeight="1">
      <c r="B10" s="73"/>
      <c r="C10" s="73"/>
      <c r="D10" s="73"/>
      <c r="E10" s="73"/>
      <c r="F10" s="73"/>
      <c r="G10" s="73"/>
    </row>
    <row r="11" ht="15.75" customHeight="1">
      <c r="B11" s="73"/>
      <c r="C11" s="73"/>
      <c r="D11" s="73"/>
      <c r="E11" s="73"/>
      <c r="F11" s="73"/>
      <c r="G11" s="73"/>
    </row>
    <row r="12" ht="54.75" customHeight="1">
      <c r="B12" s="73"/>
      <c r="C12" s="73"/>
      <c r="D12" s="73"/>
      <c r="E12" s="77"/>
      <c r="F12" s="77"/>
      <c r="G12" s="77"/>
    </row>
    <row r="13" ht="20.25" customHeight="1">
      <c r="B13" s="77"/>
      <c r="C13" s="77"/>
      <c r="D13" s="77"/>
      <c r="E13" s="82">
        <v>25.0</v>
      </c>
      <c r="F13" s="82">
        <v>25.0</v>
      </c>
      <c r="G13" s="82">
        <v>25.0</v>
      </c>
    </row>
    <row r="14">
      <c r="B14" s="131">
        <v>1.0</v>
      </c>
      <c r="C14" s="131">
        <f>'CO_Attainment for Unit Tests'!B13</f>
        <v>2201180008</v>
      </c>
      <c r="D14" s="164" t="str">
        <f>'CO_Attainment for Unit Tests'!C13</f>
        <v>DHANSHETTI PRIYA SANJAY</v>
      </c>
      <c r="E14" s="88"/>
      <c r="F14" s="165">
        <v>90.0</v>
      </c>
      <c r="G14" s="165">
        <v>87.0</v>
      </c>
    </row>
    <row r="15">
      <c r="B15" s="131">
        <v>2.0</v>
      </c>
      <c r="C15" s="131">
        <f>'CO_Attainment for Unit Tests'!B14</f>
        <v>23510250191</v>
      </c>
      <c r="D15" s="164" t="str">
        <f>'CO_Attainment for Unit Tests'!C14</f>
        <v>ADSUL SHASHWATI NITIN</v>
      </c>
      <c r="E15" s="88"/>
      <c r="F15" s="165">
        <v>96.0</v>
      </c>
      <c r="G15" s="165">
        <v>93.0</v>
      </c>
    </row>
    <row r="16">
      <c r="B16" s="131">
        <v>3.0</v>
      </c>
      <c r="C16" s="131">
        <f>'CO_Attainment for Unit Tests'!B15</f>
        <v>23510250192</v>
      </c>
      <c r="D16" s="164" t="str">
        <f>'CO_Attainment for Unit Tests'!C15</f>
        <v>AVISHKAR BABRUWAN BHISE</v>
      </c>
      <c r="E16" s="88"/>
      <c r="F16" s="165">
        <v>92.0</v>
      </c>
      <c r="G16" s="165">
        <v>90.0</v>
      </c>
    </row>
    <row r="17">
      <c r="B17" s="131">
        <v>4.0</v>
      </c>
      <c r="C17" s="131">
        <f>'CO_Attainment for Unit Tests'!B16</f>
        <v>23510250193</v>
      </c>
      <c r="D17" s="164" t="str">
        <f>'CO_Attainment for Unit Tests'!C16</f>
        <v>AWAD MAHESHWARI BHAU</v>
      </c>
      <c r="E17" s="88"/>
      <c r="F17" s="165">
        <v>92.0</v>
      </c>
      <c r="G17" s="165">
        <v>90.0</v>
      </c>
    </row>
    <row r="18">
      <c r="B18" s="131">
        <v>5.0</v>
      </c>
      <c r="C18" s="131">
        <f>'CO_Attainment for Unit Tests'!B17</f>
        <v>23510250194</v>
      </c>
      <c r="D18" s="164" t="str">
        <f>'CO_Attainment for Unit Tests'!C17</f>
        <v>BADVE SHARVANI DNYANESHWAR</v>
      </c>
      <c r="E18" s="88"/>
      <c r="F18" s="165">
        <v>96.0</v>
      </c>
      <c r="G18" s="165">
        <v>93.0</v>
      </c>
    </row>
    <row r="19">
      <c r="B19" s="131">
        <v>6.0</v>
      </c>
      <c r="C19" s="131">
        <f>'CO_Attainment for Unit Tests'!B18</f>
        <v>23510250195</v>
      </c>
      <c r="D19" s="164" t="str">
        <f>'CO_Attainment for Unit Tests'!C18</f>
        <v>BAGADE MANASI MUKUND</v>
      </c>
      <c r="E19" s="88"/>
      <c r="F19" s="165">
        <v>96.0</v>
      </c>
      <c r="G19" s="165">
        <v>93.0</v>
      </c>
    </row>
    <row r="20">
      <c r="B20" s="131">
        <v>7.0</v>
      </c>
      <c r="C20" s="131">
        <f>'CO_Attainment for Unit Tests'!B19</f>
        <v>23510250196</v>
      </c>
      <c r="D20" s="164" t="str">
        <f>'CO_Attainment for Unit Tests'!C19</f>
        <v>BARDE ARCHANA HANUMANT</v>
      </c>
      <c r="E20" s="88"/>
      <c r="F20" s="165">
        <v>94.0</v>
      </c>
      <c r="G20" s="165">
        <v>90.0</v>
      </c>
    </row>
    <row r="21" ht="15.75" customHeight="1">
      <c r="B21" s="131">
        <v>8.0</v>
      </c>
      <c r="C21" s="131">
        <f>'CO_Attainment for Unit Tests'!B20</f>
        <v>23510250197</v>
      </c>
      <c r="D21" s="164" t="str">
        <f>'CO_Attainment for Unit Tests'!C20</f>
        <v>BARMADE SHRADDHA SUDHAKAR</v>
      </c>
      <c r="E21" s="88"/>
      <c r="F21" s="165">
        <v>95.0</v>
      </c>
      <c r="G21" s="165">
        <v>91.0</v>
      </c>
    </row>
    <row r="22" ht="15.75" customHeight="1">
      <c r="B22" s="131">
        <v>9.0</v>
      </c>
      <c r="C22" s="131">
        <f>'CO_Attainment for Unit Tests'!B21</f>
        <v>23510250198</v>
      </c>
      <c r="D22" s="164" t="str">
        <f>'CO_Attainment for Unit Tests'!C21</f>
        <v>BEDKE ANKITA SHRIRAM</v>
      </c>
      <c r="E22" s="88"/>
      <c r="F22" s="165">
        <v>94.0</v>
      </c>
      <c r="G22" s="165">
        <v>91.0</v>
      </c>
    </row>
    <row r="23" ht="15.75" customHeight="1">
      <c r="B23" s="131">
        <v>10.0</v>
      </c>
      <c r="C23" s="131">
        <f>'CO_Attainment for Unit Tests'!B22</f>
        <v>23510250199</v>
      </c>
      <c r="D23" s="164" t="str">
        <f>'CO_Attainment for Unit Tests'!C22</f>
        <v>BHAD SHRAVANI UMAKANT</v>
      </c>
      <c r="E23" s="88"/>
      <c r="F23" s="165">
        <v>92.0</v>
      </c>
      <c r="G23" s="165">
        <v>91.0</v>
      </c>
    </row>
    <row r="24" ht="15.75" customHeight="1">
      <c r="B24" s="131">
        <v>11.0</v>
      </c>
      <c r="C24" s="131">
        <f>'CO_Attainment for Unit Tests'!B23</f>
        <v>23510250200</v>
      </c>
      <c r="D24" s="164" t="str">
        <f>'CO_Attainment for Unit Tests'!C23</f>
        <v>BHORE NIKITA SHANKAR</v>
      </c>
      <c r="E24" s="88"/>
      <c r="F24" s="165">
        <v>90.0</v>
      </c>
      <c r="G24" s="165">
        <v>90.0</v>
      </c>
    </row>
    <row r="25" ht="15.75" customHeight="1">
      <c r="B25" s="131">
        <v>12.0</v>
      </c>
      <c r="C25" s="131">
        <f>'CO_Attainment for Unit Tests'!B24</f>
        <v>23510250201</v>
      </c>
      <c r="D25" s="164" t="str">
        <f>'CO_Attainment for Unit Tests'!C24</f>
        <v>BHOSALE PRADNYA HARIDAS</v>
      </c>
      <c r="E25" s="88"/>
      <c r="F25" s="165">
        <v>95.0</v>
      </c>
      <c r="G25" s="165">
        <v>90.0</v>
      </c>
    </row>
    <row r="26" ht="15.75" customHeight="1">
      <c r="B26" s="131">
        <v>13.0</v>
      </c>
      <c r="C26" s="131">
        <f>'CO_Attainment for Unit Tests'!B25</f>
        <v>23510250202</v>
      </c>
      <c r="D26" s="164" t="str">
        <f>'CO_Attainment for Unit Tests'!C25</f>
        <v>BHOSALE TEJAS GAJANAN</v>
      </c>
      <c r="E26" s="88"/>
      <c r="F26" s="165">
        <v>88.0</v>
      </c>
      <c r="G26" s="165">
        <v>85.0</v>
      </c>
    </row>
    <row r="27" ht="15.75" customHeight="1">
      <c r="B27" s="131">
        <v>14.0</v>
      </c>
      <c r="C27" s="131">
        <f>'CO_Attainment for Unit Tests'!B26</f>
        <v>23510250203</v>
      </c>
      <c r="D27" s="164" t="str">
        <f>'CO_Attainment for Unit Tests'!C26</f>
        <v>BIRAJDAR PRASHANT PADMAKAR</v>
      </c>
      <c r="E27" s="88"/>
      <c r="F27" s="165">
        <v>92.0</v>
      </c>
      <c r="G27" s="165">
        <v>91.0</v>
      </c>
    </row>
    <row r="28" ht="15.75" customHeight="1">
      <c r="B28" s="131">
        <v>15.0</v>
      </c>
      <c r="C28" s="131">
        <f>'CO_Attainment for Unit Tests'!B27</f>
        <v>23510250204</v>
      </c>
      <c r="D28" s="164" t="str">
        <f>'CO_Attainment for Unit Tests'!C27</f>
        <v>CHANDANE SHRAVANI PRASHANT</v>
      </c>
      <c r="E28" s="88"/>
      <c r="F28" s="165">
        <v>96.0</v>
      </c>
      <c r="G28" s="165">
        <v>92.0</v>
      </c>
    </row>
    <row r="29" ht="15.75" customHeight="1">
      <c r="B29" s="131">
        <v>16.0</v>
      </c>
      <c r="C29" s="131">
        <f>'CO_Attainment for Unit Tests'!B28</f>
        <v>23510250205</v>
      </c>
      <c r="D29" s="164" t="str">
        <f>'CO_Attainment for Unit Tests'!C28</f>
        <v>CHAVAN NIKITA NARAYAN</v>
      </c>
      <c r="E29" s="88"/>
      <c r="F29" s="165">
        <v>94.0</v>
      </c>
      <c r="G29" s="165">
        <v>97.0</v>
      </c>
    </row>
    <row r="30" ht="15.75" customHeight="1">
      <c r="B30" s="131">
        <v>17.0</v>
      </c>
      <c r="C30" s="131">
        <f>'CO_Attainment for Unit Tests'!B29</f>
        <v>23510250207</v>
      </c>
      <c r="D30" s="164" t="str">
        <f>'CO_Attainment for Unit Tests'!C29</f>
        <v>DANE SUSHANT VITTHAL</v>
      </c>
      <c r="E30" s="88"/>
      <c r="F30" s="165">
        <v>94.0</v>
      </c>
      <c r="G30" s="165">
        <v>91.0</v>
      </c>
    </row>
    <row r="31" ht="15.75" customHeight="1">
      <c r="B31" s="131">
        <v>18.0</v>
      </c>
      <c r="C31" s="131">
        <f>'CO_Attainment for Unit Tests'!B30</f>
        <v>23510250208</v>
      </c>
      <c r="D31" s="164" t="str">
        <f>'CO_Attainment for Unit Tests'!C30</f>
        <v>DEMGUNDE RAVIKIRAN DHONDIRAM</v>
      </c>
      <c r="E31" s="88"/>
      <c r="F31" s="165">
        <v>90.0</v>
      </c>
      <c r="G31" s="165">
        <v>95.0</v>
      </c>
    </row>
    <row r="32" ht="15.75" customHeight="1">
      <c r="B32" s="131">
        <v>19.0</v>
      </c>
      <c r="C32" s="131">
        <f>'CO_Attainment for Unit Tests'!B31</f>
        <v>23510250209</v>
      </c>
      <c r="D32" s="164" t="str">
        <f>'CO_Attainment for Unit Tests'!C31</f>
        <v>DHAGE ANUPAMA NAGESH</v>
      </c>
      <c r="E32" s="88"/>
      <c r="F32" s="165">
        <v>93.0</v>
      </c>
      <c r="G32" s="165">
        <v>95.0</v>
      </c>
    </row>
    <row r="33" ht="15.75" customHeight="1">
      <c r="B33" s="131">
        <v>20.0</v>
      </c>
      <c r="C33" s="131">
        <f>'CO_Attainment for Unit Tests'!B32</f>
        <v>23510250210</v>
      </c>
      <c r="D33" s="164" t="str">
        <f>'CO_Attainment for Unit Tests'!C32</f>
        <v>FULMALI SARTHAK SANTOSH</v>
      </c>
      <c r="E33" s="88"/>
      <c r="F33" s="165">
        <v>94.0</v>
      </c>
      <c r="G33" s="165">
        <v>92.0</v>
      </c>
    </row>
    <row r="34" ht="15.75" customHeight="1">
      <c r="B34" s="131">
        <v>21.0</v>
      </c>
      <c r="C34" s="131">
        <f>'CO_Attainment for Unit Tests'!B33</f>
        <v>23510250212</v>
      </c>
      <c r="D34" s="164" t="str">
        <f>'CO_Attainment for Unit Tests'!C33</f>
        <v>GAVALI MONIKA DNYANDEO</v>
      </c>
      <c r="E34" s="88"/>
      <c r="F34" s="165">
        <v>88.0</v>
      </c>
      <c r="G34" s="165">
        <v>88.0</v>
      </c>
    </row>
    <row r="35" ht="15.75" customHeight="1">
      <c r="B35" s="131">
        <v>22.0</v>
      </c>
      <c r="C35" s="131">
        <f>'CO_Attainment for Unit Tests'!B34</f>
        <v>23510250215</v>
      </c>
      <c r="D35" s="164" t="str">
        <f>'CO_Attainment for Unit Tests'!C34</f>
        <v>ISAKE PRATIKSHA MAHESH</v>
      </c>
      <c r="E35" s="88"/>
      <c r="F35" s="165">
        <v>94.0</v>
      </c>
      <c r="G35" s="165">
        <v>91.0</v>
      </c>
    </row>
    <row r="36" ht="15.75" customHeight="1">
      <c r="B36" s="131">
        <v>23.0</v>
      </c>
      <c r="C36" s="131">
        <f>'CO_Attainment for Unit Tests'!B35</f>
        <v>23510250216</v>
      </c>
      <c r="D36" s="164" t="str">
        <f>'CO_Attainment for Unit Tests'!C35</f>
        <v>JAGTAP SHREYA SHRIRANG</v>
      </c>
      <c r="E36" s="88"/>
      <c r="F36" s="165">
        <v>92.0</v>
      </c>
      <c r="G36" s="165">
        <v>90.0</v>
      </c>
    </row>
    <row r="37" ht="15.75" customHeight="1">
      <c r="B37" s="131">
        <v>24.0</v>
      </c>
      <c r="C37" s="131">
        <f>'CO_Attainment for Unit Tests'!B36</f>
        <v>23510250217</v>
      </c>
      <c r="D37" s="164" t="str">
        <f>'CO_Attainment for Unit Tests'!C36</f>
        <v>JOSHI TANUJA GUNDERAO</v>
      </c>
      <c r="E37" s="88"/>
      <c r="F37" s="165">
        <v>95.0</v>
      </c>
      <c r="G37" s="165">
        <v>99.0</v>
      </c>
    </row>
    <row r="38" ht="15.75" customHeight="1">
      <c r="B38" s="131">
        <v>25.0</v>
      </c>
      <c r="C38" s="131">
        <f>'CO_Attainment for Unit Tests'!B37</f>
        <v>23510250218</v>
      </c>
      <c r="D38" s="164" t="str">
        <f>'CO_Attainment for Unit Tests'!C37</f>
        <v>KALE PRACHI KISHOR</v>
      </c>
      <c r="E38" s="88"/>
      <c r="F38" s="165">
        <v>92.0</v>
      </c>
      <c r="G38" s="165">
        <v>91.0</v>
      </c>
    </row>
    <row r="39" ht="15.75" customHeight="1">
      <c r="B39" s="131">
        <v>26.0</v>
      </c>
      <c r="C39" s="131">
        <f>'CO_Attainment for Unit Tests'!B38</f>
        <v>23510250219</v>
      </c>
      <c r="D39" s="164" t="str">
        <f>'CO_Attainment for Unit Tests'!C38</f>
        <v>KALE VAISHNAVI DHANRAJ</v>
      </c>
      <c r="E39" s="88"/>
      <c r="F39" s="165">
        <v>92.0</v>
      </c>
      <c r="G39" s="165">
        <v>91.0</v>
      </c>
    </row>
    <row r="40" ht="15.75" customHeight="1">
      <c r="B40" s="131">
        <v>27.0</v>
      </c>
      <c r="C40" s="131">
        <f>'CO_Attainment for Unit Tests'!B39</f>
        <v>23510250221</v>
      </c>
      <c r="D40" s="164" t="str">
        <f>'CO_Attainment for Unit Tests'!C39</f>
        <v>KAMBLE SONAM VILAS</v>
      </c>
      <c r="E40" s="88"/>
      <c r="F40" s="165">
        <v>90.0</v>
      </c>
      <c r="G40" s="165">
        <v>88.0</v>
      </c>
    </row>
    <row r="41" ht="15.75" customHeight="1">
      <c r="B41" s="131">
        <v>28.0</v>
      </c>
      <c r="C41" s="131">
        <f>'CO_Attainment for Unit Tests'!B40</f>
        <v>23510250222</v>
      </c>
      <c r="D41" s="164" t="str">
        <f>'CO_Attainment for Unit Tests'!C40</f>
        <v>KENDRE MAYURI TUKARAM</v>
      </c>
      <c r="E41" s="88"/>
      <c r="F41" s="165">
        <v>100.0</v>
      </c>
      <c r="G41" s="165">
        <v>100.0</v>
      </c>
    </row>
    <row r="42" ht="15.75" customHeight="1">
      <c r="B42" s="131">
        <v>29.0</v>
      </c>
      <c r="C42" s="131">
        <f>'CO_Attainment for Unit Tests'!B41</f>
        <v>23510250223</v>
      </c>
      <c r="D42" s="164" t="str">
        <f>'CO_Attainment for Unit Tests'!C41</f>
        <v>KHANDAGALE SUHANI VIKRAM</v>
      </c>
      <c r="E42" s="88"/>
      <c r="F42" s="165">
        <v>88.0</v>
      </c>
      <c r="G42" s="165">
        <v>89.0</v>
      </c>
    </row>
    <row r="43" ht="15.75" customHeight="1">
      <c r="B43" s="131">
        <v>30.0</v>
      </c>
      <c r="C43" s="131">
        <f>'CO_Attainment for Unit Tests'!B42</f>
        <v>23510250224</v>
      </c>
      <c r="D43" s="164" t="str">
        <f>'CO_Attainment for Unit Tests'!C42</f>
        <v>KHUNE PRIYANKA PRAMOD</v>
      </c>
      <c r="E43" s="88"/>
      <c r="F43" s="165">
        <v>95.0</v>
      </c>
      <c r="G43" s="165">
        <v>91.0</v>
      </c>
    </row>
    <row r="44" ht="15.75" customHeight="1">
      <c r="B44" s="131">
        <v>31.0</v>
      </c>
      <c r="C44" s="131">
        <f>'CO_Attainment for Unit Tests'!B43</f>
        <v>23510250225</v>
      </c>
      <c r="D44" s="164" t="str">
        <f>'CO_Attainment for Unit Tests'!C43</f>
        <v>KSHIRSAGAR ISHWARI DATTATRAYA</v>
      </c>
      <c r="E44" s="88"/>
      <c r="F44" s="165">
        <v>94.0</v>
      </c>
      <c r="G44" s="165">
        <v>94.0</v>
      </c>
    </row>
    <row r="45" ht="15.75" customHeight="1">
      <c r="B45" s="131">
        <v>32.0</v>
      </c>
      <c r="C45" s="131">
        <f>'CO_Attainment for Unit Tests'!B44</f>
        <v>23510250226</v>
      </c>
      <c r="D45" s="164" t="str">
        <f>'CO_Attainment for Unit Tests'!C44</f>
        <v>LONDHE PRAMILA CHHATRAGUN</v>
      </c>
      <c r="E45" s="88"/>
      <c r="F45" s="165">
        <v>92.0</v>
      </c>
      <c r="G45" s="165">
        <v>89.0</v>
      </c>
    </row>
    <row r="46" ht="15.75" customHeight="1">
      <c r="B46" s="131">
        <v>33.0</v>
      </c>
      <c r="C46" s="131">
        <f>'CO_Attainment for Unit Tests'!B45</f>
        <v>23510250227</v>
      </c>
      <c r="D46" s="164" t="str">
        <f>'CO_Attainment for Unit Tests'!C45</f>
        <v>MALI KARAN ASHOK</v>
      </c>
      <c r="E46" s="88"/>
      <c r="F46" s="165">
        <v>98.0</v>
      </c>
      <c r="G46" s="165">
        <v>100.0</v>
      </c>
    </row>
    <row r="47" ht="15.75" customHeight="1">
      <c r="B47" s="131">
        <v>34.0</v>
      </c>
      <c r="C47" s="131">
        <f>'CO_Attainment for Unit Tests'!B46</f>
        <v>23510250228</v>
      </c>
      <c r="D47" s="164" t="str">
        <f>'CO_Attainment for Unit Tests'!C46</f>
        <v>MENDHEKAR PRITI GOROBA</v>
      </c>
      <c r="E47" s="88"/>
      <c r="F47" s="165">
        <v>90.0</v>
      </c>
      <c r="G47" s="165">
        <v>89.0</v>
      </c>
    </row>
    <row r="48" ht="15.75" customHeight="1">
      <c r="B48" s="131">
        <v>35.0</v>
      </c>
      <c r="C48" s="131">
        <f>'CO_Attainment for Unit Tests'!B47</f>
        <v>23510250233</v>
      </c>
      <c r="D48" s="164" t="str">
        <f>'CO_Attainment for Unit Tests'!C47</f>
        <v>NIMBALKAR ASMITA BHUJANG</v>
      </c>
      <c r="E48" s="88"/>
      <c r="F48" s="165">
        <v>98.0</v>
      </c>
      <c r="G48" s="165">
        <v>100.0</v>
      </c>
    </row>
    <row r="49" ht="15.75" customHeight="1">
      <c r="B49" s="131">
        <v>36.0</v>
      </c>
      <c r="C49" s="131">
        <f>'CO_Attainment for Unit Tests'!B48</f>
        <v>23510250234</v>
      </c>
      <c r="D49" s="164" t="str">
        <f>'CO_Attainment for Unit Tests'!C48</f>
        <v>PANCHAL GAYATRI DNYANESHWAR</v>
      </c>
      <c r="E49" s="88"/>
      <c r="F49" s="165">
        <v>93.0</v>
      </c>
      <c r="G49" s="165">
        <v>90.0</v>
      </c>
    </row>
    <row r="50" ht="15.75" customHeight="1">
      <c r="B50" s="131">
        <v>37.0</v>
      </c>
      <c r="C50" s="131">
        <f>'CO_Attainment for Unit Tests'!B49</f>
        <v>23510250235</v>
      </c>
      <c r="D50" s="164" t="str">
        <f>'CO_Attainment for Unit Tests'!C49</f>
        <v>PATHAN ADIBA FIRDOS AMJAD KHAN</v>
      </c>
      <c r="E50" s="88"/>
      <c r="F50" s="165">
        <v>91.0</v>
      </c>
      <c r="G50" s="165">
        <v>89.0</v>
      </c>
    </row>
    <row r="51" ht="15.75" customHeight="1">
      <c r="B51" s="131">
        <v>38.0</v>
      </c>
      <c r="C51" s="131">
        <f>'CO_Attainment for Unit Tests'!B50</f>
        <v>23510250236</v>
      </c>
      <c r="D51" s="164" t="str">
        <f>'CO_Attainment for Unit Tests'!C50</f>
        <v>PATIL AMRUTA SURESH</v>
      </c>
      <c r="E51" s="88"/>
      <c r="F51" s="165">
        <v>95.0</v>
      </c>
      <c r="G51" s="165">
        <v>92.0</v>
      </c>
    </row>
    <row r="52" ht="15.75" customHeight="1">
      <c r="B52" s="131">
        <v>39.0</v>
      </c>
      <c r="C52" s="131">
        <f>'CO_Attainment for Unit Tests'!B51</f>
        <v>23510250237</v>
      </c>
      <c r="D52" s="164" t="str">
        <f>'CO_Attainment for Unit Tests'!C51</f>
        <v>PATIL DNYANESHWARI SUBHASH</v>
      </c>
      <c r="E52" s="88"/>
      <c r="F52" s="165">
        <v>95.0</v>
      </c>
      <c r="G52" s="165">
        <v>96.0</v>
      </c>
    </row>
    <row r="53" ht="15.75" customHeight="1">
      <c r="B53" s="131">
        <v>40.0</v>
      </c>
      <c r="C53" s="131">
        <f>'CO_Attainment for Unit Tests'!B52</f>
        <v>23510250238</v>
      </c>
      <c r="D53" s="164" t="str">
        <f>'CO_Attainment for Unit Tests'!C52</f>
        <v>PAWAR ARYA RAJENDRA</v>
      </c>
      <c r="E53" s="88"/>
      <c r="F53" s="165">
        <v>96.0</v>
      </c>
      <c r="G53" s="165">
        <v>99.0</v>
      </c>
    </row>
    <row r="54" ht="15.75" customHeight="1">
      <c r="B54" s="131">
        <v>41.0</v>
      </c>
      <c r="C54" s="131">
        <f>'CO_Attainment for Unit Tests'!B53</f>
        <v>23510250239</v>
      </c>
      <c r="D54" s="164" t="str">
        <f>'CO_Attainment for Unit Tests'!C53</f>
        <v>PAWAR SARIKA PANDURANG</v>
      </c>
      <c r="E54" s="88"/>
      <c r="F54" s="165">
        <v>95.0</v>
      </c>
      <c r="G54" s="165">
        <v>97.0</v>
      </c>
    </row>
    <row r="55" ht="15.75" customHeight="1">
      <c r="B55" s="131">
        <v>42.0</v>
      </c>
      <c r="C55" s="131">
        <f>'CO_Attainment for Unit Tests'!B54</f>
        <v>23510250240</v>
      </c>
      <c r="D55" s="164" t="str">
        <f>'CO_Attainment for Unit Tests'!C54</f>
        <v>PAWAR VAIBHAVI LAXMAN</v>
      </c>
      <c r="E55" s="88"/>
      <c r="F55" s="165">
        <v>95.0</v>
      </c>
      <c r="G55" s="165">
        <v>99.0</v>
      </c>
    </row>
    <row r="56" ht="15.75" customHeight="1">
      <c r="B56" s="131">
        <v>43.0</v>
      </c>
      <c r="C56" s="131">
        <f>'CO_Attainment for Unit Tests'!B55</f>
        <v>23510250241</v>
      </c>
      <c r="D56" s="164" t="str">
        <f>'CO_Attainment for Unit Tests'!C55</f>
        <v>PICHRUTE GAYATRI AMBADAS</v>
      </c>
      <c r="E56" s="88"/>
      <c r="F56" s="165">
        <v>93.0</v>
      </c>
      <c r="G56" s="165">
        <v>92.0</v>
      </c>
    </row>
    <row r="57" ht="15.75" customHeight="1">
      <c r="B57" s="131">
        <v>44.0</v>
      </c>
      <c r="C57" s="131">
        <f>'CO_Attainment for Unit Tests'!B56</f>
        <v>23510250242</v>
      </c>
      <c r="D57" s="164" t="str">
        <f>'CO_Attainment for Unit Tests'!C56</f>
        <v>PIRJADE AFREEN UBEDULLA</v>
      </c>
      <c r="E57" s="88"/>
      <c r="F57" s="165">
        <v>95.0</v>
      </c>
      <c r="G57" s="165">
        <v>97.0</v>
      </c>
    </row>
    <row r="58" ht="15.75" customHeight="1">
      <c r="B58" s="131">
        <v>45.0</v>
      </c>
      <c r="C58" s="131">
        <f>'CO_Attainment for Unit Tests'!B57</f>
        <v>23510250244</v>
      </c>
      <c r="D58" s="164" t="str">
        <f>'CO_Attainment for Unit Tests'!C57</f>
        <v>RAJPUT BHIMSING UMRAOSING</v>
      </c>
      <c r="E58" s="88"/>
      <c r="F58" s="165">
        <v>95.0</v>
      </c>
      <c r="G58" s="165">
        <v>98.0</v>
      </c>
    </row>
    <row r="59" ht="15.75" customHeight="1">
      <c r="B59" s="131">
        <v>46.0</v>
      </c>
      <c r="C59" s="131">
        <f>'CO_Attainment for Unit Tests'!B58</f>
        <v>23510250246</v>
      </c>
      <c r="D59" s="164" t="str">
        <f>'CO_Attainment for Unit Tests'!C58</f>
        <v>SAKHARKAR SHRAVANI HARI</v>
      </c>
      <c r="E59" s="88"/>
      <c r="F59" s="165">
        <v>95.0</v>
      </c>
      <c r="G59" s="165">
        <v>98.0</v>
      </c>
    </row>
    <row r="60" ht="15.75" customHeight="1">
      <c r="B60" s="131">
        <v>47.0</v>
      </c>
      <c r="C60" s="131">
        <f>'CO_Attainment for Unit Tests'!B59</f>
        <v>23510250247</v>
      </c>
      <c r="D60" s="164" t="str">
        <f>'CO_Attainment for Unit Tests'!C59</f>
        <v>SHINDALKAR ANIKET SHESHERAO</v>
      </c>
      <c r="E60" s="88"/>
      <c r="F60" s="165">
        <v>99.0</v>
      </c>
      <c r="G60" s="165">
        <v>99.0</v>
      </c>
    </row>
    <row r="61" ht="15.75" customHeight="1">
      <c r="B61" s="131">
        <v>48.0</v>
      </c>
      <c r="C61" s="131">
        <f>'CO_Attainment for Unit Tests'!B60</f>
        <v>23510250248</v>
      </c>
      <c r="D61" s="164" t="str">
        <f>'CO_Attainment for Unit Tests'!C60</f>
        <v>SHINDE DIPIKA DATTATRAY</v>
      </c>
      <c r="E61" s="88"/>
      <c r="F61" s="165">
        <v>90.0</v>
      </c>
      <c r="G61" s="165">
        <v>90.0</v>
      </c>
    </row>
    <row r="62" ht="15.75" customHeight="1">
      <c r="B62" s="131">
        <v>49.0</v>
      </c>
      <c r="C62" s="131">
        <f>'CO_Attainment for Unit Tests'!B61</f>
        <v>23510250249</v>
      </c>
      <c r="D62" s="164" t="str">
        <f>'CO_Attainment for Unit Tests'!C61</f>
        <v>SHINDE ROHAN RAJENDRA</v>
      </c>
      <c r="E62" s="88"/>
      <c r="F62" s="165">
        <v>90.0</v>
      </c>
      <c r="G62" s="165">
        <v>90.0</v>
      </c>
    </row>
    <row r="63" ht="15.75" customHeight="1">
      <c r="B63" s="131">
        <v>50.0</v>
      </c>
      <c r="C63" s="131">
        <f>'CO_Attainment for Unit Tests'!B62</f>
        <v>23510250250</v>
      </c>
      <c r="D63" s="164" t="str">
        <f>'CO_Attainment for Unit Tests'!C62</f>
        <v>SHINDE SHIVAM SANDEEP</v>
      </c>
      <c r="E63" s="88"/>
      <c r="F63" s="165">
        <v>96.0</v>
      </c>
      <c r="G63" s="165">
        <v>98.0</v>
      </c>
    </row>
    <row r="64" ht="15.75" customHeight="1">
      <c r="B64" s="131">
        <v>51.0</v>
      </c>
      <c r="C64" s="131">
        <f>'CO_Attainment for Unit Tests'!B63</f>
        <v>23510250251</v>
      </c>
      <c r="D64" s="164" t="str">
        <f>'CO_Attainment for Unit Tests'!C63</f>
        <v>SHINDE YASHRAJ YUVRAJ</v>
      </c>
      <c r="E64" s="88"/>
      <c r="F64" s="165">
        <v>96.0</v>
      </c>
      <c r="G64" s="165">
        <v>98.0</v>
      </c>
    </row>
    <row r="65" ht="15.75" customHeight="1">
      <c r="B65" s="131">
        <v>52.0</v>
      </c>
      <c r="C65" s="131">
        <f>'CO_Attainment for Unit Tests'!B64</f>
        <v>23510250252</v>
      </c>
      <c r="D65" s="164" t="str">
        <f>'CO_Attainment for Unit Tests'!C64</f>
        <v>SIRSAT ABHISHEK SHAHAJI</v>
      </c>
      <c r="E65" s="88"/>
      <c r="F65" s="165">
        <v>23.0</v>
      </c>
      <c r="G65" s="165">
        <v>90.0</v>
      </c>
    </row>
    <row r="66" ht="15.75" customHeight="1">
      <c r="B66" s="131">
        <v>53.0</v>
      </c>
      <c r="C66" s="131">
        <f>'CO_Attainment for Unit Tests'!B65</f>
        <v>23510250254</v>
      </c>
      <c r="D66" s="164" t="str">
        <f>'CO_Attainment for Unit Tests'!C65</f>
        <v>UMBARDAND SHIVLILA BABASAHEB</v>
      </c>
      <c r="E66" s="88"/>
      <c r="F66" s="165">
        <v>94.0</v>
      </c>
      <c r="G66" s="165">
        <v>91.0</v>
      </c>
    </row>
    <row r="67" ht="15.75" customHeight="1">
      <c r="B67" s="131">
        <v>54.0</v>
      </c>
      <c r="C67" s="131">
        <f>'CO_Attainment for Unit Tests'!B66</f>
        <v>23510250255</v>
      </c>
      <c r="D67" s="164" t="str">
        <f>'CO_Attainment for Unit Tests'!C66</f>
        <v>VARE ANJALI RAMDAS</v>
      </c>
      <c r="E67" s="88"/>
      <c r="F67" s="165">
        <v>90.0</v>
      </c>
      <c r="G67" s="165">
        <v>88.0</v>
      </c>
    </row>
    <row r="68" ht="15.75" customHeight="1">
      <c r="B68" s="131">
        <v>55.0</v>
      </c>
      <c r="C68" s="131">
        <f>'CO_Attainment for Unit Tests'!B67</f>
        <v>23510250257</v>
      </c>
      <c r="D68" s="164" t="str">
        <f>'CO_Attainment for Unit Tests'!C67</f>
        <v>WAGHMARE PALLAVI DNYANESHWAR</v>
      </c>
      <c r="E68" s="88"/>
      <c r="F68" s="165">
        <v>92.0</v>
      </c>
      <c r="G68" s="165">
        <v>89.0</v>
      </c>
    </row>
    <row r="69" ht="15.75" customHeight="1">
      <c r="B69" s="131">
        <v>56.0</v>
      </c>
      <c r="C69" s="131">
        <f>'CO_Attainment for Unit Tests'!B68</f>
        <v>23510250524</v>
      </c>
      <c r="D69" s="164" t="str">
        <f>'CO_Attainment for Unit Tests'!C68</f>
        <v>Gavasane Vedant Amol</v>
      </c>
      <c r="E69" s="88"/>
      <c r="F69" s="165">
        <v>98.0</v>
      </c>
      <c r="G69" s="165">
        <v>100.0</v>
      </c>
    </row>
    <row r="70" ht="15.75" customHeight="1">
      <c r="B70" s="131">
        <v>57.0</v>
      </c>
      <c r="C70" s="131">
        <f>'CO_Attainment for Unit Tests'!B69</f>
        <v>24510250260</v>
      </c>
      <c r="D70" s="164" t="str">
        <f>'CO_Attainment for Unit Tests'!C69</f>
        <v>HAJARE SWAPNALI SUJIT</v>
      </c>
      <c r="E70" s="88"/>
      <c r="F70" s="165">
        <v>90.0</v>
      </c>
      <c r="G70" s="165">
        <v>97.0</v>
      </c>
    </row>
    <row r="71" ht="15.75" customHeight="1">
      <c r="B71" s="131">
        <v>58.0</v>
      </c>
      <c r="C71" s="131">
        <f>'CO_Attainment for Unit Tests'!B70</f>
        <v>24510250261</v>
      </c>
      <c r="D71" s="164" t="str">
        <f>'CO_Attainment for Unit Tests'!C70</f>
        <v>MUGALE AMAR RAM</v>
      </c>
      <c r="E71" s="88"/>
      <c r="F71" s="165">
        <v>92.0</v>
      </c>
      <c r="G71" s="165">
        <v>95.0</v>
      </c>
    </row>
    <row r="72" ht="15.75" customHeight="1">
      <c r="B72" s="131">
        <v>59.0</v>
      </c>
      <c r="C72" s="131">
        <f>'CO_Attainment for Unit Tests'!B71</f>
        <v>24510250262</v>
      </c>
      <c r="D72" s="164" t="str">
        <f>'CO_Attainment for Unit Tests'!C71</f>
        <v>PAWAR ASHWASANDHYA NANDAKUMAR</v>
      </c>
      <c r="E72" s="88"/>
      <c r="F72" s="165">
        <v>91.0</v>
      </c>
      <c r="G72" s="165">
        <v>92.0</v>
      </c>
    </row>
    <row r="73" ht="15.75" customHeight="1">
      <c r="B73" s="131">
        <v>60.0</v>
      </c>
      <c r="C73" s="131">
        <f>'CO_Attainment for Unit Tests'!B72</f>
        <v>24510250263</v>
      </c>
      <c r="D73" s="164" t="str">
        <f>'CO_Attainment for Unit Tests'!C72</f>
        <v>PAWAR ASHWASHRADHA DHANAJI</v>
      </c>
      <c r="E73" s="88"/>
      <c r="F73" s="166">
        <v>91.0</v>
      </c>
      <c r="G73" s="166">
        <v>91.0</v>
      </c>
    </row>
    <row r="74" ht="15.75" customHeight="1">
      <c r="B74" s="131">
        <v>61.0</v>
      </c>
      <c r="C74" s="131">
        <f>'CO_Attainment for Unit Tests'!B73</f>
        <v>24510250264</v>
      </c>
      <c r="D74" s="164" t="str">
        <f>'CO_Attainment for Unit Tests'!C73</f>
        <v>SUTAR PRIYA BHAGVANT</v>
      </c>
      <c r="E74" s="88"/>
      <c r="F74" s="165">
        <v>91.0</v>
      </c>
      <c r="G74" s="165">
        <v>92.0</v>
      </c>
    </row>
    <row r="75" ht="15.75" customHeight="1">
      <c r="B75" s="131">
        <v>62.0</v>
      </c>
      <c r="C75" s="131">
        <f>'CO_Attainment for Unit Tests'!B74</f>
        <v>24510250265</v>
      </c>
      <c r="D75" s="164" t="str">
        <f>'CO_Attainment for Unit Tests'!C74</f>
        <v>SUTAR YOGESH EKNATH</v>
      </c>
      <c r="E75" s="88"/>
      <c r="F75" s="165">
        <v>90.0</v>
      </c>
      <c r="G75" s="165">
        <v>88.0</v>
      </c>
    </row>
    <row r="76" ht="15.75" customHeight="1">
      <c r="B76" s="131">
        <v>63.0</v>
      </c>
      <c r="C76" s="131">
        <f>'CO_Attainment for Unit Tests'!B75</f>
        <v>24510250266</v>
      </c>
      <c r="D76" s="164" t="str">
        <f>'CO_Attainment for Unit Tests'!C75</f>
        <v>WAWALKAR ANJALI ANIL</v>
      </c>
      <c r="E76" s="88"/>
      <c r="F76" s="165">
        <v>90.0</v>
      </c>
      <c r="G76" s="165">
        <v>89.0</v>
      </c>
    </row>
    <row r="77" ht="15.75" customHeight="1">
      <c r="B77" s="131">
        <v>64.0</v>
      </c>
      <c r="C77" s="131" t="str">
        <f>'CO_Attainment for Unit Tests'!B76</f>
        <v/>
      </c>
      <c r="D77" s="164" t="str">
        <f>'CO_Attainment for Unit Tests'!C76</f>
        <v/>
      </c>
      <c r="E77" s="88"/>
      <c r="F77" s="166"/>
      <c r="G77" s="166"/>
    </row>
    <row r="78" ht="15.75" customHeight="1">
      <c r="B78" s="131">
        <v>65.0</v>
      </c>
      <c r="C78" s="131" t="str">
        <f>'CO_Attainment for Unit Tests'!B77</f>
        <v/>
      </c>
      <c r="D78" s="164" t="str">
        <f>'CO_Attainment for Unit Tests'!C77</f>
        <v/>
      </c>
      <c r="E78" s="88"/>
      <c r="F78" s="89"/>
      <c r="G78" s="89"/>
    </row>
    <row r="79" ht="15.75" customHeight="1">
      <c r="B79" s="131">
        <v>66.0</v>
      </c>
      <c r="C79" s="131" t="str">
        <f>'CO_Attainment for Unit Tests'!B78</f>
        <v/>
      </c>
      <c r="D79" s="164" t="str">
        <f>'CO_Attainment for Unit Tests'!C78</f>
        <v/>
      </c>
      <c r="E79" s="88"/>
      <c r="F79" s="89"/>
      <c r="G79" s="89"/>
    </row>
    <row r="80" ht="15.75" customHeight="1">
      <c r="B80" s="131">
        <v>67.0</v>
      </c>
      <c r="C80" s="131" t="str">
        <f>'CO_Attainment for Unit Tests'!B79</f>
        <v/>
      </c>
      <c r="D80" s="164" t="str">
        <f>'CO_Attainment for Unit Tests'!C79</f>
        <v/>
      </c>
      <c r="E80" s="88"/>
      <c r="F80" s="89"/>
      <c r="G80" s="89"/>
    </row>
    <row r="81" ht="15.75" customHeight="1">
      <c r="B81" s="131">
        <v>68.0</v>
      </c>
      <c r="C81" s="131" t="str">
        <f>'CO_Attainment for Unit Tests'!B80</f>
        <v/>
      </c>
      <c r="D81" s="164" t="str">
        <f>'CO_Attainment for Unit Tests'!C80</f>
        <v/>
      </c>
      <c r="E81" s="88"/>
      <c r="F81" s="89"/>
      <c r="G81" s="89"/>
    </row>
    <row r="82" ht="15.75" customHeight="1">
      <c r="B82" s="131">
        <v>69.0</v>
      </c>
      <c r="C82" s="131" t="str">
        <f>'CO_Attainment for Unit Tests'!B81</f>
        <v/>
      </c>
      <c r="D82" s="164" t="str">
        <f>'CO_Attainment for Unit Tests'!C81</f>
        <v/>
      </c>
      <c r="E82" s="88"/>
      <c r="F82" s="89"/>
      <c r="G82" s="89"/>
    </row>
    <row r="83" ht="15.75" customHeight="1">
      <c r="B83" s="131">
        <v>70.0</v>
      </c>
      <c r="C83" s="131" t="str">
        <f>'CO_Attainment for Unit Tests'!B82</f>
        <v/>
      </c>
      <c r="D83" s="164" t="str">
        <f>'CO_Attainment for Unit Tests'!C82</f>
        <v/>
      </c>
      <c r="E83" s="88"/>
      <c r="F83" s="89"/>
      <c r="G83" s="89"/>
    </row>
    <row r="84" ht="15.75" customHeight="1">
      <c r="B84" s="131">
        <v>71.0</v>
      </c>
      <c r="C84" s="131" t="str">
        <f>'CO_Attainment for Unit Tests'!B83</f>
        <v/>
      </c>
      <c r="D84" s="164" t="str">
        <f>'CO_Attainment for Unit Tests'!C83</f>
        <v/>
      </c>
      <c r="E84" s="88"/>
      <c r="F84" s="89"/>
      <c r="G84" s="89"/>
    </row>
    <row r="85" ht="15.75" customHeight="1">
      <c r="B85" s="131">
        <v>72.0</v>
      </c>
      <c r="C85" s="131" t="str">
        <f>'CO_Attainment for Unit Tests'!B84</f>
        <v/>
      </c>
      <c r="D85" s="164" t="str">
        <f>'CO_Attainment for Unit Tests'!C84</f>
        <v/>
      </c>
      <c r="E85" s="88"/>
      <c r="F85" s="89"/>
      <c r="G85" s="89"/>
    </row>
    <row r="86" ht="15.75" customHeight="1">
      <c r="B86" s="131">
        <v>73.0</v>
      </c>
      <c r="C86" s="131" t="str">
        <f>'CO_Attainment for Unit Tests'!B85</f>
        <v/>
      </c>
      <c r="D86" s="164" t="str">
        <f>'CO_Attainment for Unit Tests'!C85</f>
        <v/>
      </c>
      <c r="E86" s="88"/>
      <c r="F86" s="89"/>
      <c r="G86" s="89"/>
    </row>
    <row r="87" ht="15.75" customHeight="1">
      <c r="B87" s="131">
        <v>74.0</v>
      </c>
      <c r="C87" s="131" t="str">
        <f>'CO_Attainment for Unit Tests'!B86</f>
        <v/>
      </c>
      <c r="D87" s="164" t="str">
        <f>'CO_Attainment for Unit Tests'!C86</f>
        <v/>
      </c>
      <c r="E87" s="88"/>
      <c r="F87" s="89"/>
      <c r="G87" s="89"/>
    </row>
    <row r="88" ht="15.75" customHeight="1">
      <c r="B88" s="131">
        <v>75.0</v>
      </c>
      <c r="C88" s="131" t="str">
        <f>'CO_Attainment for Unit Tests'!B87</f>
        <v/>
      </c>
      <c r="D88" s="164" t="str">
        <f>'CO_Attainment for Unit Tests'!C87</f>
        <v/>
      </c>
      <c r="E88" s="88"/>
      <c r="F88" s="89"/>
      <c r="G88" s="89"/>
    </row>
    <row r="89" ht="15.75" customHeight="1">
      <c r="B89" s="131">
        <v>76.0</v>
      </c>
      <c r="C89" s="131" t="str">
        <f>'CO_Attainment for Unit Tests'!B88</f>
        <v/>
      </c>
      <c r="D89" s="164" t="str">
        <f>'CO_Attainment for Unit Tests'!C88</f>
        <v/>
      </c>
      <c r="E89" s="88"/>
      <c r="F89" s="89"/>
      <c r="G89" s="89"/>
    </row>
    <row r="90" ht="15.75" customHeight="1">
      <c r="B90" s="131">
        <v>77.0</v>
      </c>
      <c r="C90" s="131" t="str">
        <f>'CO_Attainment for Unit Tests'!B89</f>
        <v/>
      </c>
      <c r="D90" s="164" t="str">
        <f>'CO_Attainment for Unit Tests'!C89</f>
        <v/>
      </c>
      <c r="E90" s="88"/>
      <c r="F90" s="89"/>
      <c r="G90" s="89"/>
    </row>
    <row r="91" ht="15.75" customHeight="1">
      <c r="B91" s="131">
        <v>78.0</v>
      </c>
      <c r="C91" s="131" t="str">
        <f>'CO_Attainment for Unit Tests'!B90</f>
        <v/>
      </c>
      <c r="D91" s="164" t="str">
        <f>'CO_Attainment for Unit Tests'!C90</f>
        <v/>
      </c>
      <c r="E91" s="88"/>
      <c r="F91" s="89"/>
      <c r="G91" s="89"/>
    </row>
    <row r="92" ht="15.75" customHeight="1">
      <c r="B92" s="131">
        <v>79.0</v>
      </c>
      <c r="C92" s="131" t="str">
        <f>'CO_Attainment for Unit Tests'!B91</f>
        <v/>
      </c>
      <c r="D92" s="164" t="str">
        <f>'CO_Attainment for Unit Tests'!C91</f>
        <v/>
      </c>
      <c r="E92" s="88"/>
      <c r="F92" s="89"/>
      <c r="G92" s="89"/>
    </row>
    <row r="93" ht="15.75" customHeight="1">
      <c r="B93" s="131">
        <v>80.0</v>
      </c>
      <c r="C93" s="131" t="str">
        <f>'CO_Attainment for Unit Tests'!B92</f>
        <v/>
      </c>
      <c r="D93" s="164" t="str">
        <f>'CO_Attainment for Unit Tests'!C92</f>
        <v/>
      </c>
      <c r="E93" s="88"/>
      <c r="F93" s="89"/>
      <c r="G93" s="89"/>
    </row>
    <row r="94" ht="15.75" customHeight="1">
      <c r="B94" s="131">
        <v>81.0</v>
      </c>
      <c r="C94" s="131" t="str">
        <f>'CO_Attainment for Unit Tests'!B93</f>
        <v/>
      </c>
      <c r="D94" s="164" t="str">
        <f>'CO_Attainment for Unit Tests'!C93</f>
        <v/>
      </c>
      <c r="E94" s="88"/>
      <c r="F94" s="89"/>
      <c r="G94" s="89"/>
    </row>
    <row r="95" ht="15.75" customHeight="1">
      <c r="B95" s="131">
        <v>82.0</v>
      </c>
      <c r="C95" s="131" t="str">
        <f>'CO_Attainment for Unit Tests'!B94</f>
        <v/>
      </c>
      <c r="D95" s="164" t="str">
        <f>'CO_Attainment for Unit Tests'!C94</f>
        <v/>
      </c>
      <c r="E95" s="88"/>
      <c r="F95" s="89"/>
      <c r="G95" s="89"/>
    </row>
    <row r="96" ht="15.75" customHeight="1">
      <c r="B96" s="131">
        <v>83.0</v>
      </c>
      <c r="C96" s="131" t="str">
        <f>'CO_Attainment for Unit Tests'!B95</f>
        <v/>
      </c>
      <c r="D96" s="164" t="str">
        <f>'CO_Attainment for Unit Tests'!C95</f>
        <v/>
      </c>
      <c r="E96" s="88"/>
      <c r="F96" s="89"/>
      <c r="G96" s="89"/>
    </row>
    <row r="97" ht="30.75" customHeight="1">
      <c r="B97" s="19"/>
      <c r="C97" s="19"/>
      <c r="D97" s="167" t="s">
        <v>158</v>
      </c>
      <c r="E97" s="168">
        <f>ROUNDUP(D98*E13/100,1)</f>
        <v>15</v>
      </c>
      <c r="F97" s="168">
        <f>ROUNDUP(D98*F13/100,1)</f>
        <v>15</v>
      </c>
      <c r="G97" s="168">
        <f>ROUNDUP(D98*G13/100,1)</f>
        <v>15</v>
      </c>
    </row>
    <row r="98" ht="15.75" customHeight="1">
      <c r="D98" s="169">
        <v>60.0</v>
      </c>
      <c r="E98" s="33"/>
      <c r="F98" s="33"/>
      <c r="G98" s="33"/>
    </row>
    <row r="99" ht="15.75" customHeight="1">
      <c r="D99" s="136" t="s">
        <v>129</v>
      </c>
      <c r="E99" s="137">
        <f t="shared" ref="E99:G99" si="1">COUNTIF(E14:E96,"&gt;=" &amp;E97)</f>
        <v>0</v>
      </c>
      <c r="F99" s="137">
        <f t="shared" si="1"/>
        <v>63</v>
      </c>
      <c r="G99" s="137">
        <f t="shared" si="1"/>
        <v>63</v>
      </c>
    </row>
    <row r="100" ht="15.75" customHeight="1"/>
    <row r="101" ht="15.75" customHeight="1"/>
    <row r="102" ht="15.75" customHeight="1"/>
    <row r="103" ht="46.5" customHeight="1">
      <c r="A103" s="142"/>
      <c r="B103" s="97" t="s">
        <v>159</v>
      </c>
      <c r="C103" s="25"/>
      <c r="D103" s="26"/>
      <c r="E103" s="170" t="s">
        <v>131</v>
      </c>
      <c r="F103" s="99"/>
      <c r="G103" s="141" t="s">
        <v>132</v>
      </c>
      <c r="H103" s="142"/>
    </row>
    <row r="104" ht="15.75" customHeight="1">
      <c r="A104" s="142"/>
      <c r="B104" s="101" t="s">
        <v>133</v>
      </c>
      <c r="C104" s="171">
        <v>0.5</v>
      </c>
      <c r="D104" s="147" t="s">
        <v>148</v>
      </c>
      <c r="E104" s="146">
        <f>COUNTA(D14:D96)-COUNTIFS(D14:D96,0)</f>
        <v>63</v>
      </c>
      <c r="F104" s="172">
        <f>C104*$E104</f>
        <v>31.5</v>
      </c>
      <c r="G104" s="148">
        <v>1.0</v>
      </c>
      <c r="H104" s="142"/>
    </row>
    <row r="105" ht="15.75" customHeight="1">
      <c r="A105" s="142"/>
      <c r="B105" s="109"/>
      <c r="C105" s="173">
        <v>0.6</v>
      </c>
      <c r="D105" s="151" t="s">
        <v>148</v>
      </c>
      <c r="E105" s="28"/>
      <c r="F105" s="174">
        <f>C105*$E104</f>
        <v>37.8</v>
      </c>
      <c r="G105" s="152">
        <v>2.0</v>
      </c>
      <c r="H105" s="142"/>
    </row>
    <row r="106" ht="15.75" customHeight="1">
      <c r="A106" s="142"/>
      <c r="B106" s="113"/>
      <c r="C106" s="175">
        <v>0.7</v>
      </c>
      <c r="D106" s="155" t="s">
        <v>148</v>
      </c>
      <c r="E106" s="33"/>
      <c r="F106" s="176">
        <f>C106*$E104</f>
        <v>44.1</v>
      </c>
      <c r="G106" s="156">
        <v>3.0</v>
      </c>
      <c r="H106" s="142"/>
    </row>
    <row r="107" ht="15.75" customHeight="1">
      <c r="A107" s="142"/>
      <c r="B107" s="142"/>
      <c r="C107" s="142"/>
      <c r="D107" s="142"/>
      <c r="E107" s="142"/>
      <c r="F107" s="142"/>
      <c r="G107" s="142"/>
      <c r="H107" s="142"/>
    </row>
    <row r="108" ht="15.75" customHeight="1">
      <c r="A108" s="142"/>
      <c r="B108" s="142"/>
      <c r="C108" s="142"/>
      <c r="D108" s="142"/>
      <c r="E108" s="142"/>
      <c r="F108" s="142"/>
      <c r="G108" s="142"/>
      <c r="H108" s="142"/>
    </row>
    <row r="109" ht="33.0" customHeight="1">
      <c r="A109" s="24" t="s">
        <v>160</v>
      </c>
      <c r="B109" s="177"/>
      <c r="C109" s="178" t="s">
        <v>9</v>
      </c>
      <c r="D109" s="178" t="s">
        <v>11</v>
      </c>
      <c r="E109" s="178" t="s">
        <v>13</v>
      </c>
      <c r="F109" s="178" t="s">
        <v>15</v>
      </c>
      <c r="G109" s="178" t="s">
        <v>138</v>
      </c>
      <c r="H109" s="179" t="s">
        <v>139</v>
      </c>
    </row>
    <row r="110" ht="36.75" customHeight="1">
      <c r="A110" s="180" t="s">
        <v>161</v>
      </c>
      <c r="B110" s="159"/>
      <c r="C110" s="181">
        <f>IF(E99&gt;=$F106,3,IF(E99&gt;=$F105,2,IF(E99&gt;=$F104,1,0)))</f>
        <v>0</v>
      </c>
      <c r="D110" s="181">
        <f t="shared" ref="D110:H110" si="2">$C110</f>
        <v>0</v>
      </c>
      <c r="E110" s="181">
        <f t="shared" si="2"/>
        <v>0</v>
      </c>
      <c r="F110" s="181">
        <f t="shared" si="2"/>
        <v>0</v>
      </c>
      <c r="G110" s="181">
        <f t="shared" si="2"/>
        <v>0</v>
      </c>
      <c r="H110" s="182">
        <f t="shared" si="2"/>
        <v>0</v>
      </c>
    </row>
    <row r="111" ht="37.5" customHeight="1">
      <c r="A111" s="183" t="s">
        <v>162</v>
      </c>
      <c r="B111" s="15"/>
      <c r="C111" s="184">
        <f>IF(F99&gt;=$F106,3,IF(F99&gt;=$F105,2,IF(F99&gt;=$F104,1,0)))</f>
        <v>3</v>
      </c>
      <c r="D111" s="184">
        <f t="shared" ref="D111:H111" si="3">$C111</f>
        <v>3</v>
      </c>
      <c r="E111" s="184">
        <f t="shared" si="3"/>
        <v>3</v>
      </c>
      <c r="F111" s="184">
        <f t="shared" si="3"/>
        <v>3</v>
      </c>
      <c r="G111" s="184">
        <f t="shared" si="3"/>
        <v>3</v>
      </c>
      <c r="H111" s="185">
        <f t="shared" si="3"/>
        <v>3</v>
      </c>
    </row>
    <row r="112" ht="31.5" customHeight="1">
      <c r="A112" s="186" t="s">
        <v>163</v>
      </c>
      <c r="B112" s="161"/>
      <c r="C112" s="124">
        <f>IF(G99&gt;=$F106,3,IF(G99&gt;=$F105,2,IF(G99&gt;=$F104,1,0)))</f>
        <v>3</v>
      </c>
      <c r="D112" s="124">
        <f t="shared" ref="D112:H112" si="4">$C112</f>
        <v>3</v>
      </c>
      <c r="E112" s="124">
        <f t="shared" si="4"/>
        <v>3</v>
      </c>
      <c r="F112" s="124">
        <f t="shared" si="4"/>
        <v>3</v>
      </c>
      <c r="G112" s="124">
        <f t="shared" si="4"/>
        <v>3</v>
      </c>
      <c r="H112" s="187">
        <f t="shared" si="4"/>
        <v>3</v>
      </c>
    </row>
    <row r="113" ht="15.75" customHeight="1">
      <c r="B113" s="19"/>
    </row>
    <row r="114" ht="15.75" customHeight="1">
      <c r="C114" s="19"/>
    </row>
    <row r="115" ht="15.75" customHeight="1">
      <c r="C115" s="19"/>
    </row>
    <row r="116" ht="15.75" customHeight="1"/>
    <row r="117" ht="15.75" customHeight="1"/>
    <row r="118" ht="15.75" customHeight="1"/>
    <row r="119" ht="15.75" customHeight="1">
      <c r="G119" s="18"/>
    </row>
    <row r="120" ht="15.75" customHeight="1">
      <c r="G120" s="18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4:E4"/>
    <mergeCell ref="D5:E5"/>
    <mergeCell ref="D6:E6"/>
    <mergeCell ref="D7:E7"/>
    <mergeCell ref="B9:B13"/>
    <mergeCell ref="C9:C13"/>
    <mergeCell ref="D9:D13"/>
    <mergeCell ref="E97:E98"/>
    <mergeCell ref="E104:E106"/>
    <mergeCell ref="A109:B109"/>
    <mergeCell ref="A110:B110"/>
    <mergeCell ref="A111:B111"/>
    <mergeCell ref="A112:B112"/>
    <mergeCell ref="E9:E12"/>
    <mergeCell ref="F9:F12"/>
    <mergeCell ref="G9:G12"/>
    <mergeCell ref="F97:F98"/>
    <mergeCell ref="G97:G98"/>
    <mergeCell ref="B103:D103"/>
    <mergeCell ref="B104:B106"/>
  </mergeCells>
  <printOptions/>
  <pageMargins bottom="0.75" footer="0.0" header="0.0" left="0.7" right="0.7" top="0.75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86"/>
    <col customWidth="1" min="4" max="4" width="43.86"/>
    <col customWidth="1" min="5" max="5" width="19.14"/>
    <col customWidth="1" min="6" max="7" width="8.71"/>
  </cols>
  <sheetData>
    <row r="1">
      <c r="C1" s="162" t="s">
        <v>164</v>
      </c>
      <c r="E1" s="162"/>
      <c r="F1" s="8"/>
    </row>
    <row r="2">
      <c r="B2" s="8"/>
      <c r="C2" s="8"/>
      <c r="E2" s="8"/>
    </row>
    <row r="3">
      <c r="B3" s="8"/>
      <c r="C3" s="8"/>
      <c r="D3" s="126"/>
      <c r="E3" s="8"/>
    </row>
    <row r="4">
      <c r="B4" s="8"/>
      <c r="C4" s="5" t="s">
        <v>1</v>
      </c>
      <c r="D4" s="131" t="str">
        <f>'CO_attain_SLA_FA-PR_SA-PR'!D4</f>
        <v>INTERNSHIP(12 WEEKS)</v>
      </c>
      <c r="E4" s="8"/>
      <c r="F4" s="8"/>
    </row>
    <row r="5">
      <c r="B5" s="8"/>
      <c r="C5" s="5" t="s">
        <v>3</v>
      </c>
      <c r="D5" s="131">
        <f>'CO_attain_SLA_FA-PR_SA-PR'!D5</f>
        <v>315004</v>
      </c>
      <c r="E5" s="8"/>
      <c r="F5" s="8"/>
    </row>
    <row r="6">
      <c r="B6" s="8"/>
      <c r="C6" s="5" t="s">
        <v>52</v>
      </c>
      <c r="D6" s="131" t="str">
        <f>'CO_attain_SLA_FA-PR_SA-PR'!D6</f>
        <v>5th Sem Co5K K-Scheme</v>
      </c>
      <c r="E6" s="8"/>
      <c r="F6" s="8"/>
    </row>
    <row r="7">
      <c r="B7" s="8"/>
      <c r="C7" s="5" t="s">
        <v>154</v>
      </c>
      <c r="D7" s="131" t="str">
        <f>'CO_attain_SLA_FA-PR_SA-PR'!D7</f>
        <v>2025-26</v>
      </c>
      <c r="E7" s="8"/>
      <c r="F7" s="8"/>
    </row>
    <row r="8">
      <c r="B8" s="8"/>
      <c r="C8" s="5"/>
      <c r="D8" s="188"/>
      <c r="E8" s="8"/>
      <c r="F8" s="8"/>
    </row>
    <row r="9">
      <c r="B9" s="189" t="s">
        <v>165</v>
      </c>
    </row>
    <row r="10" ht="15.75" customHeight="1">
      <c r="B10" s="190" t="s">
        <v>20</v>
      </c>
      <c r="C10" s="191" t="s">
        <v>166</v>
      </c>
      <c r="D10" s="192" t="s">
        <v>55</v>
      </c>
      <c r="E10" s="191" t="s">
        <v>167</v>
      </c>
    </row>
    <row r="11">
      <c r="B11" s="28"/>
      <c r="C11" s="28"/>
      <c r="D11" s="28"/>
      <c r="E11" s="28"/>
    </row>
    <row r="12">
      <c r="B12" s="28"/>
      <c r="C12" s="28"/>
      <c r="D12" s="28"/>
      <c r="E12" s="28"/>
    </row>
    <row r="13">
      <c r="B13" s="28"/>
      <c r="C13" s="28"/>
      <c r="D13" s="28"/>
      <c r="E13" s="193"/>
    </row>
    <row r="14">
      <c r="B14" s="33"/>
      <c r="C14" s="33"/>
      <c r="D14" s="33"/>
      <c r="E14" s="194">
        <v>5.0</v>
      </c>
    </row>
    <row r="15">
      <c r="B15" s="195">
        <v>1.0</v>
      </c>
      <c r="C15" s="195">
        <f>'CO_attainment for FA-TH ESE'!C14</f>
        <v>2201180008</v>
      </c>
      <c r="D15" s="195" t="str">
        <f>'CO_attainment for FA-TH ESE'!D14</f>
        <v>DHANSHETTI PRIYA SANJAY</v>
      </c>
      <c r="E15" s="195">
        <v>0.0</v>
      </c>
    </row>
    <row r="16" hidden="1">
      <c r="B16" s="196"/>
      <c r="C16" s="196" t="str">
        <f>'CO_attainment for FA-TH ESE'!#REF!</f>
        <v>#ERROR!</v>
      </c>
      <c r="D16" s="196" t="str">
        <f>'CO_attainment for FA-TH ESE'!#REF!</f>
        <v>#ERROR!</v>
      </c>
      <c r="E16" s="197"/>
    </row>
    <row r="17">
      <c r="B17" s="196">
        <v>2.0</v>
      </c>
      <c r="C17" s="196" t="str">
        <f>'CO_attainment for FA-TH ESE'!#REF!</f>
        <v>#ERROR!</v>
      </c>
      <c r="D17" s="196" t="str">
        <f>'CO_attainment for FA-TH ESE'!#REF!</f>
        <v>#ERROR!</v>
      </c>
      <c r="E17" s="196"/>
    </row>
    <row r="18" hidden="1">
      <c r="B18" s="196"/>
      <c r="C18" s="196" t="str">
        <f>'CO_attainment for FA-TH ESE'!#REF!</f>
        <v>#ERROR!</v>
      </c>
      <c r="D18" s="196" t="str">
        <f>'CO_attainment for FA-TH ESE'!#REF!</f>
        <v>#ERROR!</v>
      </c>
      <c r="E18" s="196"/>
    </row>
    <row r="19">
      <c r="B19" s="196">
        <v>3.0</v>
      </c>
      <c r="C19" s="196" t="str">
        <f>'CO_attainment for FA-TH ESE'!#REF!</f>
        <v>#ERROR!</v>
      </c>
      <c r="D19" s="196" t="str">
        <f>'CO_attainment for FA-TH ESE'!#REF!</f>
        <v>#ERROR!</v>
      </c>
      <c r="E19" s="196"/>
    </row>
    <row r="20" hidden="1">
      <c r="B20" s="196"/>
      <c r="C20" s="196" t="str">
        <f>'CO_attainment for FA-TH ESE'!#REF!</f>
        <v>#ERROR!</v>
      </c>
      <c r="D20" s="196" t="str">
        <f>'CO_attainment for FA-TH ESE'!#REF!</f>
        <v>#ERROR!</v>
      </c>
      <c r="E20" s="197"/>
    </row>
    <row r="21" ht="15.75" hidden="1" customHeight="1">
      <c r="B21" s="196"/>
      <c r="C21" s="196" t="str">
        <f>'CO_attainment for FA-TH ESE'!#REF!</f>
        <v>#ERROR!</v>
      </c>
      <c r="D21" s="196" t="str">
        <f>'CO_attainment for FA-TH ESE'!#REF!</f>
        <v>#ERROR!</v>
      </c>
      <c r="E21" s="197"/>
    </row>
    <row r="22" ht="15.75" customHeight="1">
      <c r="B22" s="196">
        <v>4.0</v>
      </c>
      <c r="C22" s="196" t="str">
        <f>'CO_attainment for FA-TH ESE'!#REF!</f>
        <v>#ERROR!</v>
      </c>
      <c r="D22" s="196" t="str">
        <f>'CO_attainment for FA-TH ESE'!#REF!</f>
        <v>#ERROR!</v>
      </c>
      <c r="E22" s="196"/>
    </row>
    <row r="23" ht="15.75" hidden="1" customHeight="1">
      <c r="B23" s="196"/>
      <c r="C23" s="196" t="str">
        <f>'CO_attainment for FA-TH ESE'!#REF!</f>
        <v>#ERROR!</v>
      </c>
      <c r="D23" s="196" t="str">
        <f>'CO_attainment for FA-TH ESE'!#REF!</f>
        <v>#ERROR!</v>
      </c>
      <c r="E23" s="197"/>
    </row>
    <row r="24" ht="15.75" hidden="1" customHeight="1">
      <c r="B24" s="196"/>
      <c r="C24" s="196" t="str">
        <f>'CO_attainment for FA-TH ESE'!#REF!</f>
        <v>#ERROR!</v>
      </c>
      <c r="D24" s="196" t="str">
        <f>'CO_attainment for FA-TH ESE'!#REF!</f>
        <v>#ERROR!</v>
      </c>
      <c r="E24" s="197"/>
    </row>
    <row r="25" ht="15.75" hidden="1" customHeight="1">
      <c r="B25" s="196"/>
      <c r="C25" s="196" t="str">
        <f>'CO_attainment for FA-TH ESE'!#REF!</f>
        <v>#ERROR!</v>
      </c>
      <c r="D25" s="196" t="str">
        <f>'CO_attainment for FA-TH ESE'!#REF!</f>
        <v>#ERROR!</v>
      </c>
      <c r="E25" s="196"/>
    </row>
    <row r="26" ht="15.75" hidden="1" customHeight="1">
      <c r="B26" s="196"/>
      <c r="C26" s="196" t="str">
        <f>'CO_attainment for FA-TH ESE'!#REF!</f>
        <v>#ERROR!</v>
      </c>
      <c r="D26" s="196" t="str">
        <f>'CO_attainment for FA-TH ESE'!#REF!</f>
        <v>#ERROR!</v>
      </c>
      <c r="E26" s="196"/>
    </row>
    <row r="27" ht="15.75" hidden="1" customHeight="1">
      <c r="B27" s="196"/>
      <c r="C27" s="196" t="str">
        <f>'CO_attainment for FA-TH ESE'!#REF!</f>
        <v>#ERROR!</v>
      </c>
      <c r="D27" s="196" t="str">
        <f>'CO_attainment for FA-TH ESE'!#REF!</f>
        <v>#ERROR!</v>
      </c>
      <c r="E27" s="196"/>
    </row>
    <row r="28" ht="15.75" hidden="1" customHeight="1">
      <c r="B28" s="196"/>
      <c r="C28" s="196" t="str">
        <f>'CO_attainment for FA-TH ESE'!#REF!</f>
        <v>#ERROR!</v>
      </c>
      <c r="D28" s="196" t="str">
        <f>'CO_attainment for FA-TH ESE'!#REF!</f>
        <v>#ERROR!</v>
      </c>
      <c r="E28" s="196"/>
    </row>
    <row r="29" ht="15.75" hidden="1" customHeight="1">
      <c r="B29" s="196"/>
      <c r="C29" s="196" t="str">
        <f>'CO_attainment for FA-TH ESE'!#REF!</f>
        <v>#ERROR!</v>
      </c>
      <c r="D29" s="196" t="str">
        <f>'CO_attainment for FA-TH ESE'!#REF!</f>
        <v>#ERROR!</v>
      </c>
      <c r="E29" s="196"/>
    </row>
    <row r="30" ht="15.75" hidden="1" customHeight="1">
      <c r="B30" s="196"/>
      <c r="C30" s="196" t="str">
        <f>'CO_attainment for FA-TH ESE'!#REF!</f>
        <v>#ERROR!</v>
      </c>
      <c r="D30" s="196" t="str">
        <f>'CO_attainment for FA-TH ESE'!#REF!</f>
        <v>#ERROR!</v>
      </c>
      <c r="E30" s="196"/>
    </row>
    <row r="31" ht="15.75" customHeight="1">
      <c r="B31" s="196">
        <v>5.0</v>
      </c>
      <c r="C31" s="196" t="str">
        <f>'CO_attainment for FA-TH ESE'!#REF!</f>
        <v>#ERROR!</v>
      </c>
      <c r="D31" s="196" t="str">
        <f>'CO_attainment for FA-TH ESE'!#REF!</f>
        <v>#ERROR!</v>
      </c>
      <c r="E31" s="196"/>
    </row>
    <row r="32" ht="15.75" hidden="1" customHeight="1">
      <c r="B32" s="196"/>
      <c r="C32" s="196" t="str">
        <f>'CO_attainment for FA-TH ESE'!#REF!</f>
        <v>#ERROR!</v>
      </c>
      <c r="D32" s="196" t="str">
        <f>'CO_attainment for FA-TH ESE'!#REF!</f>
        <v>#ERROR!</v>
      </c>
      <c r="E32" s="196"/>
    </row>
    <row r="33" ht="15.75" hidden="1" customHeight="1">
      <c r="B33" s="196"/>
      <c r="C33" s="196" t="str">
        <f>'CO_attainment for FA-TH ESE'!#REF!</f>
        <v>#ERROR!</v>
      </c>
      <c r="D33" s="196" t="str">
        <f>'CO_attainment for FA-TH ESE'!#REF!</f>
        <v>#ERROR!</v>
      </c>
      <c r="E33" s="196"/>
    </row>
    <row r="34" ht="15.75" hidden="1" customHeight="1">
      <c r="B34" s="196"/>
      <c r="C34" s="196" t="str">
        <f>'CO_attainment for FA-TH ESE'!#REF!</f>
        <v>#ERROR!</v>
      </c>
      <c r="D34" s="196" t="str">
        <f>'CO_attainment for FA-TH ESE'!#REF!</f>
        <v>#ERROR!</v>
      </c>
      <c r="E34" s="196"/>
    </row>
    <row r="35" ht="15.75" hidden="1" customHeight="1">
      <c r="B35" s="196"/>
      <c r="C35" s="196" t="str">
        <f>'CO_attainment for FA-TH ESE'!#REF!</f>
        <v>#ERROR!</v>
      </c>
      <c r="D35" s="196" t="str">
        <f>'CO_attainment for FA-TH ESE'!#REF!</f>
        <v>#ERROR!</v>
      </c>
      <c r="E35" s="196"/>
    </row>
    <row r="36" ht="15.75" hidden="1" customHeight="1">
      <c r="B36" s="196"/>
      <c r="C36" s="196" t="str">
        <f>'CO_attainment for FA-TH ESE'!#REF!</f>
        <v>#ERROR!</v>
      </c>
      <c r="D36" s="196" t="str">
        <f>'CO_attainment for FA-TH ESE'!#REF!</f>
        <v>#ERROR!</v>
      </c>
      <c r="E36" s="196"/>
    </row>
    <row r="37" ht="15.75" hidden="1" customHeight="1">
      <c r="B37" s="196"/>
      <c r="C37" s="196" t="str">
        <f>'CO_attainment for FA-TH ESE'!#REF!</f>
        <v>#ERROR!</v>
      </c>
      <c r="D37" s="196" t="str">
        <f>'CO_attainment for FA-TH ESE'!#REF!</f>
        <v>#ERROR!</v>
      </c>
      <c r="E37" s="196"/>
    </row>
    <row r="38" ht="15.75" customHeight="1">
      <c r="B38" s="196">
        <v>6.0</v>
      </c>
      <c r="C38" s="196" t="str">
        <f>'CO_attainment for FA-TH ESE'!#REF!</f>
        <v>#ERROR!</v>
      </c>
      <c r="D38" s="196" t="str">
        <f>'CO_attainment for FA-TH ESE'!#REF!</f>
        <v>#ERROR!</v>
      </c>
      <c r="E38" s="196"/>
    </row>
    <row r="39" ht="15.75" hidden="1" customHeight="1">
      <c r="B39" s="196"/>
      <c r="C39" s="196" t="str">
        <f>'CO_attainment for FA-TH ESE'!#REF!</f>
        <v>#ERROR!</v>
      </c>
      <c r="D39" s="196" t="str">
        <f>'CO_attainment for FA-TH ESE'!#REF!</f>
        <v>#ERROR!</v>
      </c>
      <c r="E39" s="196"/>
    </row>
    <row r="40" ht="15.75" hidden="1" customHeight="1">
      <c r="B40" s="196"/>
      <c r="C40" s="196" t="str">
        <f>'CO_attainment for FA-TH ESE'!#REF!</f>
        <v>#ERROR!</v>
      </c>
      <c r="D40" s="196" t="str">
        <f>'CO_attainment for FA-TH ESE'!#REF!</f>
        <v>#ERROR!</v>
      </c>
      <c r="E40" s="196"/>
    </row>
    <row r="41" ht="15.75" hidden="1" customHeight="1">
      <c r="B41" s="196"/>
      <c r="C41" s="196" t="str">
        <f>'CO_attainment for FA-TH ESE'!#REF!</f>
        <v>#ERROR!</v>
      </c>
      <c r="D41" s="196" t="str">
        <f>'CO_attainment for FA-TH ESE'!#REF!</f>
        <v>#ERROR!</v>
      </c>
      <c r="E41" s="196"/>
    </row>
    <row r="42" ht="15.75" hidden="1" customHeight="1">
      <c r="B42" s="196"/>
      <c r="C42" s="196" t="str">
        <f>'CO_attainment for FA-TH ESE'!#REF!</f>
        <v>#ERROR!</v>
      </c>
      <c r="D42" s="196" t="str">
        <f>'CO_attainment for FA-TH ESE'!#REF!</f>
        <v>#ERROR!</v>
      </c>
      <c r="E42" s="196"/>
    </row>
    <row r="43" ht="15.75" hidden="1" customHeight="1">
      <c r="B43" s="196"/>
      <c r="C43" s="196" t="str">
        <f>'CO_attainment for FA-TH ESE'!#REF!</f>
        <v>#ERROR!</v>
      </c>
      <c r="D43" s="196" t="str">
        <f>'CO_attainment for FA-TH ESE'!#REF!</f>
        <v>#ERROR!</v>
      </c>
      <c r="E43" s="196"/>
    </row>
    <row r="44" ht="15.75" hidden="1" customHeight="1">
      <c r="B44" s="196"/>
      <c r="C44" s="196" t="str">
        <f>'CO_attainment for FA-TH ESE'!#REF!</f>
        <v>#ERROR!</v>
      </c>
      <c r="D44" s="196" t="str">
        <f>'CO_attainment for FA-TH ESE'!#REF!</f>
        <v>#ERROR!</v>
      </c>
      <c r="E44" s="196"/>
    </row>
    <row r="45" ht="15.75" hidden="1" customHeight="1">
      <c r="B45" s="196"/>
      <c r="C45" s="196" t="str">
        <f>'CO_attainment for FA-TH ESE'!#REF!</f>
        <v>#ERROR!</v>
      </c>
      <c r="D45" s="196" t="str">
        <f>'CO_attainment for FA-TH ESE'!#REF!</f>
        <v>#ERROR!</v>
      </c>
      <c r="E45" s="196"/>
    </row>
    <row r="46" ht="15.75" hidden="1" customHeight="1">
      <c r="B46" s="196"/>
      <c r="C46" s="196" t="str">
        <f>'CO_attainment for FA-TH ESE'!#REF!</f>
        <v>#ERROR!</v>
      </c>
      <c r="D46" s="196" t="str">
        <f>'CO_attainment for FA-TH ESE'!#REF!</f>
        <v>#ERROR!</v>
      </c>
      <c r="E46" s="196"/>
    </row>
    <row r="47" ht="15.75" hidden="1" customHeight="1">
      <c r="B47" s="196"/>
      <c r="C47" s="196" t="str">
        <f>'CO_attainment for FA-TH ESE'!#REF!</f>
        <v>#ERROR!</v>
      </c>
      <c r="D47" s="196" t="str">
        <f>'CO_attainment for FA-TH ESE'!#REF!</f>
        <v>#ERROR!</v>
      </c>
      <c r="E47" s="196"/>
    </row>
    <row r="48" ht="15.75" hidden="1" customHeight="1">
      <c r="B48" s="196"/>
      <c r="C48" s="196" t="str">
        <f>'CO_attainment for FA-TH ESE'!#REF!</f>
        <v>#ERROR!</v>
      </c>
      <c r="D48" s="196" t="str">
        <f>'CO_attainment for FA-TH ESE'!#REF!</f>
        <v>#ERROR!</v>
      </c>
      <c r="E48" s="196"/>
    </row>
    <row r="49" ht="15.75" hidden="1" customHeight="1">
      <c r="B49" s="196"/>
      <c r="C49" s="196" t="str">
        <f>'CO_attainment for FA-TH ESE'!#REF!</f>
        <v>#ERROR!</v>
      </c>
      <c r="D49" s="196" t="str">
        <f>'CO_attainment for FA-TH ESE'!#REF!</f>
        <v>#ERROR!</v>
      </c>
      <c r="E49" s="196"/>
    </row>
    <row r="50" ht="15.75" hidden="1" customHeight="1">
      <c r="B50" s="196"/>
      <c r="C50" s="196" t="str">
        <f>'CO_attainment for FA-TH ESE'!#REF!</f>
        <v>#ERROR!</v>
      </c>
      <c r="D50" s="196" t="str">
        <f>'CO_attainment for FA-TH ESE'!#REF!</f>
        <v>#ERROR!</v>
      </c>
      <c r="E50" s="196"/>
    </row>
    <row r="51" ht="15.75" hidden="1" customHeight="1">
      <c r="B51" s="196"/>
      <c r="C51" s="196" t="str">
        <f>'CO_attainment for FA-TH ESE'!#REF!</f>
        <v>#ERROR!</v>
      </c>
      <c r="D51" s="196" t="str">
        <f>'CO_attainment for FA-TH ESE'!#REF!</f>
        <v>#ERROR!</v>
      </c>
      <c r="E51" s="196"/>
    </row>
    <row r="52" ht="15.75" hidden="1" customHeight="1">
      <c r="B52" s="196"/>
      <c r="C52" s="196" t="str">
        <f>'CO_attainment for FA-TH ESE'!#REF!</f>
        <v>#ERROR!</v>
      </c>
      <c r="D52" s="196" t="str">
        <f>'CO_attainment for FA-TH ESE'!#REF!</f>
        <v>#ERROR!</v>
      </c>
      <c r="E52" s="196"/>
    </row>
    <row r="53" ht="15.75" hidden="1" customHeight="1">
      <c r="B53" s="196"/>
      <c r="C53" s="196" t="str">
        <f>'CO_attainment for FA-TH ESE'!#REF!</f>
        <v>#ERROR!</v>
      </c>
      <c r="D53" s="196" t="str">
        <f>'CO_attainment for FA-TH ESE'!#REF!</f>
        <v>#ERROR!</v>
      </c>
      <c r="E53" s="196"/>
    </row>
    <row r="54" ht="15.75" hidden="1" customHeight="1">
      <c r="B54" s="196"/>
      <c r="C54" s="196" t="str">
        <f>'CO_attainment for FA-TH ESE'!#REF!</f>
        <v>#ERROR!</v>
      </c>
      <c r="D54" s="196" t="str">
        <f>'CO_attainment for FA-TH ESE'!#REF!</f>
        <v>#ERROR!</v>
      </c>
      <c r="E54" s="196"/>
    </row>
    <row r="55" ht="15.75" hidden="1" customHeight="1">
      <c r="B55" s="196"/>
      <c r="C55" s="196" t="str">
        <f>'CO_attainment for FA-TH ESE'!#REF!</f>
        <v>#ERROR!</v>
      </c>
      <c r="D55" s="196" t="str">
        <f>'CO_attainment for FA-TH ESE'!#REF!</f>
        <v>#ERROR!</v>
      </c>
      <c r="E55" s="196"/>
    </row>
    <row r="56" ht="15.75" hidden="1" customHeight="1">
      <c r="B56" s="196"/>
      <c r="C56" s="196" t="str">
        <f>'CO_attainment for FA-TH ESE'!#REF!</f>
        <v>#ERROR!</v>
      </c>
      <c r="D56" s="196" t="str">
        <f>'CO_attainment for FA-TH ESE'!#REF!</f>
        <v>#ERROR!</v>
      </c>
      <c r="E56" s="196"/>
    </row>
    <row r="57" ht="15.75" hidden="1" customHeight="1">
      <c r="B57" s="196"/>
      <c r="C57" s="196" t="str">
        <f>'CO_attainment for FA-TH ESE'!#REF!</f>
        <v>#ERROR!</v>
      </c>
      <c r="D57" s="196" t="str">
        <f>'CO_attainment for FA-TH ESE'!#REF!</f>
        <v>#ERROR!</v>
      </c>
      <c r="E57" s="196"/>
    </row>
    <row r="58" ht="15.75" hidden="1" customHeight="1">
      <c r="B58" s="196"/>
      <c r="C58" s="196" t="str">
        <f>'CO_attainment for FA-TH ESE'!#REF!</f>
        <v>#ERROR!</v>
      </c>
      <c r="D58" s="196" t="str">
        <f>'CO_attainment for FA-TH ESE'!#REF!</f>
        <v>#ERROR!</v>
      </c>
      <c r="E58" s="196"/>
    </row>
    <row r="59" ht="15.75" hidden="1" customHeight="1">
      <c r="B59" s="196"/>
      <c r="C59" s="196" t="str">
        <f>'CO_attainment for FA-TH ESE'!#REF!</f>
        <v>#ERROR!</v>
      </c>
      <c r="D59" s="196" t="str">
        <f>'CO_attainment for FA-TH ESE'!#REF!</f>
        <v>#ERROR!</v>
      </c>
      <c r="E59" s="196"/>
    </row>
    <row r="60" ht="15.75" hidden="1" customHeight="1">
      <c r="B60" s="196"/>
      <c r="C60" s="196" t="str">
        <f>'CO_attainment for FA-TH ESE'!#REF!</f>
        <v>#ERROR!</v>
      </c>
      <c r="D60" s="196" t="str">
        <f>'CO_attainment for FA-TH ESE'!#REF!</f>
        <v>#ERROR!</v>
      </c>
      <c r="E60" s="196"/>
    </row>
    <row r="61" ht="15.75" hidden="1" customHeight="1">
      <c r="B61" s="196"/>
      <c r="C61" s="196" t="str">
        <f>'CO_attainment for FA-TH ESE'!#REF!</f>
        <v>#ERROR!</v>
      </c>
      <c r="D61" s="196" t="str">
        <f>'CO_attainment for FA-TH ESE'!#REF!</f>
        <v>#ERROR!</v>
      </c>
      <c r="E61" s="196"/>
    </row>
    <row r="62" ht="15.75" hidden="1" customHeight="1">
      <c r="B62" s="196"/>
      <c r="C62" s="196" t="str">
        <f>'CO_attainment for FA-TH ESE'!#REF!</f>
        <v>#ERROR!</v>
      </c>
      <c r="D62" s="196" t="str">
        <f>'CO_attainment for FA-TH ESE'!#REF!</f>
        <v>#ERROR!</v>
      </c>
      <c r="E62" s="196"/>
    </row>
    <row r="63" ht="15.75" hidden="1" customHeight="1">
      <c r="B63" s="196"/>
      <c r="C63" s="196" t="str">
        <f>'CO_attainment for FA-TH ESE'!#REF!</f>
        <v>#ERROR!</v>
      </c>
      <c r="D63" s="196" t="str">
        <f>'CO_attainment for FA-TH ESE'!#REF!</f>
        <v>#ERROR!</v>
      </c>
      <c r="E63" s="196"/>
    </row>
    <row r="64" ht="15.75" customHeight="1">
      <c r="B64" s="196">
        <v>7.0</v>
      </c>
      <c r="C64" s="196" t="str">
        <f>'CO_attainment for FA-TH ESE'!#REF!</f>
        <v>#ERROR!</v>
      </c>
      <c r="D64" s="196" t="str">
        <f>'CO_attainment for FA-TH ESE'!#REF!</f>
        <v>#ERROR!</v>
      </c>
      <c r="E64" s="196"/>
    </row>
    <row r="65" ht="15.75" hidden="1" customHeight="1">
      <c r="B65" s="196"/>
      <c r="C65" s="196" t="str">
        <f>'CO_attainment for FA-TH ESE'!#REF!</f>
        <v>#ERROR!</v>
      </c>
      <c r="D65" s="196" t="str">
        <f>'CO_attainment for FA-TH ESE'!#REF!</f>
        <v>#ERROR!</v>
      </c>
      <c r="E65" s="196"/>
    </row>
    <row r="66" ht="15.75" hidden="1" customHeight="1">
      <c r="B66" s="196"/>
      <c r="C66" s="196" t="str">
        <f>'CO_attainment for FA-TH ESE'!#REF!</f>
        <v>#ERROR!</v>
      </c>
      <c r="D66" s="196" t="str">
        <f>'CO_attainment for FA-TH ESE'!#REF!</f>
        <v>#ERROR!</v>
      </c>
      <c r="E66" s="196"/>
    </row>
    <row r="67" ht="15.75" hidden="1" customHeight="1">
      <c r="B67" s="196"/>
      <c r="C67" s="196" t="str">
        <f>'CO_attainment for FA-TH ESE'!#REF!</f>
        <v>#ERROR!</v>
      </c>
      <c r="D67" s="196" t="str">
        <f>'CO_attainment for FA-TH ESE'!#REF!</f>
        <v>#ERROR!</v>
      </c>
      <c r="E67" s="196"/>
    </row>
    <row r="68" ht="15.75" customHeight="1">
      <c r="B68" s="196">
        <v>8.0</v>
      </c>
      <c r="C68" s="196" t="str">
        <f>'CO_attainment for FA-TH ESE'!#REF!</f>
        <v>#ERROR!</v>
      </c>
      <c r="D68" s="196" t="str">
        <f>'CO_attainment for FA-TH ESE'!#REF!</f>
        <v>#ERROR!</v>
      </c>
      <c r="E68" s="196"/>
    </row>
    <row r="69" ht="15.75" hidden="1" customHeight="1">
      <c r="B69" s="196"/>
      <c r="C69" s="196" t="str">
        <f>'CO_attainment for FA-TH ESE'!#REF!</f>
        <v>#ERROR!</v>
      </c>
      <c r="D69" s="196" t="str">
        <f>'CO_attainment for FA-TH ESE'!#REF!</f>
        <v>#ERROR!</v>
      </c>
      <c r="E69" s="196"/>
    </row>
    <row r="70" ht="15.75" hidden="1" customHeight="1">
      <c r="B70" s="196"/>
      <c r="C70" s="196" t="str">
        <f>'CO_attainment for FA-TH ESE'!#REF!</f>
        <v>#ERROR!</v>
      </c>
      <c r="D70" s="196" t="str">
        <f>'CO_attainment for FA-TH ESE'!#REF!</f>
        <v>#ERROR!</v>
      </c>
      <c r="E70" s="196"/>
    </row>
    <row r="71" ht="15.75" customHeight="1">
      <c r="B71" s="196">
        <v>9.0</v>
      </c>
      <c r="C71" s="196" t="str">
        <f>'CO_attainment for FA-TH ESE'!#REF!</f>
        <v>#ERROR!</v>
      </c>
      <c r="D71" s="196" t="str">
        <f>'CO_attainment for FA-TH ESE'!#REF!</f>
        <v>#ERROR!</v>
      </c>
      <c r="E71" s="196"/>
    </row>
    <row r="72" ht="15.75" hidden="1" customHeight="1">
      <c r="B72" s="196"/>
      <c r="C72" s="196" t="str">
        <f>'CO_attainment for FA-TH ESE'!#REF!</f>
        <v>#ERROR!</v>
      </c>
      <c r="D72" s="196" t="str">
        <f>'CO_attainment for FA-TH ESE'!#REF!</f>
        <v>#ERROR!</v>
      </c>
      <c r="E72" s="196"/>
    </row>
    <row r="73" ht="15.75" customHeight="1">
      <c r="B73" s="196"/>
      <c r="C73" s="196"/>
      <c r="D73" s="196"/>
      <c r="E73" s="196"/>
    </row>
    <row r="74" ht="15.75" customHeight="1">
      <c r="B74" s="196"/>
      <c r="C74" s="196"/>
      <c r="D74" s="196"/>
      <c r="E74" s="196"/>
    </row>
    <row r="75" ht="15.75" customHeight="1">
      <c r="B75" s="196"/>
      <c r="C75" s="196"/>
      <c r="D75" s="196"/>
      <c r="E75" s="196"/>
    </row>
    <row r="76" ht="15.75" customHeight="1">
      <c r="B76" s="196"/>
      <c r="C76" s="196"/>
      <c r="D76" s="196"/>
      <c r="E76" s="196"/>
    </row>
    <row r="77" ht="15.75" customHeight="1">
      <c r="B77" s="196"/>
      <c r="C77" s="196"/>
      <c r="D77" s="196"/>
      <c r="E77" s="196"/>
    </row>
    <row r="78" ht="15.75" customHeight="1">
      <c r="B78" s="196"/>
      <c r="C78" s="196"/>
      <c r="D78" s="196"/>
      <c r="E78" s="196"/>
    </row>
    <row r="79" ht="15.75" customHeight="1">
      <c r="B79" s="196"/>
      <c r="C79" s="198"/>
      <c r="D79" s="198"/>
      <c r="E79" s="198"/>
    </row>
    <row r="80" ht="15.75" customHeight="1">
      <c r="D80" s="199" t="s">
        <v>168</v>
      </c>
      <c r="E80" s="200">
        <f>ROUNDUP(AVERAGE(E15:E79),1)</f>
        <v>0</v>
      </c>
    </row>
    <row r="81" ht="15.75" customHeight="1">
      <c r="D81" s="199" t="s">
        <v>169</v>
      </c>
      <c r="E81" s="200">
        <f>(E80/5)*100</f>
        <v>0</v>
      </c>
    </row>
    <row r="82" ht="15.75" customHeight="1">
      <c r="A82" s="19" t="s">
        <v>170</v>
      </c>
      <c r="D82" s="188"/>
      <c r="E82" s="52"/>
    </row>
    <row r="83" ht="15.75" customHeight="1">
      <c r="A83" s="19" t="s">
        <v>171</v>
      </c>
      <c r="D83" s="188"/>
      <c r="E83" s="52"/>
    </row>
    <row r="84" ht="15.75" customHeight="1"/>
    <row r="85" ht="42.75" customHeight="1">
      <c r="A85" s="201" t="s">
        <v>172</v>
      </c>
      <c r="B85" s="25"/>
      <c r="C85" s="25"/>
      <c r="D85" s="26"/>
      <c r="E85" s="202" t="s">
        <v>132</v>
      </c>
    </row>
    <row r="86" ht="15.75" customHeight="1">
      <c r="A86" s="203" t="s">
        <v>133</v>
      </c>
      <c r="B86" s="204" t="s">
        <v>173</v>
      </c>
      <c r="C86" s="205"/>
      <c r="D86" s="145"/>
      <c r="E86" s="206">
        <v>1.0</v>
      </c>
    </row>
    <row r="87" ht="15.75" customHeight="1">
      <c r="A87" s="109"/>
      <c r="B87" s="207" t="s">
        <v>174</v>
      </c>
      <c r="C87" s="208"/>
      <c r="D87" s="112"/>
      <c r="E87" s="209">
        <v>2.0</v>
      </c>
    </row>
    <row r="88" ht="15.75" customHeight="1">
      <c r="A88" s="113"/>
      <c r="B88" s="210" t="s">
        <v>175</v>
      </c>
      <c r="C88" s="211"/>
      <c r="D88" s="117"/>
      <c r="E88" s="212">
        <v>3.0</v>
      </c>
    </row>
    <row r="89" ht="15.75" customHeight="1"/>
    <row r="90" ht="30.75" customHeight="1">
      <c r="A90" s="213" t="s">
        <v>160</v>
      </c>
      <c r="B90" s="177"/>
      <c r="C90" s="214" t="s">
        <v>9</v>
      </c>
      <c r="D90" s="214" t="s">
        <v>11</v>
      </c>
      <c r="E90" s="214" t="s">
        <v>13</v>
      </c>
      <c r="F90" s="214" t="s">
        <v>138</v>
      </c>
      <c r="G90" s="215" t="s">
        <v>139</v>
      </c>
    </row>
    <row r="91" ht="30.0" customHeight="1">
      <c r="A91" s="216" t="s">
        <v>176</v>
      </c>
      <c r="B91" s="159"/>
      <c r="C91" s="217">
        <f>IF(E81&gt;=80,3,IF(E81&gt;=65,2,IF(E81&gt;=40,1,0)))</f>
        <v>0</v>
      </c>
      <c r="D91" s="217">
        <f t="shared" ref="D91:G91" si="1">$C91</f>
        <v>0</v>
      </c>
      <c r="E91" s="217">
        <f t="shared" si="1"/>
        <v>0</v>
      </c>
      <c r="F91" s="217">
        <f t="shared" si="1"/>
        <v>0</v>
      </c>
      <c r="G91" s="218">
        <f t="shared" si="1"/>
        <v>0</v>
      </c>
    </row>
    <row r="92" ht="15.0" customHeight="1">
      <c r="A92" s="19" t="s">
        <v>177</v>
      </c>
      <c r="E92" s="18"/>
    </row>
    <row r="93" ht="12.0" customHeight="1">
      <c r="B93" s="19" t="s">
        <v>178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7:D87"/>
    <mergeCell ref="B88:D88"/>
    <mergeCell ref="A90:B90"/>
    <mergeCell ref="A91:B91"/>
    <mergeCell ref="B10:B14"/>
    <mergeCell ref="C10:C14"/>
    <mergeCell ref="D10:D14"/>
    <mergeCell ref="E10:E13"/>
    <mergeCell ref="A85:D85"/>
    <mergeCell ref="A86:A88"/>
    <mergeCell ref="B86:D8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14"/>
    <col customWidth="1" min="5" max="5" width="11.43"/>
    <col customWidth="1" min="6" max="16" width="8.71"/>
  </cols>
  <sheetData>
    <row r="1">
      <c r="F1" s="219" t="s">
        <v>179</v>
      </c>
      <c r="G1" s="219"/>
      <c r="H1" s="219"/>
      <c r="I1" s="3"/>
    </row>
    <row r="4">
      <c r="B4" s="18"/>
      <c r="C4" s="20" t="s">
        <v>180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>
      <c r="B5" s="18"/>
      <c r="C5" s="20" t="s">
        <v>181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>
      <c r="B6" s="21" t="s">
        <v>20</v>
      </c>
      <c r="C6" s="22" t="s">
        <v>21</v>
      </c>
      <c r="D6" s="23"/>
      <c r="E6" s="24" t="s">
        <v>22</v>
      </c>
      <c r="F6" s="25"/>
      <c r="G6" s="25"/>
      <c r="H6" s="25"/>
      <c r="I6" s="25"/>
      <c r="J6" s="25"/>
      <c r="K6" s="25"/>
      <c r="L6" s="25"/>
      <c r="M6" s="25"/>
      <c r="N6" s="26"/>
      <c r="O6" s="24" t="s">
        <v>23</v>
      </c>
      <c r="P6" s="26"/>
    </row>
    <row r="7">
      <c r="B7" s="28"/>
      <c r="C7" s="29"/>
      <c r="D7" s="30"/>
      <c r="E7" s="31" t="s">
        <v>24</v>
      </c>
      <c r="F7" s="31" t="s">
        <v>25</v>
      </c>
      <c r="G7" s="31" t="s">
        <v>26</v>
      </c>
      <c r="H7" s="31" t="s">
        <v>27</v>
      </c>
      <c r="I7" s="31" t="s">
        <v>28</v>
      </c>
      <c r="J7" s="31" t="s">
        <v>29</v>
      </c>
      <c r="K7" s="31" t="s">
        <v>30</v>
      </c>
      <c r="L7" s="31" t="s">
        <v>182</v>
      </c>
      <c r="M7" s="31" t="s">
        <v>183</v>
      </c>
      <c r="N7" s="31" t="s">
        <v>184</v>
      </c>
      <c r="O7" s="31" t="s">
        <v>31</v>
      </c>
      <c r="P7" s="31" t="s">
        <v>32</v>
      </c>
    </row>
    <row r="8">
      <c r="B8" s="33"/>
      <c r="C8" s="34"/>
      <c r="D8" s="35"/>
      <c r="E8" s="36" t="s">
        <v>185</v>
      </c>
      <c r="F8" s="36" t="s">
        <v>186</v>
      </c>
      <c r="G8" s="36" t="s">
        <v>187</v>
      </c>
      <c r="H8" s="36" t="s">
        <v>188</v>
      </c>
      <c r="I8" s="36" t="s">
        <v>189</v>
      </c>
      <c r="J8" s="36" t="s">
        <v>190</v>
      </c>
      <c r="K8" s="36" t="s">
        <v>191</v>
      </c>
      <c r="L8" s="36" t="s">
        <v>192</v>
      </c>
      <c r="M8" s="36" t="s">
        <v>193</v>
      </c>
      <c r="N8" s="36" t="s">
        <v>194</v>
      </c>
      <c r="O8" s="220" t="s">
        <v>195</v>
      </c>
      <c r="P8" s="221" t="s">
        <v>196</v>
      </c>
    </row>
    <row r="9" ht="63.75" customHeight="1">
      <c r="B9" s="222">
        <v>1.0</v>
      </c>
      <c r="C9" s="39" t="s">
        <v>9</v>
      </c>
      <c r="D9" s="40" t="s">
        <v>197</v>
      </c>
      <c r="E9" s="223">
        <v>3.0</v>
      </c>
      <c r="F9" s="223">
        <v>3.0</v>
      </c>
      <c r="G9" s="223">
        <v>2.0</v>
      </c>
      <c r="H9" s="223">
        <v>2.0</v>
      </c>
      <c r="I9" s="223">
        <v>2.0</v>
      </c>
      <c r="J9" s="223">
        <v>2.0</v>
      </c>
      <c r="K9" s="223">
        <v>2.0</v>
      </c>
      <c r="L9" s="223">
        <v>2.0</v>
      </c>
      <c r="M9" s="223">
        <v>2.0</v>
      </c>
      <c r="N9" s="223">
        <v>3.0</v>
      </c>
      <c r="O9" s="223">
        <v>3.0</v>
      </c>
      <c r="P9" s="223">
        <v>2.0</v>
      </c>
    </row>
    <row r="10" ht="60.75" customHeight="1">
      <c r="B10" s="222">
        <v>2.0</v>
      </c>
      <c r="C10" s="39" t="s">
        <v>11</v>
      </c>
      <c r="D10" s="44" t="s">
        <v>198</v>
      </c>
      <c r="E10" s="223">
        <v>3.0</v>
      </c>
      <c r="F10" s="223">
        <v>3.0</v>
      </c>
      <c r="G10" s="223">
        <v>1.0</v>
      </c>
      <c r="H10" s="223">
        <v>2.0</v>
      </c>
      <c r="I10" s="223">
        <v>2.0</v>
      </c>
      <c r="J10" s="223">
        <v>2.0</v>
      </c>
      <c r="K10" s="223">
        <v>2.0</v>
      </c>
      <c r="L10" s="223">
        <v>2.0</v>
      </c>
      <c r="M10" s="223">
        <v>2.0</v>
      </c>
      <c r="N10" s="223">
        <v>1.0</v>
      </c>
      <c r="O10" s="223">
        <v>2.0</v>
      </c>
      <c r="P10" s="223">
        <v>2.0</v>
      </c>
    </row>
    <row r="11" ht="57.75" customHeight="1">
      <c r="B11" s="222">
        <v>3.0</v>
      </c>
      <c r="C11" s="39" t="s">
        <v>13</v>
      </c>
      <c r="D11" s="44" t="s">
        <v>199</v>
      </c>
      <c r="E11" s="223">
        <v>3.0</v>
      </c>
      <c r="F11" s="223">
        <v>3.0</v>
      </c>
      <c r="G11" s="223">
        <v>2.0</v>
      </c>
      <c r="H11" s="223">
        <v>2.0</v>
      </c>
      <c r="I11" s="223">
        <v>2.0</v>
      </c>
      <c r="J11" s="223">
        <v>3.0</v>
      </c>
      <c r="K11" s="223">
        <v>2.0</v>
      </c>
      <c r="L11" s="223">
        <v>3.0</v>
      </c>
      <c r="M11" s="223">
        <v>2.0</v>
      </c>
      <c r="N11" s="223">
        <v>2.0</v>
      </c>
      <c r="O11" s="223">
        <v>2.0</v>
      </c>
      <c r="P11" s="223">
        <v>2.0</v>
      </c>
    </row>
    <row r="12" ht="84.0" customHeight="1">
      <c r="B12" s="222">
        <v>4.0</v>
      </c>
      <c r="C12" s="39" t="s">
        <v>15</v>
      </c>
      <c r="D12" s="44" t="s">
        <v>200</v>
      </c>
      <c r="E12" s="223">
        <v>3.0</v>
      </c>
      <c r="F12" s="223">
        <v>3.0</v>
      </c>
      <c r="G12" s="223">
        <v>2.0</v>
      </c>
      <c r="H12" s="223">
        <v>3.0</v>
      </c>
      <c r="I12" s="223">
        <v>3.0</v>
      </c>
      <c r="J12" s="223">
        <v>2.0</v>
      </c>
      <c r="K12" s="223">
        <v>3.0</v>
      </c>
      <c r="L12" s="223">
        <v>2.0</v>
      </c>
      <c r="M12" s="223">
        <v>2.0</v>
      </c>
      <c r="N12" s="223">
        <v>3.0</v>
      </c>
      <c r="O12" s="223">
        <v>2.0</v>
      </c>
      <c r="P12" s="223">
        <v>2.0</v>
      </c>
    </row>
    <row r="13" ht="48.0" customHeight="1">
      <c r="B13" s="222">
        <v>5.0</v>
      </c>
      <c r="C13" s="39" t="s">
        <v>17</v>
      </c>
      <c r="D13" s="44" t="s">
        <v>201</v>
      </c>
      <c r="E13" s="223">
        <v>3.0</v>
      </c>
      <c r="F13" s="223">
        <v>3.0</v>
      </c>
      <c r="G13" s="223">
        <v>3.0</v>
      </c>
      <c r="H13" s="223">
        <v>3.0</v>
      </c>
      <c r="I13" s="223">
        <v>2.0</v>
      </c>
      <c r="J13" s="223">
        <v>2.0</v>
      </c>
      <c r="K13" s="223">
        <v>1.0</v>
      </c>
      <c r="L13" s="223">
        <v>3.0</v>
      </c>
      <c r="M13" s="223">
        <v>2.0</v>
      </c>
      <c r="N13" s="223">
        <v>2.0</v>
      </c>
      <c r="O13" s="223">
        <v>3.0</v>
      </c>
      <c r="P13" s="223">
        <v>3.0</v>
      </c>
    </row>
    <row r="14" ht="48.0" customHeight="1">
      <c r="B14" s="222">
        <v>6.0</v>
      </c>
      <c r="C14" s="39" t="s">
        <v>202</v>
      </c>
      <c r="D14" s="44" t="s">
        <v>203</v>
      </c>
      <c r="E14" s="223">
        <v>3.0</v>
      </c>
      <c r="F14" s="223">
        <v>3.0</v>
      </c>
      <c r="G14" s="223">
        <v>2.0</v>
      </c>
      <c r="H14" s="223">
        <v>2.0</v>
      </c>
      <c r="I14" s="223">
        <v>1.0</v>
      </c>
      <c r="J14" s="223">
        <v>2.0</v>
      </c>
      <c r="K14" s="223">
        <v>1.0</v>
      </c>
      <c r="L14" s="223">
        <v>1.0</v>
      </c>
      <c r="M14" s="223">
        <v>2.0</v>
      </c>
      <c r="N14" s="223">
        <v>1.0</v>
      </c>
      <c r="O14" s="223">
        <v>2.0</v>
      </c>
      <c r="P14" s="223">
        <v>2.0</v>
      </c>
    </row>
    <row r="15">
      <c r="B15" s="224" t="s">
        <v>204</v>
      </c>
      <c r="C15" s="25"/>
      <c r="D15" s="26"/>
      <c r="E15" s="225">
        <f t="shared" ref="E15:P15" si="1">ROUNDUP(AVERAGE(E9:E14),2)</f>
        <v>3</v>
      </c>
      <c r="F15" s="225">
        <f t="shared" si="1"/>
        <v>3</v>
      </c>
      <c r="G15" s="225">
        <f t="shared" si="1"/>
        <v>2</v>
      </c>
      <c r="H15" s="225">
        <f t="shared" si="1"/>
        <v>2.34</v>
      </c>
      <c r="I15" s="225">
        <f t="shared" si="1"/>
        <v>2</v>
      </c>
      <c r="J15" s="225">
        <f t="shared" si="1"/>
        <v>2.17</v>
      </c>
      <c r="K15" s="225">
        <f t="shared" si="1"/>
        <v>1.84</v>
      </c>
      <c r="L15" s="225">
        <f t="shared" si="1"/>
        <v>2.17</v>
      </c>
      <c r="M15" s="225">
        <f t="shared" si="1"/>
        <v>2</v>
      </c>
      <c r="N15" s="225">
        <f t="shared" si="1"/>
        <v>2</v>
      </c>
      <c r="O15" s="225">
        <f t="shared" si="1"/>
        <v>2.34</v>
      </c>
      <c r="P15" s="225">
        <f t="shared" si="1"/>
        <v>2.17</v>
      </c>
    </row>
    <row r="16">
      <c r="B16" s="226" t="s">
        <v>205</v>
      </c>
      <c r="C16" s="25"/>
      <c r="D16" s="26"/>
      <c r="E16" s="227">
        <f t="shared" ref="E16:P16" si="2">ROUNDUP((E15*2.66)/3,2)</f>
        <v>2.66</v>
      </c>
      <c r="F16" s="227">
        <f t="shared" si="2"/>
        <v>2.66</v>
      </c>
      <c r="G16" s="227">
        <f t="shared" si="2"/>
        <v>1.78</v>
      </c>
      <c r="H16" s="227">
        <f t="shared" si="2"/>
        <v>2.08</v>
      </c>
      <c r="I16" s="227">
        <f t="shared" si="2"/>
        <v>1.78</v>
      </c>
      <c r="J16" s="227">
        <f t="shared" si="2"/>
        <v>1.93</v>
      </c>
      <c r="K16" s="227">
        <f t="shared" si="2"/>
        <v>1.64</v>
      </c>
      <c r="L16" s="227">
        <f t="shared" si="2"/>
        <v>1.93</v>
      </c>
      <c r="M16" s="227">
        <f t="shared" si="2"/>
        <v>1.78</v>
      </c>
      <c r="N16" s="227">
        <f t="shared" si="2"/>
        <v>1.78</v>
      </c>
      <c r="O16" s="227">
        <f t="shared" si="2"/>
        <v>2.08</v>
      </c>
      <c r="P16" s="227">
        <f t="shared" si="2"/>
        <v>1.93</v>
      </c>
    </row>
    <row r="17">
      <c r="B17" s="226" t="s">
        <v>206</v>
      </c>
      <c r="C17" s="25"/>
      <c r="D17" s="26"/>
      <c r="E17" s="227">
        <f t="shared" ref="E17:P17" si="3">ROUNDUP((E16/3)*100,2)</f>
        <v>88.67</v>
      </c>
      <c r="F17" s="227">
        <f t="shared" si="3"/>
        <v>88.67</v>
      </c>
      <c r="G17" s="227">
        <f t="shared" si="3"/>
        <v>59.34</v>
      </c>
      <c r="H17" s="227">
        <f t="shared" si="3"/>
        <v>69.34</v>
      </c>
      <c r="I17" s="227">
        <f t="shared" si="3"/>
        <v>59.34</v>
      </c>
      <c r="J17" s="227">
        <f t="shared" si="3"/>
        <v>64.34</v>
      </c>
      <c r="K17" s="227">
        <f t="shared" si="3"/>
        <v>54.67</v>
      </c>
      <c r="L17" s="227">
        <f t="shared" si="3"/>
        <v>64.34</v>
      </c>
      <c r="M17" s="227">
        <f t="shared" si="3"/>
        <v>59.34</v>
      </c>
      <c r="N17" s="227">
        <f t="shared" si="3"/>
        <v>59.34</v>
      </c>
      <c r="O17" s="227">
        <f t="shared" si="3"/>
        <v>69.34</v>
      </c>
      <c r="P17" s="227">
        <f t="shared" si="3"/>
        <v>64.34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8"/>
    <mergeCell ref="E6:N6"/>
    <mergeCell ref="O6:P6"/>
    <mergeCell ref="B15:D15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9.71"/>
    <col customWidth="1" min="6" max="6" width="7.14"/>
    <col customWidth="1" min="7" max="7" width="6.57"/>
    <col customWidth="1" min="8" max="8" width="10.29"/>
    <col customWidth="1" min="9" max="9" width="13.71"/>
    <col customWidth="1" min="10" max="10" width="10.71"/>
    <col customWidth="1" min="11" max="26" width="9.14"/>
  </cols>
  <sheetData>
    <row r="1">
      <c r="A1" s="18"/>
      <c r="B1" s="18"/>
      <c r="C1" s="18"/>
      <c r="D1" s="18"/>
      <c r="E1" s="228" t="s">
        <v>207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8"/>
      <c r="C3" s="5" t="s">
        <v>1</v>
      </c>
      <c r="D3" s="131" t="str">
        <f>'CO_attainment for Indirect'!D4</f>
        <v>INTERNSHIP(12 WEEKS)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/>
      <c r="C4" s="5" t="s">
        <v>3</v>
      </c>
      <c r="D4" s="131">
        <f>'CO_attainment for Indirect'!D5</f>
        <v>315004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8"/>
      <c r="C5" s="5" t="s">
        <v>52</v>
      </c>
      <c r="D5" s="131" t="str">
        <f>'CO_attainment for Indirect'!D6</f>
        <v>5th Sem Co5K K-Scheme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8"/>
      <c r="C6" s="5" t="s">
        <v>154</v>
      </c>
      <c r="D6" s="131" t="str">
        <f>'CO_attain_SLA_FA-PR_SA-PR'!D7</f>
        <v>2025-26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229" t="s">
        <v>208</v>
      </c>
      <c r="D8" s="25"/>
      <c r="E8" s="25"/>
      <c r="F8" s="25"/>
      <c r="G8" s="25"/>
      <c r="H8" s="25"/>
      <c r="I8" s="25"/>
      <c r="J8" s="2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230" t="s">
        <v>209</v>
      </c>
      <c r="D9" s="25"/>
      <c r="E9" s="25"/>
      <c r="F9" s="25"/>
      <c r="G9" s="25"/>
      <c r="H9" s="26"/>
      <c r="I9" s="231" t="s">
        <v>210</v>
      </c>
      <c r="J9" s="23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232" t="s">
        <v>211</v>
      </c>
      <c r="D10" s="233" t="s">
        <v>212</v>
      </c>
      <c r="E10" s="234"/>
      <c r="F10" s="234"/>
      <c r="G10" s="35"/>
      <c r="H10" s="235" t="s">
        <v>213</v>
      </c>
      <c r="I10" s="34"/>
      <c r="J10" s="35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45.75" customHeight="1">
      <c r="A11" s="18"/>
      <c r="B11" s="18"/>
      <c r="C11" s="33"/>
      <c r="D11" s="236" t="s">
        <v>214</v>
      </c>
      <c r="E11" s="237" t="s">
        <v>215</v>
      </c>
      <c r="F11" s="237" t="s">
        <v>216</v>
      </c>
      <c r="G11" s="238" t="s">
        <v>217</v>
      </c>
      <c r="H11" s="239" t="s">
        <v>218</v>
      </c>
      <c r="I11" s="240" t="s">
        <v>219</v>
      </c>
      <c r="J11" s="26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241" t="s">
        <v>9</v>
      </c>
      <c r="D12" s="242">
        <f>'CO_Attainment for Unit Tests'!D110</f>
        <v>0</v>
      </c>
      <c r="E12" s="243">
        <f>'CO_attain_SLA_FA-PR_SA-PR'!C111</f>
        <v>3</v>
      </c>
      <c r="F12" s="243">
        <f>'CO_attain_SLA_FA-PR_SA-PR'!C110</f>
        <v>0</v>
      </c>
      <c r="G12" s="243">
        <f>'CO_attain_SLA_FA-PR_SA-PR'!C112</f>
        <v>3</v>
      </c>
      <c r="H12" s="244">
        <f>'CO_attainment for FA-TH ESE'!C110</f>
        <v>0</v>
      </c>
      <c r="I12" s="245">
        <f>'CO_attainment for Indirect'!C91</f>
        <v>0</v>
      </c>
      <c r="J12" s="145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246" t="s">
        <v>11</v>
      </c>
      <c r="D13" s="247">
        <f>'CO_Attainment for Unit Tests'!E110</f>
        <v>0</v>
      </c>
      <c r="E13" s="248">
        <f t="shared" ref="E13:E17" si="1">$E12</f>
        <v>3</v>
      </c>
      <c r="F13" s="248">
        <f t="shared" ref="F13:F17" si="2">$F12</f>
        <v>0</v>
      </c>
      <c r="G13" s="248">
        <f t="shared" ref="G13:G17" si="3">$G12</f>
        <v>3</v>
      </c>
      <c r="H13" s="249">
        <f t="shared" ref="H13:H17" si="4">$H12</f>
        <v>0</v>
      </c>
      <c r="I13" s="250">
        <f t="shared" ref="I13:I17" si="5">$I12</f>
        <v>0</v>
      </c>
      <c r="J13" s="112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246" t="s">
        <v>13</v>
      </c>
      <c r="D14" s="247">
        <f>'CO_Attainment for Unit Tests'!F110</f>
        <v>0</v>
      </c>
      <c r="E14" s="248">
        <f t="shared" si="1"/>
        <v>3</v>
      </c>
      <c r="F14" s="248">
        <f t="shared" si="2"/>
        <v>0</v>
      </c>
      <c r="G14" s="248">
        <f t="shared" si="3"/>
        <v>3</v>
      </c>
      <c r="H14" s="249">
        <f t="shared" si="4"/>
        <v>0</v>
      </c>
      <c r="I14" s="250">
        <f t="shared" si="5"/>
        <v>0</v>
      </c>
      <c r="J14" s="112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246" t="s">
        <v>15</v>
      </c>
      <c r="D15" s="247">
        <f>'CO_Attainment for Unit Tests'!G110</f>
        <v>0</v>
      </c>
      <c r="E15" s="248">
        <f t="shared" si="1"/>
        <v>3</v>
      </c>
      <c r="F15" s="248">
        <f t="shared" si="2"/>
        <v>0</v>
      </c>
      <c r="G15" s="248">
        <f t="shared" si="3"/>
        <v>3</v>
      </c>
      <c r="H15" s="249">
        <f t="shared" si="4"/>
        <v>0</v>
      </c>
      <c r="I15" s="250">
        <f t="shared" si="5"/>
        <v>0</v>
      </c>
      <c r="J15" s="112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246" t="s">
        <v>17</v>
      </c>
      <c r="D16" s="247">
        <f>'CO_Attainment for Unit Tests'!H110</f>
        <v>0</v>
      </c>
      <c r="E16" s="248">
        <f t="shared" si="1"/>
        <v>3</v>
      </c>
      <c r="F16" s="248">
        <f t="shared" si="2"/>
        <v>0</v>
      </c>
      <c r="G16" s="248">
        <f t="shared" si="3"/>
        <v>3</v>
      </c>
      <c r="H16" s="249">
        <f t="shared" si="4"/>
        <v>0</v>
      </c>
      <c r="I16" s="250">
        <f t="shared" si="5"/>
        <v>0</v>
      </c>
      <c r="J16" s="112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251" t="s">
        <v>202</v>
      </c>
      <c r="D17" s="252">
        <f>'CO_Attainment for Unit Tests'!I110</f>
        <v>0</v>
      </c>
      <c r="E17" s="253">
        <f t="shared" si="1"/>
        <v>3</v>
      </c>
      <c r="F17" s="253">
        <f t="shared" si="2"/>
        <v>0</v>
      </c>
      <c r="G17" s="253">
        <f t="shared" si="3"/>
        <v>3</v>
      </c>
      <c r="H17" s="254">
        <f t="shared" si="4"/>
        <v>0</v>
      </c>
      <c r="I17" s="250">
        <f t="shared" si="5"/>
        <v>0</v>
      </c>
      <c r="J17" s="112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241" t="s">
        <v>220</v>
      </c>
      <c r="D18" s="242">
        <f t="shared" ref="D18:I18" si="6">ROUND(AVERAGE(D12:D17),2)</f>
        <v>0</v>
      </c>
      <c r="E18" s="243">
        <f t="shared" si="6"/>
        <v>3</v>
      </c>
      <c r="F18" s="243">
        <f t="shared" si="6"/>
        <v>0</v>
      </c>
      <c r="G18" s="243">
        <f t="shared" si="6"/>
        <v>3</v>
      </c>
      <c r="H18" s="244">
        <f t="shared" si="6"/>
        <v>0</v>
      </c>
      <c r="I18" s="245">
        <f t="shared" si="6"/>
        <v>0</v>
      </c>
      <c r="J18" s="145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7.0" customHeight="1">
      <c r="A19" s="18"/>
      <c r="B19" s="18"/>
      <c r="C19" s="255" t="s">
        <v>221</v>
      </c>
      <c r="D19" s="256">
        <v>10.0</v>
      </c>
      <c r="E19" s="256">
        <v>10.0</v>
      </c>
      <c r="F19" s="256">
        <v>10.0</v>
      </c>
      <c r="G19" s="256">
        <v>10.0</v>
      </c>
      <c r="H19" s="256">
        <v>60.0</v>
      </c>
      <c r="I19" s="257">
        <v>100.0</v>
      </c>
      <c r="J19" s="15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1.5" customHeight="1">
      <c r="A20" s="18"/>
      <c r="B20" s="18"/>
      <c r="C20" s="258" t="s">
        <v>222</v>
      </c>
      <c r="D20" s="252">
        <f t="shared" ref="D20:I20" si="7">D18*D19/100</f>
        <v>0</v>
      </c>
      <c r="E20" s="252">
        <f t="shared" si="7"/>
        <v>0.3</v>
      </c>
      <c r="F20" s="252">
        <f t="shared" si="7"/>
        <v>0</v>
      </c>
      <c r="G20" s="252">
        <f t="shared" si="7"/>
        <v>0.3</v>
      </c>
      <c r="H20" s="252">
        <f t="shared" si="7"/>
        <v>0</v>
      </c>
      <c r="I20" s="259">
        <f t="shared" si="7"/>
        <v>0</v>
      </c>
      <c r="J20" s="1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48.0" customHeight="1">
      <c r="A21" s="18"/>
      <c r="B21" s="18"/>
      <c r="C21" s="260" t="s">
        <v>223</v>
      </c>
      <c r="D21" s="25"/>
      <c r="E21" s="25"/>
      <c r="F21" s="25"/>
      <c r="G21" s="26"/>
      <c r="H21" s="261">
        <f>SUM(D20:H20)</f>
        <v>0.6</v>
      </c>
      <c r="I21" s="262" t="s">
        <v>224</v>
      </c>
      <c r="J21" s="261">
        <f>I20</f>
        <v>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2.5" customHeight="1">
      <c r="A22" s="18"/>
      <c r="B22" s="18"/>
      <c r="C22" s="260" t="s">
        <v>225</v>
      </c>
      <c r="D22" s="25"/>
      <c r="E22" s="25"/>
      <c r="F22" s="25"/>
      <c r="G22" s="26"/>
      <c r="H22" s="263">
        <v>0.8</v>
      </c>
      <c r="I22" s="264" t="s">
        <v>226</v>
      </c>
      <c r="J22" s="263">
        <v>0.2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45.0" customHeight="1">
      <c r="A23" s="18"/>
      <c r="B23" s="18"/>
      <c r="C23" s="260" t="s">
        <v>227</v>
      </c>
      <c r="D23" s="25"/>
      <c r="E23" s="25"/>
      <c r="F23" s="25"/>
      <c r="G23" s="26"/>
      <c r="H23" s="261">
        <f>0.8*H21</f>
        <v>0.48</v>
      </c>
      <c r="I23" s="262" t="s">
        <v>228</v>
      </c>
      <c r="J23" s="264">
        <f>0.2*J21</f>
        <v>0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5.5" customHeight="1">
      <c r="A24" s="18"/>
      <c r="B24" s="18"/>
      <c r="C24" s="265" t="s">
        <v>229</v>
      </c>
      <c r="D24" s="25"/>
      <c r="E24" s="25"/>
      <c r="F24" s="25"/>
      <c r="G24" s="25"/>
      <c r="H24" s="26"/>
      <c r="I24" s="266">
        <f>ROUNDUP(H23+J23,2)</f>
        <v>0.48</v>
      </c>
      <c r="J24" s="26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 t="s">
        <v>230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 t="s">
        <v>231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60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8.0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8.0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8.0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8.0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8.0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8.0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J8"/>
    <mergeCell ref="C9:H9"/>
    <mergeCell ref="I9:J10"/>
    <mergeCell ref="C10:C11"/>
    <mergeCell ref="D10:G10"/>
    <mergeCell ref="I11:J11"/>
    <mergeCell ref="I12:J12"/>
    <mergeCell ref="I20:J20"/>
    <mergeCell ref="C21:G21"/>
    <mergeCell ref="C22:G22"/>
    <mergeCell ref="C23:G23"/>
    <mergeCell ref="C24:H24"/>
    <mergeCell ref="I13:J13"/>
    <mergeCell ref="I14:J14"/>
    <mergeCell ref="I15:J15"/>
    <mergeCell ref="I16:J16"/>
    <mergeCell ref="I17:J17"/>
    <mergeCell ref="I18:J18"/>
    <mergeCell ref="I19:J1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10.29"/>
    <col customWidth="1" min="6" max="6" width="7.29"/>
    <col customWidth="1" min="7" max="7" width="9.71"/>
    <col customWidth="1" min="8" max="8" width="12.71"/>
    <col customWidth="1" min="9" max="9" width="11.71"/>
    <col customWidth="1" min="10" max="10" width="14.14"/>
    <col customWidth="1" min="11" max="11" width="7.86"/>
    <col customWidth="1" min="12" max="26" width="9.14"/>
  </cols>
  <sheetData>
    <row r="1">
      <c r="A1" s="18"/>
      <c r="B1" s="18"/>
      <c r="C1" s="18"/>
      <c r="D1" s="18"/>
      <c r="E1" s="228" t="s">
        <v>207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8"/>
      <c r="C3" s="5" t="s">
        <v>1</v>
      </c>
      <c r="D3" s="184" t="str">
        <f>'CO_attainment for Indirect'!D4</f>
        <v>INTERNSHIP(12 WEEKS)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/>
      <c r="C4" s="5" t="s">
        <v>3</v>
      </c>
      <c r="D4" s="184">
        <f>'CO_attainment for Indirect'!D5</f>
        <v>315004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8"/>
      <c r="C5" s="5" t="s">
        <v>52</v>
      </c>
      <c r="D5" s="184" t="str">
        <f>'CO_attainment for Indirect'!D6</f>
        <v>5th Sem Co5K K-Scheme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8"/>
      <c r="C6" s="5" t="s">
        <v>154</v>
      </c>
      <c r="D6" s="184" t="str">
        <f>'CO_attain_SLA_FA-PR_SA-PR'!D7</f>
        <v>2025-26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8"/>
      <c r="C7" s="5"/>
      <c r="D7" s="18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8"/>
      <c r="C8" s="268" t="s">
        <v>232</v>
      </c>
      <c r="D8" s="269"/>
      <c r="E8" s="270" t="s">
        <v>233</v>
      </c>
      <c r="F8" s="205"/>
      <c r="G8" s="159"/>
      <c r="H8" s="271" t="s">
        <v>234</v>
      </c>
      <c r="I8" s="271" t="s">
        <v>235</v>
      </c>
      <c r="J8" s="271" t="s">
        <v>236</v>
      </c>
      <c r="K8" s="272" t="s">
        <v>237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8"/>
      <c r="C9" s="34"/>
      <c r="D9" s="273"/>
      <c r="E9" s="274" t="s">
        <v>238</v>
      </c>
      <c r="F9" s="274" t="s">
        <v>239</v>
      </c>
      <c r="G9" s="274" t="s">
        <v>240</v>
      </c>
      <c r="H9" s="274" t="s">
        <v>215</v>
      </c>
      <c r="I9" s="274" t="s">
        <v>241</v>
      </c>
      <c r="J9" s="275" t="s">
        <v>218</v>
      </c>
      <c r="K9" s="27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9.5" customHeight="1">
      <c r="A10" s="18"/>
      <c r="B10" s="8"/>
      <c r="C10" s="277" t="s">
        <v>242</v>
      </c>
      <c r="D10" s="159"/>
      <c r="E10" s="278">
        <v>0.0</v>
      </c>
      <c r="F10" s="159"/>
      <c r="G10" s="279">
        <v>0.0</v>
      </c>
      <c r="H10" s="279">
        <v>100.0</v>
      </c>
      <c r="I10" s="279">
        <v>100.0</v>
      </c>
      <c r="J10" s="279">
        <v>0.0</v>
      </c>
      <c r="K10" s="244">
        <f t="shared" ref="K10:K11" si="2">SUM(E10:J10)</f>
        <v>200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7.25" customHeight="1">
      <c r="A11" s="18"/>
      <c r="B11" s="8"/>
      <c r="C11" s="280" t="s">
        <v>243</v>
      </c>
      <c r="D11" s="161"/>
      <c r="E11" s="281">
        <f>(E10/$K10)*100</f>
        <v>0</v>
      </c>
      <c r="F11" s="161"/>
      <c r="G11" s="282">
        <f t="shared" ref="G11:J11" si="1">(G10/$K10)*100</f>
        <v>0</v>
      </c>
      <c r="H11" s="282">
        <f t="shared" si="1"/>
        <v>50</v>
      </c>
      <c r="I11" s="282">
        <f t="shared" si="1"/>
        <v>50</v>
      </c>
      <c r="J11" s="282">
        <f t="shared" si="1"/>
        <v>0</v>
      </c>
      <c r="K11" s="283">
        <f t="shared" si="2"/>
        <v>100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8"/>
      <c r="C12" s="5"/>
      <c r="D12" s="18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8"/>
      <c r="C13" s="5"/>
      <c r="D13" s="18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284" t="s">
        <v>208</v>
      </c>
      <c r="D15" s="25"/>
      <c r="E15" s="25"/>
      <c r="F15" s="25"/>
      <c r="G15" s="25"/>
      <c r="H15" s="25"/>
      <c r="I15" s="25"/>
      <c r="J15" s="26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285" t="s">
        <v>209</v>
      </c>
      <c r="D16" s="25"/>
      <c r="E16" s="25"/>
      <c r="F16" s="25"/>
      <c r="G16" s="25"/>
      <c r="H16" s="26"/>
      <c r="I16" s="286"/>
      <c r="J16" s="23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287" t="s">
        <v>244</v>
      </c>
      <c r="D17" s="288"/>
      <c r="E17" s="289" t="s">
        <v>212</v>
      </c>
      <c r="F17" s="290"/>
      <c r="G17" s="291"/>
      <c r="H17" s="292" t="s">
        <v>213</v>
      </c>
      <c r="I17" s="34"/>
      <c r="J17" s="35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45.75" customHeight="1">
      <c r="A18" s="18"/>
      <c r="B18" s="18"/>
      <c r="C18" s="33"/>
      <c r="D18" s="293" t="s">
        <v>214</v>
      </c>
      <c r="E18" s="294" t="s">
        <v>215</v>
      </c>
      <c r="F18" s="294" t="s">
        <v>216</v>
      </c>
      <c r="G18" s="295" t="s">
        <v>217</v>
      </c>
      <c r="H18" s="296" t="s">
        <v>218</v>
      </c>
      <c r="I18" s="297"/>
      <c r="J18" s="26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298" t="s">
        <v>9</v>
      </c>
      <c r="D19" s="299">
        <f>'CO_Attainment for Unit Tests'!D110</f>
        <v>0</v>
      </c>
      <c r="E19" s="271">
        <f>'CO_attain_SLA_FA-PR_SA-PR'!C111</f>
        <v>3</v>
      </c>
      <c r="F19" s="271">
        <f>'CO_attain_SLA_FA-PR_SA-PR'!C110</f>
        <v>0</v>
      </c>
      <c r="G19" s="271">
        <f>'CO_attain_SLA_FA-PR_SA-PR'!C112</f>
        <v>3</v>
      </c>
      <c r="H19" s="300">
        <f>'CO_attainment for FA-TH ESE'!C110</f>
        <v>0</v>
      </c>
      <c r="I19" s="301"/>
      <c r="J19" s="145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302" t="s">
        <v>11</v>
      </c>
      <c r="D20" s="303">
        <f>'CO_Attainment for Unit Tests'!E110</f>
        <v>0</v>
      </c>
      <c r="E20" s="304">
        <f t="shared" ref="E20:E24" si="3">$E19</f>
        <v>3</v>
      </c>
      <c r="F20" s="304">
        <f t="shared" ref="F20:F24" si="4">$F19</f>
        <v>0</v>
      </c>
      <c r="G20" s="304">
        <f t="shared" ref="G20:G24" si="5">$G19</f>
        <v>3</v>
      </c>
      <c r="H20" s="305">
        <f t="shared" ref="H20:H24" si="6">$H19</f>
        <v>0</v>
      </c>
      <c r="I20" s="306"/>
      <c r="J20" s="112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302" t="s">
        <v>13</v>
      </c>
      <c r="D21" s="303">
        <f>'CO_Attainment for Unit Tests'!F110</f>
        <v>0</v>
      </c>
      <c r="E21" s="304">
        <f t="shared" si="3"/>
        <v>3</v>
      </c>
      <c r="F21" s="304">
        <f t="shared" si="4"/>
        <v>0</v>
      </c>
      <c r="G21" s="304">
        <f t="shared" si="5"/>
        <v>3</v>
      </c>
      <c r="H21" s="305">
        <f t="shared" si="6"/>
        <v>0</v>
      </c>
      <c r="I21" s="306"/>
      <c r="J21" s="112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302" t="s">
        <v>15</v>
      </c>
      <c r="D22" s="303">
        <f>'CO_Attainment for Unit Tests'!G110</f>
        <v>0</v>
      </c>
      <c r="E22" s="304">
        <f t="shared" si="3"/>
        <v>3</v>
      </c>
      <c r="F22" s="304">
        <f t="shared" si="4"/>
        <v>0</v>
      </c>
      <c r="G22" s="304">
        <f t="shared" si="5"/>
        <v>3</v>
      </c>
      <c r="H22" s="305">
        <f t="shared" si="6"/>
        <v>0</v>
      </c>
      <c r="I22" s="306"/>
      <c r="J22" s="112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302" t="s">
        <v>17</v>
      </c>
      <c r="D23" s="303">
        <f>'CO_Attainment for Unit Tests'!H110</f>
        <v>0</v>
      </c>
      <c r="E23" s="304">
        <f t="shared" si="3"/>
        <v>3</v>
      </c>
      <c r="F23" s="304">
        <f t="shared" si="4"/>
        <v>0</v>
      </c>
      <c r="G23" s="304">
        <f t="shared" si="5"/>
        <v>3</v>
      </c>
      <c r="H23" s="305">
        <f t="shared" si="6"/>
        <v>0</v>
      </c>
      <c r="I23" s="306"/>
      <c r="J23" s="112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307" t="s">
        <v>202</v>
      </c>
      <c r="D24" s="308">
        <f>'CO_Attainment for Unit Tests'!I110</f>
        <v>0</v>
      </c>
      <c r="E24" s="275">
        <f t="shared" si="3"/>
        <v>3</v>
      </c>
      <c r="F24" s="275">
        <f t="shared" si="4"/>
        <v>0</v>
      </c>
      <c r="G24" s="275">
        <f t="shared" si="5"/>
        <v>3</v>
      </c>
      <c r="H24" s="309">
        <f t="shared" si="6"/>
        <v>0</v>
      </c>
      <c r="I24" s="306"/>
      <c r="J24" s="112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298" t="s">
        <v>220</v>
      </c>
      <c r="D25" s="299">
        <f t="shared" ref="D25:H25" si="7">ROUND(AVERAGE(D19:D24),2)</f>
        <v>0</v>
      </c>
      <c r="E25" s="271">
        <f t="shared" si="7"/>
        <v>3</v>
      </c>
      <c r="F25" s="271">
        <f t="shared" si="7"/>
        <v>0</v>
      </c>
      <c r="G25" s="271">
        <f t="shared" si="7"/>
        <v>3</v>
      </c>
      <c r="H25" s="300">
        <f t="shared" si="7"/>
        <v>0</v>
      </c>
      <c r="I25" s="301"/>
      <c r="J25" s="145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310" t="s">
        <v>221</v>
      </c>
      <c r="D26" s="311">
        <f>E11</f>
        <v>0</v>
      </c>
      <c r="E26" s="311">
        <f>H11</f>
        <v>50</v>
      </c>
      <c r="F26" s="311">
        <f>G11</f>
        <v>0</v>
      </c>
      <c r="G26" s="311">
        <f t="shared" ref="G26:H26" si="8">I11</f>
        <v>50</v>
      </c>
      <c r="H26" s="311">
        <f t="shared" si="8"/>
        <v>0</v>
      </c>
      <c r="I26" s="312"/>
      <c r="J26" s="112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313" t="s">
        <v>222</v>
      </c>
      <c r="D27" s="314">
        <f t="shared" ref="D27:H27" si="9">D25*D26/100</f>
        <v>0</v>
      </c>
      <c r="E27" s="314">
        <f t="shared" si="9"/>
        <v>1.5</v>
      </c>
      <c r="F27" s="314">
        <f t="shared" si="9"/>
        <v>0</v>
      </c>
      <c r="G27" s="314">
        <f t="shared" si="9"/>
        <v>1.5</v>
      </c>
      <c r="H27" s="314">
        <f t="shared" si="9"/>
        <v>0</v>
      </c>
      <c r="I27" s="315"/>
      <c r="J27" s="1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0.0" customHeight="1">
      <c r="A28" s="18"/>
      <c r="B28" s="18"/>
      <c r="C28" s="316" t="s">
        <v>223</v>
      </c>
      <c r="D28" s="25"/>
      <c r="E28" s="25"/>
      <c r="F28" s="25"/>
      <c r="G28" s="26"/>
      <c r="H28" s="317">
        <f>SUM(D27:H27)</f>
        <v>3</v>
      </c>
      <c r="I28" s="318"/>
      <c r="J28" s="3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316" t="s">
        <v>225</v>
      </c>
      <c r="D29" s="25"/>
      <c r="E29" s="25"/>
      <c r="F29" s="25"/>
      <c r="G29" s="26"/>
      <c r="H29" s="320">
        <v>1.0</v>
      </c>
      <c r="I29" s="321"/>
      <c r="J29" s="320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62.25" customHeight="1">
      <c r="A30" s="18"/>
      <c r="B30" s="18"/>
      <c r="C30" s="316" t="s">
        <v>227</v>
      </c>
      <c r="D30" s="25"/>
      <c r="E30" s="25"/>
      <c r="F30" s="25"/>
      <c r="G30" s="26"/>
      <c r="H30" s="317">
        <f>H29*H28</f>
        <v>3</v>
      </c>
      <c r="I30" s="318"/>
      <c r="J30" s="321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5.5" customHeight="1">
      <c r="A31" s="18"/>
      <c r="B31" s="18"/>
      <c r="C31" s="322" t="s">
        <v>229</v>
      </c>
      <c r="D31" s="25"/>
      <c r="E31" s="25"/>
      <c r="F31" s="25"/>
      <c r="G31" s="25"/>
      <c r="H31" s="26"/>
      <c r="I31" s="323">
        <f>H30+J30</f>
        <v>3</v>
      </c>
      <c r="J31" s="324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52" t="s">
        <v>45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325" t="s">
        <v>46</v>
      </c>
      <c r="I35" s="10"/>
      <c r="J35" s="7"/>
      <c r="K35" s="19"/>
      <c r="L35" s="19"/>
      <c r="M35" s="19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60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8.0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8.0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8.0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8.0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8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8.0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C8:D9"/>
    <mergeCell ref="E8:G8"/>
    <mergeCell ref="K8:K9"/>
    <mergeCell ref="C10:D10"/>
    <mergeCell ref="E10:F10"/>
    <mergeCell ref="C11:D11"/>
    <mergeCell ref="E11:F11"/>
    <mergeCell ref="C15:J15"/>
    <mergeCell ref="C16:H16"/>
    <mergeCell ref="I16:J17"/>
    <mergeCell ref="C17:C18"/>
    <mergeCell ref="I18:J18"/>
    <mergeCell ref="I19:J19"/>
    <mergeCell ref="I20:J20"/>
    <mergeCell ref="C28:G28"/>
    <mergeCell ref="C29:G29"/>
    <mergeCell ref="C30:G30"/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</mergeCells>
  <printOptions/>
  <pageMargins bottom="0.75" footer="0.0" header="0.0" left="0.7" right="0.7" top="0.75"/>
  <pageSetup orientation="landscape"/>
  <colBreaks count="1" manualBreakCount="1">
    <brk id="12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3" width="13.29"/>
    <col customWidth="1" min="4" max="4" width="37.86"/>
    <col customWidth="1" min="5" max="5" width="17.71"/>
    <col customWidth="1" min="6" max="7" width="11.71"/>
    <col customWidth="1" min="8" max="8" width="13.57"/>
    <col customWidth="1" min="9" max="9" width="16.43"/>
    <col customWidth="1" min="10" max="11" width="11.71"/>
    <col customWidth="1" min="12" max="23" width="9.14"/>
  </cols>
  <sheetData>
    <row r="1">
      <c r="A1" s="19"/>
      <c r="B1" s="19"/>
      <c r="C1" s="19"/>
      <c r="D1" s="19"/>
      <c r="E1" s="219" t="s">
        <v>245</v>
      </c>
      <c r="F1" s="219"/>
      <c r="G1" s="219"/>
      <c r="H1" s="3"/>
      <c r="I1" s="3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>
      <c r="A2" s="19"/>
      <c r="B2" s="19"/>
      <c r="C2" s="5" t="s">
        <v>1</v>
      </c>
      <c r="D2" s="62" t="str">
        <f>'Overall CO attainment'!D3</f>
        <v>INTERNSHIP(12 WEEKS)</v>
      </c>
      <c r="E2" s="15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>
      <c r="A3" s="19"/>
      <c r="B3" s="19"/>
      <c r="C3" s="5" t="s">
        <v>3</v>
      </c>
      <c r="D3" s="62">
        <f>'Overall CO attainment'!D4</f>
        <v>315004</v>
      </c>
      <c r="E3" s="15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>
      <c r="A4" s="19"/>
      <c r="B4" s="19"/>
      <c r="C4" s="5" t="s">
        <v>4</v>
      </c>
      <c r="D4" s="62" t="str">
        <f>'Overall CO attainment'!D5</f>
        <v>5th Sem Co5K K-Scheme</v>
      </c>
      <c r="E4" s="15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>
      <c r="A5" s="19"/>
      <c r="B5" s="19"/>
      <c r="C5" s="5" t="s">
        <v>154</v>
      </c>
      <c r="D5" s="62" t="str">
        <f>'Overall CO attainment'!D6</f>
        <v>2025-26</v>
      </c>
      <c r="E5" s="15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>
      <c r="A6" s="19"/>
      <c r="B6" s="19"/>
      <c r="C6" s="19"/>
      <c r="D6" s="142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>
      <c r="A7" s="19"/>
      <c r="B7" s="17"/>
      <c r="C7" s="18"/>
      <c r="D7" s="19"/>
      <c r="E7" s="18"/>
      <c r="F7" s="18"/>
      <c r="G7" s="18"/>
      <c r="H7" s="18"/>
      <c r="I7" s="18"/>
      <c r="J7" s="18"/>
      <c r="K7" s="18"/>
      <c r="L7" s="18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</row>
    <row r="8">
      <c r="A8" s="19"/>
      <c r="B8" s="20" t="s">
        <v>246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>
      <c r="A9" s="19"/>
      <c r="B9" s="21" t="s">
        <v>20</v>
      </c>
      <c r="C9" s="22" t="s">
        <v>21</v>
      </c>
      <c r="D9" s="23"/>
      <c r="E9" s="24" t="s">
        <v>22</v>
      </c>
      <c r="F9" s="25"/>
      <c r="G9" s="25"/>
      <c r="H9" s="25"/>
      <c r="I9" s="25"/>
      <c r="J9" s="25"/>
      <c r="K9" s="26"/>
      <c r="L9" s="326" t="s">
        <v>23</v>
      </c>
      <c r="M9" s="26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ht="15.75" customHeight="1">
      <c r="A10" s="19"/>
      <c r="B10" s="28"/>
      <c r="C10" s="29"/>
      <c r="D10" s="30"/>
      <c r="E10" s="31" t="s">
        <v>24</v>
      </c>
      <c r="F10" s="31" t="s">
        <v>25</v>
      </c>
      <c r="G10" s="31" t="s">
        <v>26</v>
      </c>
      <c r="H10" s="31" t="s">
        <v>27</v>
      </c>
      <c r="I10" s="31" t="s">
        <v>28</v>
      </c>
      <c r="J10" s="31" t="s">
        <v>29</v>
      </c>
      <c r="K10" s="31" t="s">
        <v>30</v>
      </c>
      <c r="L10" s="327" t="s">
        <v>31</v>
      </c>
      <c r="M10" s="327" t="s">
        <v>32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ht="119.25" customHeight="1">
      <c r="A11" s="19"/>
      <c r="B11" s="33"/>
      <c r="C11" s="34"/>
      <c r="D11" s="35"/>
      <c r="E11" s="36" t="s">
        <v>33</v>
      </c>
      <c r="F11" s="36" t="s">
        <v>34</v>
      </c>
      <c r="G11" s="36" t="s">
        <v>35</v>
      </c>
      <c r="H11" s="36" t="s">
        <v>36</v>
      </c>
      <c r="I11" s="36" t="s">
        <v>37</v>
      </c>
      <c r="J11" s="36" t="s">
        <v>38</v>
      </c>
      <c r="K11" s="36" t="s">
        <v>39</v>
      </c>
      <c r="L11" s="328" t="s">
        <v>40</v>
      </c>
      <c r="M11" s="328" t="s">
        <v>41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ht="40.5" customHeight="1">
      <c r="A12" s="19"/>
      <c r="B12" s="38">
        <f>'PO Set Target attain level'!B19</f>
        <v>1</v>
      </c>
      <c r="C12" s="39" t="str">
        <f>'PO Set Target attain level'!C19</f>
        <v>CO1</v>
      </c>
      <c r="D12" s="40" t="str">
        <f>'PO Set Target attain level'!D19</f>
        <v>Observe time/resource management and industrial safety aspects.</v>
      </c>
      <c r="E12" s="41" t="str">
        <f>'PO Set Target attain level'!E19</f>
        <v/>
      </c>
      <c r="F12" s="41" t="str">
        <f>'PO Set Target attain level'!F19</f>
        <v/>
      </c>
      <c r="G12" s="41" t="str">
        <f>'PO Set Target attain level'!G19</f>
        <v/>
      </c>
      <c r="H12" s="41" t="str">
        <f>'PO Set Target attain level'!H19</f>
        <v/>
      </c>
      <c r="I12" s="41" t="str">
        <f>'PO Set Target attain level'!I19</f>
        <v/>
      </c>
      <c r="J12" s="41" t="str">
        <f>'PO Set Target attain level'!J19</f>
        <v/>
      </c>
      <c r="K12" s="41" t="str">
        <f>'PO Set Target attain level'!K19</f>
        <v/>
      </c>
      <c r="L12" s="329"/>
      <c r="M12" s="32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ht="40.5" customHeight="1">
      <c r="A13" s="19"/>
      <c r="B13" s="38">
        <f>'PO Set Target attain level'!B20</f>
        <v>2</v>
      </c>
      <c r="C13" s="39" t="str">
        <f>'PO Set Target attain level'!C20</f>
        <v>CO2</v>
      </c>
      <c r="D13" s="44" t="str">
        <f>'PO Set Target attain level'!D20</f>
        <v>Acquire professional experience of industry environment .</v>
      </c>
      <c r="E13" s="41" t="str">
        <f>'PO Set Target attain level'!E20</f>
        <v/>
      </c>
      <c r="F13" s="41" t="str">
        <f>'PO Set Target attain level'!F20</f>
        <v/>
      </c>
      <c r="G13" s="41" t="str">
        <f>'PO Set Target attain level'!G20</f>
        <v/>
      </c>
      <c r="H13" s="41" t="str">
        <f>'PO Set Target attain level'!H20</f>
        <v/>
      </c>
      <c r="I13" s="41" t="str">
        <f>'PO Set Target attain level'!I20</f>
        <v/>
      </c>
      <c r="J13" s="41" t="str">
        <f>'PO Set Target attain level'!J20</f>
        <v/>
      </c>
      <c r="K13" s="41" t="str">
        <f>'PO Set Target attain level'!K20</f>
        <v/>
      </c>
      <c r="L13" s="329"/>
      <c r="M13" s="32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ht="40.5" customHeight="1">
      <c r="A14" s="19"/>
      <c r="B14" s="38">
        <f>'PO Set Target attain level'!B21</f>
        <v>3</v>
      </c>
      <c r="C14" s="39" t="str">
        <f>'PO Set Target attain level'!C21</f>
        <v>CO3</v>
      </c>
      <c r="D14" s="44" t="str">
        <f>'PO Set Target attain level'!D21</f>
        <v>Establish effective communication in working environment.</v>
      </c>
      <c r="E14" s="41" t="str">
        <f>'PO Set Target attain level'!E21</f>
        <v/>
      </c>
      <c r="F14" s="41" t="str">
        <f>'PO Set Target attain level'!F21</f>
        <v/>
      </c>
      <c r="G14" s="41" t="str">
        <f>'PO Set Target attain level'!G21</f>
        <v/>
      </c>
      <c r="H14" s="41" t="str">
        <f>'PO Set Target attain level'!H21</f>
        <v/>
      </c>
      <c r="I14" s="41" t="str">
        <f>'PO Set Target attain level'!I21</f>
        <v/>
      </c>
      <c r="J14" s="41" t="str">
        <f>'PO Set Target attain level'!J21</f>
        <v/>
      </c>
      <c r="K14" s="41" t="str">
        <f>'PO Set Target attain level'!K21</f>
        <v/>
      </c>
      <c r="L14" s="329"/>
      <c r="M14" s="32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ht="40.5" customHeight="1">
      <c r="A15" s="19"/>
      <c r="B15" s="38">
        <f>'PO Set Target attain level'!B22</f>
        <v>4</v>
      </c>
      <c r="C15" s="39" t="str">
        <f>'PO Set Target attain level'!C22</f>
        <v>CO4</v>
      </c>
      <c r="D15" s="44" t="str">
        <f>'PO Set Target attain level'!D22</f>
        <v>Prepare report of assigned activities and accomplishments.</v>
      </c>
      <c r="E15" s="41" t="str">
        <f>'PO Set Target attain level'!E22</f>
        <v/>
      </c>
      <c r="F15" s="41" t="str">
        <f>'PO Set Target attain level'!F22</f>
        <v/>
      </c>
      <c r="G15" s="41" t="str">
        <f>'PO Set Target attain level'!G22</f>
        <v/>
      </c>
      <c r="H15" s="41" t="str">
        <f>'PO Set Target attain level'!H22</f>
        <v/>
      </c>
      <c r="I15" s="41" t="str">
        <f>'PO Set Target attain level'!I22</f>
        <v/>
      </c>
      <c r="J15" s="41" t="str">
        <f>'PO Set Target attain level'!J22</f>
        <v/>
      </c>
      <c r="K15" s="41" t="str">
        <f>'PO Set Target attain level'!K22</f>
        <v/>
      </c>
      <c r="L15" s="329"/>
      <c r="M15" s="32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ht="40.5" customHeight="1">
      <c r="A16" s="19"/>
      <c r="B16" s="38">
        <f>'PO Set Target attain level'!B23</f>
        <v>5</v>
      </c>
      <c r="C16" s="39" t="str">
        <f>'PO Set Target attain level'!C23</f>
        <v>CO5</v>
      </c>
      <c r="D16" s="44" t="str">
        <f>'PO Set Target attain level'!D23</f>
        <v/>
      </c>
      <c r="E16" s="41"/>
      <c r="F16" s="41" t="str">
        <f>'PO Set Target attain level'!F23</f>
        <v/>
      </c>
      <c r="G16" s="41" t="str">
        <f>'PO Set Target attain level'!G23</f>
        <v/>
      </c>
      <c r="H16" s="41" t="str">
        <f>'PO Set Target attain level'!H23</f>
        <v/>
      </c>
      <c r="I16" s="41" t="str">
        <f>'PO Set Target attain level'!I23</f>
        <v/>
      </c>
      <c r="J16" s="41" t="str">
        <f>'PO Set Target attain level'!J23</f>
        <v/>
      </c>
      <c r="K16" s="41" t="str">
        <f>'PO Set Target attain level'!K23</f>
        <v/>
      </c>
      <c r="L16" s="329"/>
      <c r="M16" s="32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ht="33.75" customHeight="1">
      <c r="A17" s="19"/>
      <c r="B17" s="46" t="s">
        <v>247</v>
      </c>
      <c r="C17" s="25"/>
      <c r="D17" s="26"/>
      <c r="E17" s="39">
        <f t="shared" ref="E17:K17" si="1">IFERROR(AVERAGE(E12:E16),0)</f>
        <v>0</v>
      </c>
      <c r="F17" s="39">
        <f t="shared" si="1"/>
        <v>0</v>
      </c>
      <c r="G17" s="39">
        <f t="shared" si="1"/>
        <v>0</v>
      </c>
      <c r="H17" s="39">
        <f t="shared" si="1"/>
        <v>0</v>
      </c>
      <c r="I17" s="39">
        <f t="shared" si="1"/>
        <v>0</v>
      </c>
      <c r="J17" s="39">
        <f t="shared" si="1"/>
        <v>0</v>
      </c>
      <c r="K17" s="39">
        <f t="shared" si="1"/>
        <v>0</v>
      </c>
      <c r="L17" s="330">
        <f t="shared" ref="L17:M17" si="2">IFERROR(AVERAGE(L12:L16),2)</f>
        <v>2</v>
      </c>
      <c r="M17" s="330">
        <f t="shared" si="2"/>
        <v>2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ht="28.5" customHeight="1">
      <c r="A18" s="19"/>
      <c r="B18" s="48" t="s">
        <v>248</v>
      </c>
      <c r="C18" s="25"/>
      <c r="D18" s="26"/>
      <c r="E18" s="331">
        <f>E17*'Overall CO attainment'!I31/3</f>
        <v>0</v>
      </c>
      <c r="F18" s="331">
        <f>F17*'Overall CO attainment'!I31/3</f>
        <v>0</v>
      </c>
      <c r="G18" s="331">
        <f>G17*'Overall CO attainment'!I31/3</f>
        <v>0</v>
      </c>
      <c r="H18" s="331">
        <f>H17*'Overall CO attainment'!I31/3</f>
        <v>0</v>
      </c>
      <c r="I18" s="331">
        <f>I17*'Overall CO attainment'!I31/3</f>
        <v>0</v>
      </c>
      <c r="J18" s="331">
        <f>J17*'Overall CO attainment'!I31/3</f>
        <v>0</v>
      </c>
      <c r="K18" s="331">
        <f>K17*'Overall CO attainment'!I31/3</f>
        <v>0</v>
      </c>
      <c r="L18" s="332">
        <f t="shared" ref="L18:M18" si="3">L17</f>
        <v>2</v>
      </c>
      <c r="M18" s="332">
        <f t="shared" si="3"/>
        <v>2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ht="15.75" hidden="1" customHeight="1">
      <c r="A19" s="19"/>
      <c r="B19" s="226" t="s">
        <v>206</v>
      </c>
      <c r="C19" s="25"/>
      <c r="D19" s="26"/>
      <c r="E19" s="227">
        <f t="shared" ref="E19:K19" si="4">ROUNDUP((E18/3)*100,2)</f>
        <v>0</v>
      </c>
      <c r="F19" s="227">
        <f t="shared" si="4"/>
        <v>0</v>
      </c>
      <c r="G19" s="227">
        <f t="shared" si="4"/>
        <v>0</v>
      </c>
      <c r="H19" s="227">
        <f t="shared" si="4"/>
        <v>0</v>
      </c>
      <c r="I19" s="227">
        <f t="shared" si="4"/>
        <v>0</v>
      </c>
      <c r="J19" s="227">
        <f t="shared" si="4"/>
        <v>0</v>
      </c>
      <c r="K19" s="227">
        <f t="shared" si="4"/>
        <v>0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75" customHeight="1">
      <c r="A21" s="19"/>
      <c r="B21" s="19"/>
      <c r="C21" s="19"/>
      <c r="D21" s="19"/>
      <c r="E21" s="333"/>
      <c r="F21" s="333"/>
      <c r="G21" s="333"/>
      <c r="H21" s="333"/>
      <c r="I21" s="333"/>
      <c r="J21" s="333"/>
      <c r="K21" s="333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75" customHeight="1">
      <c r="A22" s="19"/>
      <c r="B22" s="19"/>
      <c r="C22" s="19"/>
      <c r="D22" s="19"/>
      <c r="E22" s="19"/>
      <c r="F22" s="52"/>
      <c r="K22" s="52" t="s">
        <v>45</v>
      </c>
      <c r="P22" s="19"/>
      <c r="Q22" s="19"/>
      <c r="R22" s="19"/>
      <c r="S22" s="19"/>
      <c r="T22" s="19"/>
      <c r="U22" s="19"/>
      <c r="V22" s="19"/>
      <c r="W22" s="19"/>
    </row>
    <row r="23" ht="15.75" customHeight="1">
      <c r="A23" s="19"/>
      <c r="B23" s="19"/>
      <c r="C23" s="19"/>
      <c r="D23" s="19"/>
      <c r="E23" s="19"/>
      <c r="F23" s="55"/>
      <c r="G23" s="10"/>
      <c r="H23" s="10"/>
      <c r="I23" s="10"/>
      <c r="J23" s="7"/>
      <c r="K23" s="55" t="s">
        <v>46</v>
      </c>
      <c r="L23" s="10"/>
      <c r="M23" s="10"/>
      <c r="N23" s="10"/>
      <c r="O23" s="7"/>
      <c r="P23" s="19"/>
      <c r="Q23" s="19"/>
      <c r="R23" s="19"/>
      <c r="S23" s="19"/>
      <c r="T23" s="19"/>
      <c r="U23" s="19"/>
      <c r="V23" s="19"/>
      <c r="W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75" customHeight="1">
      <c r="A30" s="19"/>
      <c r="B30" s="19"/>
      <c r="C30" s="19"/>
      <c r="D30" s="19"/>
      <c r="E30" s="19"/>
      <c r="F30" s="19"/>
      <c r="G30" s="19"/>
      <c r="H30" s="18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75" customHeight="1">
      <c r="A31" s="19"/>
      <c r="B31" s="19"/>
      <c r="C31" s="19"/>
      <c r="D31" s="19"/>
      <c r="E31" s="19"/>
      <c r="F31" s="19"/>
      <c r="G31" s="19"/>
      <c r="H31" s="1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2:E2"/>
    <mergeCell ref="D3:E3"/>
    <mergeCell ref="D4:E4"/>
    <mergeCell ref="D5:E5"/>
    <mergeCell ref="B9:B11"/>
    <mergeCell ref="E9:K9"/>
    <mergeCell ref="C9:D11"/>
    <mergeCell ref="L9:M9"/>
    <mergeCell ref="B17:D17"/>
    <mergeCell ref="B18:D18"/>
    <mergeCell ref="B19:D19"/>
    <mergeCell ref="F22:J22"/>
    <mergeCell ref="F23:J23"/>
    <mergeCell ref="K22:O22"/>
    <mergeCell ref="K23:O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2019-05-31T18:42:57Z</dcterms:created>
  <dc:creator>hp</dc:creator>
</cp:coreProperties>
</file>