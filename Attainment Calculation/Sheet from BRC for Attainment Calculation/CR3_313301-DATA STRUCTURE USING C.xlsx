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510" yWindow="600" windowWidth="20625" windowHeight="11190" firstSheet="3" activeTab="9"/>
  </bookViews>
  <sheets>
    <sheet name="PO Set Target attain level" sheetId="1" r:id="rId1"/>
    <sheet name="CO_Attainment for Unit Tests" sheetId="2" r:id="rId2"/>
    <sheet name="CO_attainment for FA-TH ESE" sheetId="3" r:id="rId3"/>
    <sheet name="CO_attain_SLA_FA-PR_SA-PR" sheetId="4" r:id="rId4"/>
    <sheet name="CO_attainment for Indirect" sheetId="5" state="hidden" r:id="rId5"/>
    <sheet name="CO_PO Mapping Attainment " sheetId="6" state="hidden" r:id="rId6"/>
    <sheet name="Overall CO attainment (2)" sheetId="7" state="hidden" r:id="rId7"/>
    <sheet name="Overall CO attainment" sheetId="8" r:id="rId8"/>
    <sheet name="CO_PO Mapping Attainment_PO7" sheetId="9" r:id="rId9"/>
    <sheet name="Mapping Rationale" sheetId="10" r:id="rId10"/>
  </sheets>
  <definedNames>
    <definedName name="_xlnm.Print_Area" localSheetId="9">'Mapping Rationale'!$A$1:$V$32</definedName>
  </definedNames>
  <calcPr calcId="145621"/>
  <extLst>
    <ext uri="GoogleSheetsCustomDataVersion2">
      <go:sheetsCustomData xmlns:go="http://customooxmlschemas.google.com/" r:id="rId13" roundtripDataChecksum="Ne3tPGdCNLImEAfNhZsoK2Ba0tAlBbhR7j6SyNxWkmk="/>
    </ext>
  </extLst>
</workbook>
</file>

<file path=xl/calcChain.xml><?xml version="1.0" encoding="utf-8"?>
<calcChain xmlns="http://schemas.openxmlformats.org/spreadsheetml/2006/main">
  <c r="K12" i="2" l="1"/>
  <c r="M16" i="9"/>
  <c r="L16" i="9"/>
  <c r="K16" i="9"/>
  <c r="J16" i="9"/>
  <c r="I16" i="9"/>
  <c r="H16" i="9"/>
  <c r="G16" i="9"/>
  <c r="F16" i="9"/>
  <c r="B16" i="9"/>
  <c r="M15" i="9"/>
  <c r="L15" i="9"/>
  <c r="K15" i="9"/>
  <c r="J15" i="9"/>
  <c r="I15" i="9"/>
  <c r="H15" i="9"/>
  <c r="G15" i="9"/>
  <c r="F15" i="9"/>
  <c r="E15" i="9"/>
  <c r="C15" i="9"/>
  <c r="B15" i="9"/>
  <c r="M14" i="9"/>
  <c r="L14" i="9"/>
  <c r="K14" i="9"/>
  <c r="J14" i="9"/>
  <c r="I14" i="9"/>
  <c r="H14" i="9"/>
  <c r="G14" i="9"/>
  <c r="F14" i="9"/>
  <c r="E14" i="9"/>
  <c r="B14" i="9"/>
  <c r="M13" i="9"/>
  <c r="L13" i="9"/>
  <c r="K13" i="9"/>
  <c r="J13" i="9"/>
  <c r="I13" i="9"/>
  <c r="H13" i="9"/>
  <c r="G13" i="9"/>
  <c r="F13" i="9"/>
  <c r="E13" i="9"/>
  <c r="B13" i="9"/>
  <c r="M12" i="9"/>
  <c r="L12" i="9"/>
  <c r="K12" i="9"/>
  <c r="K17" i="9" s="1"/>
  <c r="J12" i="9"/>
  <c r="J17" i="9" s="1"/>
  <c r="I12" i="9"/>
  <c r="I17" i="9" s="1"/>
  <c r="H12" i="9"/>
  <c r="H17" i="9" s="1"/>
  <c r="G12" i="9"/>
  <c r="G17" i="9" s="1"/>
  <c r="F12" i="9"/>
  <c r="F17" i="9" s="1"/>
  <c r="E12" i="9"/>
  <c r="E17" i="9" s="1"/>
  <c r="C12" i="9"/>
  <c r="B12" i="9"/>
  <c r="K10" i="8"/>
  <c r="J11" i="8" s="1"/>
  <c r="H26" i="8" s="1"/>
  <c r="P15" i="6"/>
  <c r="P16" i="6" s="1"/>
  <c r="P17" i="6" s="1"/>
  <c r="O15" i="6"/>
  <c r="O16" i="6" s="1"/>
  <c r="O17" i="6" s="1"/>
  <c r="N15" i="6"/>
  <c r="N16" i="6" s="1"/>
  <c r="N17" i="6" s="1"/>
  <c r="M15" i="6"/>
  <c r="M16" i="6" s="1"/>
  <c r="M17" i="6" s="1"/>
  <c r="L15" i="6"/>
  <c r="L16" i="6" s="1"/>
  <c r="L17" i="6" s="1"/>
  <c r="K15" i="6"/>
  <c r="K16" i="6" s="1"/>
  <c r="K17" i="6" s="1"/>
  <c r="J15" i="6"/>
  <c r="J16" i="6" s="1"/>
  <c r="J17" i="6" s="1"/>
  <c r="I15" i="6"/>
  <c r="I16" i="6" s="1"/>
  <c r="I17" i="6" s="1"/>
  <c r="H15" i="6"/>
  <c r="H16" i="6" s="1"/>
  <c r="H17" i="6" s="1"/>
  <c r="G15" i="6"/>
  <c r="G16" i="6" s="1"/>
  <c r="G17" i="6" s="1"/>
  <c r="F15" i="6"/>
  <c r="F16" i="6" s="1"/>
  <c r="F17" i="6" s="1"/>
  <c r="E15" i="6"/>
  <c r="E16" i="6" s="1"/>
  <c r="E17" i="6" s="1"/>
  <c r="E80" i="5"/>
  <c r="E81" i="5" s="1"/>
  <c r="C91" i="5" s="1"/>
  <c r="D72" i="5"/>
  <c r="C72" i="5"/>
  <c r="D71" i="5"/>
  <c r="C71" i="5"/>
  <c r="D70" i="5"/>
  <c r="C70" i="5"/>
  <c r="D69" i="5"/>
  <c r="C69" i="5"/>
  <c r="D68" i="5"/>
  <c r="C68" i="5"/>
  <c r="D67" i="5"/>
  <c r="C67" i="5"/>
  <c r="D66" i="5"/>
  <c r="C66" i="5"/>
  <c r="D65" i="5"/>
  <c r="C65" i="5"/>
  <c r="D64" i="5"/>
  <c r="C64" i="5"/>
  <c r="D63" i="5"/>
  <c r="C63" i="5"/>
  <c r="D62" i="5"/>
  <c r="C62" i="5"/>
  <c r="D61" i="5"/>
  <c r="C61" i="5"/>
  <c r="D60" i="5"/>
  <c r="C60" i="5"/>
  <c r="D59" i="5"/>
  <c r="C59" i="5"/>
  <c r="D58" i="5"/>
  <c r="C58" i="5"/>
  <c r="D57" i="5"/>
  <c r="C57" i="5"/>
  <c r="D56" i="5"/>
  <c r="C56" i="5"/>
  <c r="D55" i="5"/>
  <c r="C55" i="5"/>
  <c r="D54" i="5"/>
  <c r="C54" i="5"/>
  <c r="D53" i="5"/>
  <c r="C53" i="5"/>
  <c r="D52" i="5"/>
  <c r="C52" i="5"/>
  <c r="D51" i="5"/>
  <c r="C51" i="5"/>
  <c r="D50" i="5"/>
  <c r="C50" i="5"/>
  <c r="D49" i="5"/>
  <c r="C49" i="5"/>
  <c r="D48" i="5"/>
  <c r="C48" i="5"/>
  <c r="D47" i="5"/>
  <c r="C47" i="5"/>
  <c r="D46" i="5"/>
  <c r="C46" i="5"/>
  <c r="D45" i="5"/>
  <c r="C45" i="5"/>
  <c r="D44" i="5"/>
  <c r="C44" i="5"/>
  <c r="D43" i="5"/>
  <c r="C43" i="5"/>
  <c r="D42" i="5"/>
  <c r="C42" i="5"/>
  <c r="D41" i="5"/>
  <c r="C41" i="5"/>
  <c r="D40" i="5"/>
  <c r="C40" i="5"/>
  <c r="D39" i="5"/>
  <c r="C39" i="5"/>
  <c r="D38" i="5"/>
  <c r="C38" i="5"/>
  <c r="D37" i="5"/>
  <c r="C37" i="5"/>
  <c r="D36" i="5"/>
  <c r="C36" i="5"/>
  <c r="D35" i="5"/>
  <c r="C35" i="5"/>
  <c r="D34" i="5"/>
  <c r="C34" i="5"/>
  <c r="D33" i="5"/>
  <c r="C33" i="5"/>
  <c r="D32" i="5"/>
  <c r="C32" i="5"/>
  <c r="D31" i="5"/>
  <c r="C31" i="5"/>
  <c r="D30" i="5"/>
  <c r="C30" i="5"/>
  <c r="D29" i="5"/>
  <c r="C29" i="5"/>
  <c r="D28" i="5"/>
  <c r="C28" i="5"/>
  <c r="D27" i="5"/>
  <c r="C27" i="5"/>
  <c r="D26" i="5"/>
  <c r="C26" i="5"/>
  <c r="D25" i="5"/>
  <c r="C25" i="5"/>
  <c r="D24" i="5"/>
  <c r="C24" i="5"/>
  <c r="D23" i="5"/>
  <c r="C23" i="5"/>
  <c r="D22" i="5"/>
  <c r="C22" i="5"/>
  <c r="D21" i="5"/>
  <c r="C21" i="5"/>
  <c r="D20" i="5"/>
  <c r="C20" i="5"/>
  <c r="D19" i="5"/>
  <c r="C19" i="5"/>
  <c r="D18" i="5"/>
  <c r="C18" i="5"/>
  <c r="D17" i="5"/>
  <c r="C17" i="5"/>
  <c r="D16" i="5"/>
  <c r="C16" i="5"/>
  <c r="E104" i="4"/>
  <c r="F106" i="4" s="1"/>
  <c r="F99" i="4"/>
  <c r="C111" i="4" s="1"/>
  <c r="G97" i="4"/>
  <c r="G99" i="4" s="1"/>
  <c r="C112" i="4" s="1"/>
  <c r="F97" i="4"/>
  <c r="E97" i="4"/>
  <c r="E99" i="4" s="1"/>
  <c r="D96" i="4"/>
  <c r="C96" i="4"/>
  <c r="D95" i="4"/>
  <c r="C95" i="4"/>
  <c r="D94" i="4"/>
  <c r="C94" i="4"/>
  <c r="D93" i="4"/>
  <c r="C93" i="4"/>
  <c r="D92" i="4"/>
  <c r="C92" i="4"/>
  <c r="D91" i="4"/>
  <c r="C91" i="4"/>
  <c r="D90" i="4"/>
  <c r="C90" i="4"/>
  <c r="D89" i="4"/>
  <c r="C89" i="4"/>
  <c r="D88" i="4"/>
  <c r="C88" i="4"/>
  <c r="D87" i="4"/>
  <c r="C87" i="4"/>
  <c r="D86" i="4"/>
  <c r="C86" i="4"/>
  <c r="D85" i="4"/>
  <c r="C85" i="4"/>
  <c r="D84" i="4"/>
  <c r="C84" i="4"/>
  <c r="D83" i="4"/>
  <c r="C83" i="4"/>
  <c r="D82" i="4"/>
  <c r="C82" i="4"/>
  <c r="D81" i="4"/>
  <c r="C81" i="4"/>
  <c r="D80" i="4"/>
  <c r="C80" i="4"/>
  <c r="D79" i="4"/>
  <c r="C79" i="4"/>
  <c r="D78" i="4"/>
  <c r="C78" i="4"/>
  <c r="D77" i="4"/>
  <c r="C77" i="4"/>
  <c r="D76" i="4"/>
  <c r="C76" i="4"/>
  <c r="D75" i="4"/>
  <c r="C75" i="4"/>
  <c r="D74" i="4"/>
  <c r="C74" i="4"/>
  <c r="D73" i="4"/>
  <c r="C73" i="4"/>
  <c r="D72" i="4"/>
  <c r="C72" i="4"/>
  <c r="D71" i="4"/>
  <c r="C71" i="4"/>
  <c r="D70" i="4"/>
  <c r="C70" i="4"/>
  <c r="D69" i="4"/>
  <c r="C69" i="4"/>
  <c r="D68" i="4"/>
  <c r="C68" i="4"/>
  <c r="D67" i="4"/>
  <c r="C67" i="4"/>
  <c r="D66" i="4"/>
  <c r="C66" i="4"/>
  <c r="D65" i="4"/>
  <c r="C65" i="4"/>
  <c r="D64" i="4"/>
  <c r="C64" i="4"/>
  <c r="D63" i="4"/>
  <c r="C63" i="4"/>
  <c r="D62" i="4"/>
  <c r="C62" i="4"/>
  <c r="D61" i="4"/>
  <c r="C61" i="4"/>
  <c r="D60" i="4"/>
  <c r="C60" i="4"/>
  <c r="D59" i="4"/>
  <c r="C59" i="4"/>
  <c r="D58" i="4"/>
  <c r="C58" i="4"/>
  <c r="D57" i="4"/>
  <c r="C57" i="4"/>
  <c r="D56" i="4"/>
  <c r="C56" i="4"/>
  <c r="D55" i="4"/>
  <c r="C55" i="4"/>
  <c r="D54" i="4"/>
  <c r="C54" i="4"/>
  <c r="D53" i="4"/>
  <c r="C53" i="4"/>
  <c r="D52" i="4"/>
  <c r="C52" i="4"/>
  <c r="D51" i="4"/>
  <c r="C51" i="4"/>
  <c r="D50" i="4"/>
  <c r="C50" i="4"/>
  <c r="D49" i="4"/>
  <c r="C49" i="4"/>
  <c r="D48" i="4"/>
  <c r="C48" i="4"/>
  <c r="D47" i="4"/>
  <c r="C47" i="4"/>
  <c r="D46" i="4"/>
  <c r="C46" i="4"/>
  <c r="D45" i="4"/>
  <c r="C45" i="4"/>
  <c r="D44" i="4"/>
  <c r="C44" i="4"/>
  <c r="D43" i="4"/>
  <c r="C43" i="4"/>
  <c r="D42" i="4"/>
  <c r="C42" i="4"/>
  <c r="D41" i="4"/>
  <c r="C41" i="4"/>
  <c r="D40" i="4"/>
  <c r="C40" i="4"/>
  <c r="D39" i="4"/>
  <c r="C39" i="4"/>
  <c r="D38" i="4"/>
  <c r="C38" i="4"/>
  <c r="D37" i="4"/>
  <c r="C37" i="4"/>
  <c r="D36" i="4"/>
  <c r="C36" i="4"/>
  <c r="D35" i="4"/>
  <c r="C35" i="4"/>
  <c r="D34" i="4"/>
  <c r="C34" i="4"/>
  <c r="D33" i="4"/>
  <c r="C33" i="4"/>
  <c r="D32" i="4"/>
  <c r="C32" i="4"/>
  <c r="D31" i="4"/>
  <c r="C31" i="4"/>
  <c r="D30" i="4"/>
  <c r="C30" i="4"/>
  <c r="D29" i="4"/>
  <c r="C29" i="4"/>
  <c r="D28" i="4"/>
  <c r="C28" i="4"/>
  <c r="D27" i="4"/>
  <c r="C27" i="4"/>
  <c r="D26" i="4"/>
  <c r="C26" i="4"/>
  <c r="D25" i="4"/>
  <c r="C25" i="4"/>
  <c r="D24" i="4"/>
  <c r="C24" i="4"/>
  <c r="D23" i="4"/>
  <c r="C23" i="4"/>
  <c r="D22" i="4"/>
  <c r="C22" i="4"/>
  <c r="D21" i="4"/>
  <c r="C21" i="4"/>
  <c r="D20" i="4"/>
  <c r="C20" i="4"/>
  <c r="D19" i="4"/>
  <c r="C19" i="4"/>
  <c r="D18" i="4"/>
  <c r="C18" i="4"/>
  <c r="D17" i="4"/>
  <c r="C17" i="4"/>
  <c r="D16" i="4"/>
  <c r="C16" i="4"/>
  <c r="D15" i="4"/>
  <c r="C15" i="4"/>
  <c r="D14" i="4"/>
  <c r="C14" i="4"/>
  <c r="D6" i="4"/>
  <c r="D6" i="5" s="1"/>
  <c r="D4" i="4"/>
  <c r="D4" i="5" s="1"/>
  <c r="E104" i="3"/>
  <c r="F106" i="3" s="1"/>
  <c r="E97" i="3"/>
  <c r="E99" i="3" s="1"/>
  <c r="D96" i="3"/>
  <c r="C96" i="3"/>
  <c r="D95" i="3"/>
  <c r="C95" i="3"/>
  <c r="D94" i="3"/>
  <c r="C94" i="3"/>
  <c r="D93" i="3"/>
  <c r="C93" i="3"/>
  <c r="D92" i="3"/>
  <c r="C92" i="3"/>
  <c r="D91" i="3"/>
  <c r="C91" i="3"/>
  <c r="D90" i="3"/>
  <c r="C90" i="3"/>
  <c r="D89" i="3"/>
  <c r="C89" i="3"/>
  <c r="D88" i="3"/>
  <c r="C88" i="3"/>
  <c r="D87" i="3"/>
  <c r="C87" i="3"/>
  <c r="D86" i="3"/>
  <c r="C86" i="3"/>
  <c r="D85" i="3"/>
  <c r="C85" i="3"/>
  <c r="D84" i="3"/>
  <c r="C84" i="3"/>
  <c r="D83" i="3"/>
  <c r="C83" i="3"/>
  <c r="D82" i="3"/>
  <c r="C82" i="3"/>
  <c r="D81" i="3"/>
  <c r="C81" i="3"/>
  <c r="D80" i="3"/>
  <c r="C80" i="3"/>
  <c r="D79" i="3"/>
  <c r="C79" i="3"/>
  <c r="D78" i="3"/>
  <c r="C78" i="3"/>
  <c r="D77" i="3"/>
  <c r="C77" i="3"/>
  <c r="D76" i="3"/>
  <c r="C76" i="3"/>
  <c r="D75" i="3"/>
  <c r="C75" i="3"/>
  <c r="D74" i="3"/>
  <c r="C74" i="3"/>
  <c r="D73" i="3"/>
  <c r="C73" i="3"/>
  <c r="D72" i="3"/>
  <c r="C72" i="3"/>
  <c r="D71" i="3"/>
  <c r="C71" i="3"/>
  <c r="D70" i="3"/>
  <c r="C70" i="3"/>
  <c r="D69" i="3"/>
  <c r="C69" i="3"/>
  <c r="D68" i="3"/>
  <c r="C68" i="3"/>
  <c r="D67" i="3"/>
  <c r="C67" i="3"/>
  <c r="D66" i="3"/>
  <c r="C66" i="3"/>
  <c r="D65" i="3"/>
  <c r="C65" i="3"/>
  <c r="D64" i="3"/>
  <c r="C64" i="3"/>
  <c r="D63" i="3"/>
  <c r="C63" i="3"/>
  <c r="D62" i="3"/>
  <c r="C62" i="3"/>
  <c r="D61" i="3"/>
  <c r="C61" i="3"/>
  <c r="D60" i="3"/>
  <c r="C60" i="3"/>
  <c r="D59" i="3"/>
  <c r="C59" i="3"/>
  <c r="D58" i="3"/>
  <c r="C58" i="3"/>
  <c r="D57" i="3"/>
  <c r="C57" i="3"/>
  <c r="D56" i="3"/>
  <c r="C56" i="3"/>
  <c r="D55" i="3"/>
  <c r="C55" i="3"/>
  <c r="D54" i="3"/>
  <c r="C54" i="3"/>
  <c r="D53" i="3"/>
  <c r="C53" i="3"/>
  <c r="D52" i="3"/>
  <c r="C52" i="3"/>
  <c r="D51" i="3"/>
  <c r="C51" i="3"/>
  <c r="D50" i="3"/>
  <c r="C50" i="3"/>
  <c r="D49" i="3"/>
  <c r="C49" i="3"/>
  <c r="D48" i="3"/>
  <c r="C48" i="3"/>
  <c r="D47" i="3"/>
  <c r="C47" i="3"/>
  <c r="D46" i="3"/>
  <c r="C46" i="3"/>
  <c r="D45" i="3"/>
  <c r="C45" i="3"/>
  <c r="D44" i="3"/>
  <c r="C44" i="3"/>
  <c r="D43" i="3"/>
  <c r="C43" i="3"/>
  <c r="D42" i="3"/>
  <c r="C42" i="3"/>
  <c r="D41" i="3"/>
  <c r="C41" i="3"/>
  <c r="D40" i="3"/>
  <c r="C40" i="3"/>
  <c r="D39" i="3"/>
  <c r="C39" i="3"/>
  <c r="D38" i="3"/>
  <c r="C38" i="3"/>
  <c r="D37" i="3"/>
  <c r="C37" i="3"/>
  <c r="D36" i="3"/>
  <c r="C36" i="3"/>
  <c r="D35" i="3"/>
  <c r="C35" i="3"/>
  <c r="D34" i="3"/>
  <c r="C34" i="3"/>
  <c r="D33" i="3"/>
  <c r="C33" i="3"/>
  <c r="D32" i="3"/>
  <c r="C32" i="3"/>
  <c r="D31" i="3"/>
  <c r="C31" i="3"/>
  <c r="D30" i="3"/>
  <c r="C30" i="3"/>
  <c r="D29" i="3"/>
  <c r="C29" i="3"/>
  <c r="D28" i="3"/>
  <c r="C28" i="3"/>
  <c r="D27" i="3"/>
  <c r="C27" i="3"/>
  <c r="D26" i="3"/>
  <c r="C26" i="3"/>
  <c r="D25" i="3"/>
  <c r="C25" i="3"/>
  <c r="D24" i="3"/>
  <c r="C24" i="3"/>
  <c r="D23" i="3"/>
  <c r="C23" i="3"/>
  <c r="D22" i="3"/>
  <c r="C22" i="3"/>
  <c r="D21" i="3"/>
  <c r="C21" i="3"/>
  <c r="D20" i="3"/>
  <c r="C20" i="3"/>
  <c r="D19" i="3"/>
  <c r="C19" i="3"/>
  <c r="D18" i="3"/>
  <c r="C18" i="3"/>
  <c r="D17" i="3"/>
  <c r="C17" i="3"/>
  <c r="D16" i="3"/>
  <c r="C16" i="3"/>
  <c r="D15" i="3"/>
  <c r="C15" i="3"/>
  <c r="D14" i="3"/>
  <c r="D15" i="5" s="1"/>
  <c r="C14" i="3"/>
  <c r="C15" i="5" s="1"/>
  <c r="D6" i="3"/>
  <c r="D5" i="3"/>
  <c r="H106" i="2"/>
  <c r="H105" i="2"/>
  <c r="H104" i="2"/>
  <c r="I96" i="2"/>
  <c r="I98" i="2" s="1"/>
  <c r="I110" i="2" s="1"/>
  <c r="H96" i="2"/>
  <c r="H98" i="2" s="1"/>
  <c r="H110" i="2" s="1"/>
  <c r="G96" i="2"/>
  <c r="G98" i="2" s="1"/>
  <c r="G110" i="2" s="1"/>
  <c r="F96" i="2"/>
  <c r="F98" i="2" s="1"/>
  <c r="F110" i="2" s="1"/>
  <c r="E96" i="2"/>
  <c r="E98" i="2" s="1"/>
  <c r="E110" i="2" s="1"/>
  <c r="D96" i="2"/>
  <c r="D98" i="2" s="1"/>
  <c r="D110" i="2" s="1"/>
  <c r="K95" i="2"/>
  <c r="J95" i="2"/>
  <c r="K94" i="2"/>
  <c r="J94" i="2"/>
  <c r="K93" i="2"/>
  <c r="J93" i="2"/>
  <c r="K92" i="2"/>
  <c r="J92" i="2"/>
  <c r="K91" i="2"/>
  <c r="J91" i="2"/>
  <c r="K90" i="2"/>
  <c r="J90" i="2"/>
  <c r="K89" i="2"/>
  <c r="J89" i="2"/>
  <c r="K88" i="2"/>
  <c r="J88" i="2"/>
  <c r="K87" i="2"/>
  <c r="J87" i="2"/>
  <c r="K86" i="2"/>
  <c r="J86" i="2"/>
  <c r="K85" i="2"/>
  <c r="J85" i="2"/>
  <c r="K84" i="2"/>
  <c r="J84" i="2"/>
  <c r="K83" i="2"/>
  <c r="J83" i="2"/>
  <c r="K82" i="2"/>
  <c r="J82" i="2"/>
  <c r="K81" i="2"/>
  <c r="J81" i="2"/>
  <c r="K80" i="2"/>
  <c r="J80" i="2"/>
  <c r="K79" i="2"/>
  <c r="J79" i="2"/>
  <c r="K78" i="2"/>
  <c r="J78" i="2"/>
  <c r="K77" i="2"/>
  <c r="J77" i="2"/>
  <c r="K76" i="2"/>
  <c r="J76" i="2"/>
  <c r="K75" i="2"/>
  <c r="J75" i="2"/>
  <c r="K74" i="2"/>
  <c r="J74" i="2"/>
  <c r="K73" i="2"/>
  <c r="J73" i="2"/>
  <c r="K72" i="2"/>
  <c r="J72" i="2"/>
  <c r="K71" i="2"/>
  <c r="J71" i="2"/>
  <c r="K70" i="2"/>
  <c r="J70" i="2"/>
  <c r="K69" i="2"/>
  <c r="J69" i="2"/>
  <c r="K68" i="2"/>
  <c r="J68" i="2"/>
  <c r="K67" i="2"/>
  <c r="J67" i="2"/>
  <c r="K66" i="2"/>
  <c r="J66" i="2"/>
  <c r="K65" i="2"/>
  <c r="J65" i="2"/>
  <c r="K64" i="2"/>
  <c r="J64" i="2"/>
  <c r="K63" i="2"/>
  <c r="J63" i="2"/>
  <c r="K62" i="2"/>
  <c r="J62" i="2"/>
  <c r="K61" i="2"/>
  <c r="J61" i="2"/>
  <c r="K60" i="2"/>
  <c r="J60" i="2"/>
  <c r="K59" i="2"/>
  <c r="J59" i="2"/>
  <c r="K58" i="2"/>
  <c r="J58" i="2"/>
  <c r="K57" i="2"/>
  <c r="J57" i="2"/>
  <c r="K56" i="2"/>
  <c r="J56" i="2"/>
  <c r="K55" i="2"/>
  <c r="J55" i="2"/>
  <c r="K54" i="2"/>
  <c r="J54" i="2"/>
  <c r="K53" i="2"/>
  <c r="J53" i="2"/>
  <c r="K52" i="2"/>
  <c r="J52" i="2"/>
  <c r="K51" i="2"/>
  <c r="J51" i="2"/>
  <c r="K50" i="2"/>
  <c r="J50" i="2"/>
  <c r="K49" i="2"/>
  <c r="J49" i="2"/>
  <c r="K48" i="2"/>
  <c r="J48" i="2"/>
  <c r="K47" i="2"/>
  <c r="J47" i="2"/>
  <c r="K46" i="2"/>
  <c r="J46" i="2"/>
  <c r="K45" i="2"/>
  <c r="J45" i="2"/>
  <c r="K44" i="2"/>
  <c r="J44" i="2"/>
  <c r="K43" i="2"/>
  <c r="J43" i="2"/>
  <c r="K42" i="2"/>
  <c r="J42" i="2"/>
  <c r="K41" i="2"/>
  <c r="J41" i="2"/>
  <c r="K40" i="2"/>
  <c r="J40" i="2"/>
  <c r="K39" i="2"/>
  <c r="J39" i="2"/>
  <c r="K38" i="2"/>
  <c r="J38" i="2"/>
  <c r="K37" i="2"/>
  <c r="J37" i="2"/>
  <c r="K36" i="2"/>
  <c r="J36" i="2"/>
  <c r="K35" i="2"/>
  <c r="J35" i="2"/>
  <c r="K34" i="2"/>
  <c r="J34" i="2"/>
  <c r="K33" i="2"/>
  <c r="J33" i="2"/>
  <c r="K32" i="2"/>
  <c r="J32" i="2"/>
  <c r="K31" i="2"/>
  <c r="J31" i="2"/>
  <c r="K30" i="2"/>
  <c r="J30" i="2"/>
  <c r="K29" i="2"/>
  <c r="J29" i="2"/>
  <c r="K28" i="2"/>
  <c r="J28" i="2"/>
  <c r="K27" i="2"/>
  <c r="J27" i="2"/>
  <c r="K26" i="2"/>
  <c r="J26" i="2"/>
  <c r="K25" i="2"/>
  <c r="J25" i="2"/>
  <c r="K24" i="2"/>
  <c r="J24" i="2"/>
  <c r="K23" i="2"/>
  <c r="J23" i="2"/>
  <c r="K22" i="2"/>
  <c r="J22" i="2"/>
  <c r="K21" i="2"/>
  <c r="J21" i="2"/>
  <c r="K20" i="2"/>
  <c r="J20" i="2"/>
  <c r="K19" i="2"/>
  <c r="J19" i="2"/>
  <c r="K18" i="2"/>
  <c r="J18" i="2"/>
  <c r="K17" i="2"/>
  <c r="J17" i="2"/>
  <c r="K16" i="2"/>
  <c r="J16" i="2"/>
  <c r="K15" i="2"/>
  <c r="J15" i="2"/>
  <c r="K14" i="2"/>
  <c r="J14" i="2"/>
  <c r="K13" i="2"/>
  <c r="J13" i="2"/>
  <c r="J12" i="2"/>
  <c r="C6" i="2"/>
  <c r="D7" i="3" s="1"/>
  <c r="C5" i="2"/>
  <c r="C4" i="2"/>
  <c r="D5" i="4" s="1"/>
  <c r="D5" i="5" s="1"/>
  <c r="C3" i="2"/>
  <c r="D4" i="3" s="1"/>
  <c r="K26" i="1"/>
  <c r="G26" i="1"/>
  <c r="F26" i="1"/>
  <c r="E26" i="1"/>
  <c r="M25" i="1"/>
  <c r="M26" i="1" s="1"/>
  <c r="L25" i="1"/>
  <c r="L26" i="1" s="1"/>
  <c r="K25" i="1"/>
  <c r="J25" i="1"/>
  <c r="J26" i="1" s="1"/>
  <c r="I25" i="1"/>
  <c r="I26" i="1" s="1"/>
  <c r="H25" i="1"/>
  <c r="H26" i="1" s="1"/>
  <c r="G25" i="1"/>
  <c r="F25" i="1"/>
  <c r="E25" i="1"/>
  <c r="D24" i="1"/>
  <c r="C24" i="1"/>
  <c r="D23" i="1"/>
  <c r="D16" i="9" s="1"/>
  <c r="C23" i="1"/>
  <c r="C16" i="9" s="1"/>
  <c r="D22" i="1"/>
  <c r="D15" i="9" s="1"/>
  <c r="C22" i="1"/>
  <c r="D21" i="1"/>
  <c r="D14" i="9" s="1"/>
  <c r="C21" i="1"/>
  <c r="C14" i="9" s="1"/>
  <c r="D20" i="1"/>
  <c r="D13" i="9" s="1"/>
  <c r="C20" i="1"/>
  <c r="C13" i="9" s="1"/>
  <c r="D19" i="1"/>
  <c r="D12" i="9" s="1"/>
  <c r="C19" i="1"/>
  <c r="M17" i="9" l="1"/>
  <c r="L17" i="9"/>
  <c r="D4" i="8"/>
  <c r="D3" i="9" s="1"/>
  <c r="D4" i="7"/>
  <c r="D22" i="8"/>
  <c r="D15" i="7"/>
  <c r="C110" i="3"/>
  <c r="D23" i="8"/>
  <c r="D16" i="7"/>
  <c r="G91" i="5"/>
  <c r="F91" i="5"/>
  <c r="I12" i="7"/>
  <c r="E91" i="5"/>
  <c r="D91" i="5"/>
  <c r="C110" i="4"/>
  <c r="D17" i="7"/>
  <c r="D24" i="8"/>
  <c r="D3" i="7"/>
  <c r="D3" i="8"/>
  <c r="D2" i="9" s="1"/>
  <c r="D12" i="7"/>
  <c r="D19" i="8"/>
  <c r="D5" i="8"/>
  <c r="D4" i="9" s="1"/>
  <c r="D5" i="7"/>
  <c r="D13" i="7"/>
  <c r="D20" i="8"/>
  <c r="D112" i="4"/>
  <c r="G19" i="8"/>
  <c r="H112" i="4"/>
  <c r="G112" i="4"/>
  <c r="F112" i="4"/>
  <c r="G12" i="7"/>
  <c r="E112" i="4"/>
  <c r="D21" i="8"/>
  <c r="D14" i="7"/>
  <c r="D111" i="4"/>
  <c r="E12" i="7"/>
  <c r="H111" i="4"/>
  <c r="E19" i="8"/>
  <c r="G111" i="4"/>
  <c r="F111" i="4"/>
  <c r="E111" i="4"/>
  <c r="F104" i="3"/>
  <c r="D7" i="4"/>
  <c r="F104" i="4"/>
  <c r="E11" i="8"/>
  <c r="F105" i="3"/>
  <c r="F105" i="4"/>
  <c r="G11" i="8"/>
  <c r="F26" i="8" s="1"/>
  <c r="H11" i="8"/>
  <c r="E26" i="8" s="1"/>
  <c r="I11" i="8"/>
  <c r="G26" i="8" s="1"/>
  <c r="D18" i="7" l="1"/>
  <c r="D20" i="7" s="1"/>
  <c r="G13" i="7"/>
  <c r="G14" i="7" s="1"/>
  <c r="G15" i="7" s="1"/>
  <c r="G16" i="7" s="1"/>
  <c r="G17" i="7" s="1"/>
  <c r="E20" i="8"/>
  <c r="E21" i="8" s="1"/>
  <c r="E22" i="8" s="1"/>
  <c r="E23" i="8" s="1"/>
  <c r="E24" i="8" s="1"/>
  <c r="D25" i="8"/>
  <c r="D27" i="8" s="1"/>
  <c r="I18" i="7"/>
  <c r="I20" i="7" s="1"/>
  <c r="J21" i="7" s="1"/>
  <c r="J23" i="7" s="1"/>
  <c r="I13" i="7"/>
  <c r="I14" i="7" s="1"/>
  <c r="I15" i="7" s="1"/>
  <c r="I16" i="7" s="1"/>
  <c r="I17" i="7" s="1"/>
  <c r="E13" i="7"/>
  <c r="E14" i="7" s="1"/>
  <c r="E15" i="7" s="1"/>
  <c r="E16" i="7" s="1"/>
  <c r="E17" i="7" s="1"/>
  <c r="F12" i="7"/>
  <c r="D110" i="4"/>
  <c r="F19" i="8"/>
  <c r="H110" i="4"/>
  <c r="G110" i="4"/>
  <c r="E110" i="4"/>
  <c r="F110" i="4"/>
  <c r="H19" i="8"/>
  <c r="D110" i="3"/>
  <c r="H110" i="3"/>
  <c r="E110" i="3"/>
  <c r="G110" i="3"/>
  <c r="H12" i="7"/>
  <c r="F110" i="3"/>
  <c r="D26" i="8"/>
  <c r="K11" i="8"/>
  <c r="D6" i="8"/>
  <c r="D5" i="9" s="1"/>
  <c r="D6" i="7"/>
  <c r="D7" i="5"/>
  <c r="G25" i="8"/>
  <c r="G27" i="8" s="1"/>
  <c r="G20" i="8"/>
  <c r="G21" i="8" s="1"/>
  <c r="G22" i="8" s="1"/>
  <c r="G23" i="8" s="1"/>
  <c r="G24" i="8" s="1"/>
  <c r="H25" i="8" l="1"/>
  <c r="H27" i="8" s="1"/>
  <c r="H20" i="8"/>
  <c r="H21" i="8" s="1"/>
  <c r="H22" i="8" s="1"/>
  <c r="H23" i="8" s="1"/>
  <c r="H24" i="8" s="1"/>
  <c r="E25" i="8"/>
  <c r="E27" i="8" s="1"/>
  <c r="H13" i="7"/>
  <c r="H14" i="7" s="1"/>
  <c r="H15" i="7" s="1"/>
  <c r="H16" i="7" s="1"/>
  <c r="H17" i="7" s="1"/>
  <c r="F18" i="7"/>
  <c r="F20" i="7" s="1"/>
  <c r="F13" i="7"/>
  <c r="F14" i="7" s="1"/>
  <c r="F15" i="7" s="1"/>
  <c r="F16" i="7" s="1"/>
  <c r="F17" i="7" s="1"/>
  <c r="E18" i="7"/>
  <c r="E20" i="7" s="1"/>
  <c r="F20" i="8"/>
  <c r="F21" i="8" s="1"/>
  <c r="F22" i="8" s="1"/>
  <c r="F23" i="8" s="1"/>
  <c r="F24" i="8" s="1"/>
  <c r="G18" i="7"/>
  <c r="G20" i="7" s="1"/>
  <c r="H28" i="8" l="1"/>
  <c r="H30" i="8" s="1"/>
  <c r="I31" i="8" s="1"/>
  <c r="H21" i="7"/>
  <c r="H23" i="7" s="1"/>
  <c r="I24" i="7" s="1"/>
  <c r="H18" i="7"/>
  <c r="H20" i="7" s="1"/>
  <c r="F25" i="8"/>
  <c r="F27" i="8" s="1"/>
  <c r="G18" i="9" l="1"/>
  <c r="G19" i="9" s="1"/>
  <c r="I18" i="9"/>
  <c r="I19" i="9" s="1"/>
  <c r="M18" i="9"/>
  <c r="M19" i="9" s="1"/>
  <c r="F18" i="9"/>
  <c r="F19" i="9" s="1"/>
  <c r="H18" i="9"/>
  <c r="H19" i="9" s="1"/>
  <c r="K18" i="9"/>
  <c r="K19" i="9" s="1"/>
  <c r="L18" i="9"/>
  <c r="L19" i="9" s="1"/>
  <c r="J18" i="9"/>
  <c r="J19" i="9" s="1"/>
  <c r="E18" i="9"/>
  <c r="E19" i="9" s="1"/>
</calcChain>
</file>

<file path=xl/comments1.xml><?xml version="1.0" encoding="utf-8"?>
<comments xmlns="http://schemas.openxmlformats.org/spreadsheetml/2006/main">
  <authors>
    <author/>
  </authors>
  <commentList>
    <comment ref="D12" authorId="0">
      <text>
        <r>
          <rPr>
            <sz val="11"/>
            <color theme="1"/>
            <rFont val="Calibri"/>
            <scheme val="minor"/>
          </rPr>
          <t>======
ID#AAAB841oSJs
hp    (2023-02-03 10:38:19)
Max. marks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i/0XZgEE5LeGNwtdz/Z50SjKXt0g=="/>
    </ext>
  </extLst>
</comments>
</file>

<file path=xl/sharedStrings.xml><?xml version="1.0" encoding="utf-8"?>
<sst xmlns="http://schemas.openxmlformats.org/spreadsheetml/2006/main" count="426" uniqueCount="267">
  <si>
    <t xml:space="preserve">                        PO-CO Mapping (Targetted Level) - Course Articulation Matrix</t>
  </si>
  <si>
    <t>Course Name :</t>
  </si>
  <si>
    <t>DATA STRUCTURE USING C</t>
  </si>
  <si>
    <t>Course Code :</t>
  </si>
  <si>
    <t xml:space="preserve">Program/Scheme-MSBTE Inst.code : </t>
  </si>
  <si>
    <t>3rd SEM(CO3K SCHEME)</t>
  </si>
  <si>
    <t>Academic Year :</t>
  </si>
  <si>
    <t>2024-25</t>
  </si>
  <si>
    <t>Course Outcomes :</t>
  </si>
  <si>
    <t>CO1</t>
  </si>
  <si>
    <t>Perform basic operations on Arrays.</t>
  </si>
  <si>
    <t>CO2</t>
  </si>
  <si>
    <t>Apply different Searching and Sorting methods.</t>
  </si>
  <si>
    <t>CO3</t>
  </si>
  <si>
    <t>Implement basic operations on Linked List.</t>
  </si>
  <si>
    <t>CO4</t>
  </si>
  <si>
    <t xml:space="preserve"> Perform operations on Stack using Array and Linked List Implementations.</t>
  </si>
  <si>
    <t>CO5</t>
  </si>
  <si>
    <t>Perform operations on Queue using Array and Linked List Implementations.</t>
  </si>
  <si>
    <t>CO6</t>
  </si>
  <si>
    <t>Create and Traverse Tree to solve problems.</t>
  </si>
  <si>
    <t>Set Correlation  of CO-PO Mapping</t>
  </si>
  <si>
    <r>
      <rPr>
        <b/>
        <sz val="12"/>
        <color theme="1"/>
        <rFont val="Times New Roman"/>
      </rPr>
      <t xml:space="preserve">Strength of correlation : </t>
    </r>
    <r>
      <rPr>
        <sz val="12"/>
        <color theme="1"/>
        <rFont val="Times New Roman"/>
      </rPr>
      <t>3</t>
    </r>
    <r>
      <rPr>
        <b/>
        <sz val="12"/>
        <color theme="1"/>
        <rFont val="Times New Roman"/>
      </rPr>
      <t xml:space="preserve"> - </t>
    </r>
    <r>
      <rPr>
        <sz val="12"/>
        <color theme="1"/>
        <rFont val="Times New Roman"/>
      </rPr>
      <t>high (Substantial), 2- medium (moderate) , 1- low, No relation : '-'</t>
    </r>
  </si>
  <si>
    <t>Sr. No.</t>
  </si>
  <si>
    <t>CO</t>
  </si>
  <si>
    <t>PO</t>
  </si>
  <si>
    <t>PSO</t>
  </si>
  <si>
    <t>PO1</t>
  </si>
  <si>
    <t>PO2</t>
  </si>
  <si>
    <t>PO3</t>
  </si>
  <si>
    <t>PO4</t>
  </si>
  <si>
    <t>PO5</t>
  </si>
  <si>
    <t>PO6</t>
  </si>
  <si>
    <t>PO7</t>
  </si>
  <si>
    <t>PSO1</t>
  </si>
  <si>
    <t>PSO2</t>
  </si>
  <si>
    <t>Basic Knowledge &amp; Discipline Knowledge</t>
  </si>
  <si>
    <t>Problem analysis</t>
  </si>
  <si>
    <t>Design/developmet of solutions</t>
  </si>
  <si>
    <t>Engineering tools, Experimentation and Testing</t>
  </si>
  <si>
    <t>Engineering Practices for society, sustainability , Environment, Ethics</t>
  </si>
  <si>
    <t>Project Management</t>
  </si>
  <si>
    <t xml:space="preserve">Life Long learning </t>
  </si>
  <si>
    <t>Computer Software and Hardware Usage</t>
  </si>
  <si>
    <t>Computer Engineering Maintenance</t>
  </si>
  <si>
    <t>-</t>
  </si>
  <si>
    <t>Average</t>
  </si>
  <si>
    <t>Targeted Attainment Level</t>
  </si>
  <si>
    <t>Name of Faculty &amp; Signature</t>
  </si>
  <si>
    <t>GOVERNMENT POLYTECHNIC DHARASHIV</t>
  </si>
  <si>
    <t>Note :</t>
  </si>
  <si>
    <t xml:space="preserve">           Fill only this colour cells for all worksheets</t>
  </si>
  <si>
    <r>
      <rPr>
        <i/>
        <u/>
        <sz val="11"/>
        <color theme="1"/>
        <rFont val="Calibri"/>
      </rPr>
      <t>This cells are autofilled fields .</t>
    </r>
    <r>
      <rPr>
        <i/>
        <u/>
        <sz val="11"/>
        <color theme="1"/>
        <rFont val="Calibri"/>
      </rPr>
      <t xml:space="preserve">                                                         </t>
    </r>
    <r>
      <rPr>
        <i/>
        <u/>
        <sz val="11"/>
        <color theme="1"/>
        <rFont val="Calibri"/>
      </rPr>
      <t xml:space="preserve">   Do not overwrite this cells for all worksheets</t>
    </r>
  </si>
  <si>
    <t>Evaluation of Answersheets for FA-TH(Unit Test)</t>
  </si>
  <si>
    <t>Internal Assessment ( Direct Mode)</t>
  </si>
  <si>
    <t xml:space="preserve">Program/Semester : </t>
  </si>
  <si>
    <t>Academic Year</t>
  </si>
  <si>
    <t>Enrollment ID / Seat No</t>
  </si>
  <si>
    <t>Student Name</t>
  </si>
  <si>
    <t>CO1 
max. Marks</t>
  </si>
  <si>
    <t>CO2
 max. Marks</t>
  </si>
  <si>
    <t>CO3 max. Marks</t>
  </si>
  <si>
    <t>CO4 
max. Marks</t>
  </si>
  <si>
    <t>CO5 max. Marks</t>
  </si>
  <si>
    <t>CO6 
max. Marks</t>
  </si>
  <si>
    <t>U. TEST I</t>
  </si>
  <si>
    <t>U. TEST II</t>
  </si>
  <si>
    <t>Total Max. Marks(with Extra)</t>
  </si>
  <si>
    <t> ADSUL SHASHWATI NITIN</t>
  </si>
  <si>
    <t> AVISHKAR BABRUWAN BHISE</t>
  </si>
  <si>
    <t> AWAD MAHESHWARI BHAU</t>
  </si>
  <si>
    <t> BADVE SHARVANI DNYANESHWAR</t>
  </si>
  <si>
    <t> BAGADE MANASI MUKUND</t>
  </si>
  <si>
    <t> BARDE ARCHANA HANUMANT</t>
  </si>
  <si>
    <t> BARMADE SHRADDHA SUDHAKAR</t>
  </si>
  <si>
    <t> BEDKE ANKITA SHRIRAM</t>
  </si>
  <si>
    <t> BHAD SHRAVANI UMAKANT</t>
  </si>
  <si>
    <t> BHORE NIKITA SHANKAR</t>
  </si>
  <si>
    <t> BHOSALE PRADNYA HARIDAS</t>
  </si>
  <si>
    <t> BHOSALE TEJAS GAJANAN</t>
  </si>
  <si>
    <t> BIRAJDAR PRASHANT PADMAKAR</t>
  </si>
  <si>
    <t> CHANDANE SHRAVANI PRASHANT</t>
  </si>
  <si>
    <t> CHAVAN NIKITA NARAYAN</t>
  </si>
  <si>
    <t> DALVE SANSKRUTI AMOL</t>
  </si>
  <si>
    <t> DANE SUSHANT VITTHAL</t>
  </si>
  <si>
    <t> DEMGUNDE RAVIKIRAN DHONDIRAM</t>
  </si>
  <si>
    <t> DHAGE ANUPAMA NAGESH</t>
  </si>
  <si>
    <t> FULMALI SARTHAK SANTOSH</t>
  </si>
  <si>
    <t> GADE PAYAL DHANRAJ</t>
  </si>
  <si>
    <t> GAVALI MONIKA DNYANDEO</t>
  </si>
  <si>
    <t> GURAV KRISHNA PRAMOD</t>
  </si>
  <si>
    <t> HAJARE AMAR AJIT</t>
  </si>
  <si>
    <t> ISAKE PRATIKSHA MAHESH</t>
  </si>
  <si>
    <t> JAGTAP SHREYA SHRIRANG</t>
  </si>
  <si>
    <t> JOSHI TANUJA GUNDERAO</t>
  </si>
  <si>
    <t> KALE PRACHI KISHOR</t>
  </si>
  <si>
    <t> KALE VAISHNAVI DHANRAJ</t>
  </si>
  <si>
    <t> KAMBLE DIVYA VIJAY</t>
  </si>
  <si>
    <t> KAMBLE SONAM VILAS</t>
  </si>
  <si>
    <t> KENDRE MAYURI TUKARAM</t>
  </si>
  <si>
    <t> KHANDAGALE SUHANI VIKRAM</t>
  </si>
  <si>
    <t> KHUNE PRIYANKA PRAMOD</t>
  </si>
  <si>
    <t> KSHIRSAGAR ISHWARI DATTATRAYA</t>
  </si>
  <si>
    <t> LONDHE PRAMILA CHHATRAGUN</t>
  </si>
  <si>
    <t> MALI KARAN ASHOK</t>
  </si>
  <si>
    <t> MENDHEKAR PRITI GOROBA</t>
  </si>
  <si>
    <t> NAWALE SACHIN MANESH</t>
  </si>
  <si>
    <t> NIKAM KRANTI SANTOSH</t>
  </si>
  <si>
    <t> NIMBALKAR ASMITA BHUJANG</t>
  </si>
  <si>
    <t> PANCHAL GAYATRI DNYANESHWAR</t>
  </si>
  <si>
    <t> PATHAN ADIBA FIRDOS AMJAD KHAN</t>
  </si>
  <si>
    <t> PATIL AMRUTA SURESH</t>
  </si>
  <si>
    <t> PATIL DNYANESHWARI SUBHASH</t>
  </si>
  <si>
    <t> PAWAR ARYA RAJENDRA</t>
  </si>
  <si>
    <t> PAWAR SARIKA PANDURANG</t>
  </si>
  <si>
    <t> PAWAR VAIBHAVI LAXMAN</t>
  </si>
  <si>
    <t> PICHRUTE GAYATRI AMBADAS</t>
  </si>
  <si>
    <t> PIRJADE AFREEN UBEDULLA</t>
  </si>
  <si>
    <t> PURI ABHAY LAXMAN</t>
  </si>
  <si>
    <t> RAJPUT BHIMSING UMRAOSING</t>
  </si>
  <si>
    <t> SAKHARKAR SHRAVANI HARI</t>
  </si>
  <si>
    <t> SHINDALKAR ANIKET SHESHERAO</t>
  </si>
  <si>
    <t> SHINDE DIPIKA DATTATRAY</t>
  </si>
  <si>
    <t> SHINDE ROHAN RAJENDRA</t>
  </si>
  <si>
    <t> SHINDE SHIVAM SANDEEP</t>
  </si>
  <si>
    <t> SHINDE YASHRAJ YUVRAJ</t>
  </si>
  <si>
    <t> SIRSAT ABHISHEK SHAHAJI</t>
  </si>
  <si>
    <t> UMBARDAND SHIVLILA BABASAHEB</t>
  </si>
  <si>
    <t> VARE ANJALI RAMDAS</t>
  </si>
  <si>
    <t> WAGHMARE PALLAVI DNYANESHWAR</t>
  </si>
  <si>
    <t>Gavasane Vedant Amol</t>
  </si>
  <si>
    <t>HAJARE SWAPNALI SUJIT</t>
  </si>
  <si>
    <t>MUGALE AMAR RAM</t>
  </si>
  <si>
    <t>PAWAR ASHWASANDHYA NANDAKUMAR</t>
  </si>
  <si>
    <t>PAWAR ASHWASHRADHA DHANAJI</t>
  </si>
  <si>
    <t>SUTAR PRIYA BHAGVANT</t>
  </si>
  <si>
    <t>SUTAR YOGESH EKNATH</t>
  </si>
  <si>
    <t>WAWALKAR ANJALI ANIL</t>
  </si>
  <si>
    <t>#Set Competency target as % marks of max marks for each CO -- &gt;</t>
  </si>
  <si>
    <t xml:space="preserve">No. of students above set target </t>
  </si>
  <si>
    <t>Benchmark of Attainment level  against set target/ competency</t>
  </si>
  <si>
    <t xml:space="preserve">No of Students </t>
  </si>
  <si>
    <t xml:space="preserve">Level </t>
  </si>
  <si>
    <t>LEVEL</t>
  </si>
  <si>
    <t xml:space="preserve"> % of Students got more than set target --&gt;</t>
  </si>
  <si>
    <t>CO-wise  Attainment for Unit Test</t>
  </si>
  <si>
    <t xml:space="preserve">CO5 </t>
  </si>
  <si>
    <t>C06</t>
  </si>
  <si>
    <t>Attainment Level</t>
  </si>
  <si>
    <t xml:space="preserve"> </t>
  </si>
  <si>
    <t xml:space="preserve">External Evaluation of End Semester Board Examination </t>
  </si>
  <si>
    <t xml:space="preserve"> Direct Assessment</t>
  </si>
  <si>
    <t>SA-TH
(End Sem Board Exam.) Max. Marks</t>
  </si>
  <si>
    <t xml:space="preserve">#Set Competency target as Board's TSI </t>
  </si>
  <si>
    <t># Note : MSBTE TSI marks for the End Sem Board Exam is taken from MSBTE's result Gazette copy</t>
  </si>
  <si>
    <t xml:space="preserve"> of Students got more than set target </t>
  </si>
  <si>
    <t xml:space="preserve">of Students got more than set target </t>
  </si>
  <si>
    <t>CO-wise  Attainment for End Sem Board Exam</t>
  </si>
  <si>
    <t>* Attainment Level</t>
  </si>
  <si>
    <t xml:space="preserve">     * Note  - For End Sem Board Exam., same attainment level is considered for all Cos.</t>
  </si>
  <si>
    <t>Internal  Evaluation of PA-Practical work, Micro-Project, PR-ESE</t>
  </si>
  <si>
    <r>
      <rPr>
        <b/>
        <u/>
        <sz val="16"/>
        <color theme="1"/>
        <rFont val="Times New Roman"/>
      </rPr>
      <t xml:space="preserve">                      </t>
    </r>
    <r>
      <rPr>
        <b/>
        <u/>
        <sz val="16"/>
        <color theme="1"/>
        <rFont val="Times New Roman"/>
      </rPr>
      <t>Direct Assessment</t>
    </r>
  </si>
  <si>
    <t>Academic Year:</t>
  </si>
  <si>
    <t>SLA
(Micro Project/Assignment Evaluation (max. marks )</t>
  </si>
  <si>
    <t>FA-PR
(Progressive Assessment -PA for Term work)  
(max marks )</t>
  </si>
  <si>
    <t>SA-PR
(Practical End Sem. Exam)    ( max. marks)</t>
  </si>
  <si>
    <t xml:space="preserve">Set Competency target as  % marks for                    each criteria </t>
  </si>
  <si>
    <t xml:space="preserve">Benchmark of Attainment level  against set target/ competency for above criteria </t>
  </si>
  <si>
    <t xml:space="preserve">* CO-wise  Attainment level </t>
  </si>
  <si>
    <t xml:space="preserve">For Micro-Project </t>
  </si>
  <si>
    <t xml:space="preserve">For PA-Term Work /Assignments </t>
  </si>
  <si>
    <t>For Practical End Sem. Exam</t>
  </si>
  <si>
    <t xml:space="preserve">Indirect Assessment through Course end Survey </t>
  </si>
  <si>
    <t>* Rating Scale : 5-Excellent, 4-Very good, 3- Good, 2-poor, 1-Very Poor</t>
  </si>
  <si>
    <t>Enrollment ID</t>
  </si>
  <si>
    <t># Course Exit Survey of students  ( * Rating Scale )</t>
  </si>
  <si>
    <t>Average rating score out of 5</t>
  </si>
  <si>
    <t xml:space="preserve"> % Average rating score</t>
  </si>
  <si>
    <t># For Course End Survey ,Survey results are deduced  from random sample size of 10 students approximately</t>
  </si>
  <si>
    <t xml:space="preserve"> for individual courses per semester.</t>
  </si>
  <si>
    <t xml:space="preserve">Benchmark of Attainment level  against average survey rating </t>
  </si>
  <si>
    <t xml:space="preserve">Average  rating  score &gt; = 40 % </t>
  </si>
  <si>
    <t xml:space="preserve">Average rating  score &gt; = 65 % </t>
  </si>
  <si>
    <t xml:space="preserve">Average  rating  score  &gt; = 80 % </t>
  </si>
  <si>
    <t>For Course ExirSurvey</t>
  </si>
  <si>
    <t xml:space="preserve">     * Note  - For Indirect assessment , As survey taken for overall rating of courses, hence </t>
  </si>
  <si>
    <t>same attainment level is considered for all Cos.</t>
  </si>
  <si>
    <t xml:space="preserve">CO -PO  Attainment </t>
  </si>
  <si>
    <t>Set Corelation  of CO-PO Mapping</t>
  </si>
  <si>
    <r>
      <rPr>
        <b/>
        <sz val="12"/>
        <color theme="1"/>
        <rFont val="Times New Roman"/>
      </rPr>
      <t xml:space="preserve">Strength of corelation : </t>
    </r>
    <r>
      <rPr>
        <sz val="12"/>
        <color theme="1"/>
        <rFont val="Times New Roman"/>
      </rPr>
      <t>3</t>
    </r>
    <r>
      <rPr>
        <b/>
        <sz val="12"/>
        <color theme="1"/>
        <rFont val="Times New Roman"/>
      </rPr>
      <t xml:space="preserve"> - </t>
    </r>
    <r>
      <rPr>
        <sz val="12"/>
        <color theme="1"/>
        <rFont val="Times New Roman"/>
      </rPr>
      <t>high (Substantial), 2- medium, 1- low</t>
    </r>
  </si>
  <si>
    <t>PO8</t>
  </si>
  <si>
    <t>PO9</t>
  </si>
  <si>
    <t>PO10</t>
  </si>
  <si>
    <t>Basic Knowledge</t>
  </si>
  <si>
    <t>Discipline Knowledge</t>
  </si>
  <si>
    <t>Experiments and Practice</t>
  </si>
  <si>
    <t>Engineering tools</t>
  </si>
  <si>
    <t>The Engineer and Society</t>
  </si>
  <si>
    <t>Environment and Sustainability</t>
  </si>
  <si>
    <t>Ethics</t>
  </si>
  <si>
    <t>Individual and Team work</t>
  </si>
  <si>
    <t>Communication</t>
  </si>
  <si>
    <t>Life-long learning</t>
  </si>
  <si>
    <t>Modern software Usage</t>
  </si>
  <si>
    <t>Measurement of  mechanical equipments</t>
  </si>
  <si>
    <t>Apply the laws of thermodynamics to devices based on thermodynamics</t>
  </si>
  <si>
    <t>Use first law of thermodynamic for ideal gas in closed systems</t>
  </si>
  <si>
    <t>Use relevant steam boilers</t>
  </si>
  <si>
    <t>Use relevant steam nozzles and turbines</t>
  </si>
  <si>
    <t>Use relevant steam condensers</t>
  </si>
  <si>
    <t>Use suitable modes for heat transfer</t>
  </si>
  <si>
    <t>Contribution to PO</t>
  </si>
  <si>
    <t>Course-PO attainment</t>
  </si>
  <si>
    <t xml:space="preserve"> % Course-PO attainment</t>
  </si>
  <si>
    <t>Overall CO Attainment</t>
  </si>
  <si>
    <t>Overall Course CO Attainment</t>
  </si>
  <si>
    <t xml:space="preserve">Final Direct Course Attainment Calculation </t>
  </si>
  <si>
    <t xml:space="preserve">Final Indirect Course Attainment Calculation </t>
  </si>
  <si>
    <r>
      <rPr>
        <sz val="11"/>
        <color theme="1"/>
        <rFont val="Calibri"/>
      </rPr>
      <t xml:space="preserve">                </t>
    </r>
    <r>
      <rPr>
        <b/>
        <sz val="11"/>
        <color theme="1"/>
        <rFont val="Calibri"/>
      </rPr>
      <t xml:space="preserve"> COS</t>
    </r>
  </si>
  <si>
    <t>Internal</t>
  </si>
  <si>
    <t>External</t>
  </si>
  <si>
    <t>Unit Tests</t>
  </si>
  <si>
    <t>PA_Term Work</t>
  </si>
  <si>
    <t xml:space="preserve">Micro- Project </t>
  </si>
  <si>
    <t>PR-ESE</t>
  </si>
  <si>
    <t>E.S.E Board</t>
  </si>
  <si>
    <t>Course Exit Survey</t>
  </si>
  <si>
    <t xml:space="preserve">Average Attainment </t>
  </si>
  <si>
    <t>Indiviual Weightage (%)</t>
  </si>
  <si>
    <t xml:space="preserve">Direct Total Attainment </t>
  </si>
  <si>
    <t xml:space="preserve">Total Direct Course Attainment </t>
  </si>
  <si>
    <t xml:space="preserve">Total Indirect Course Attainment </t>
  </si>
  <si>
    <t xml:space="preserve">Overall Weightage </t>
  </si>
  <si>
    <t xml:space="preserve">Weightage </t>
  </si>
  <si>
    <t xml:space="preserve">Final Direct Course Attainment </t>
  </si>
  <si>
    <t>Final  Indirect Course Attainment</t>
  </si>
  <si>
    <t>Overall Course CO Attainment (B)</t>
  </si>
  <si>
    <t>Template sheet is Prepared by Prof. A.B.Bhure</t>
  </si>
  <si>
    <t xml:space="preserve">L.M.E., P.L.G.P. Latur </t>
  </si>
  <si>
    <t>DIRECT CO ASSESSMENT TOOL/COURSE EVALUATION PLAN</t>
  </si>
  <si>
    <t>TH-PA</t>
  </si>
  <si>
    <t>FA-PR</t>
  </si>
  <si>
    <t>SA-PR</t>
  </si>
  <si>
    <t>TH-ESE</t>
  </si>
  <si>
    <t>TOTAL</t>
  </si>
  <si>
    <t>U.Test I</t>
  </si>
  <si>
    <t>U. Test II</t>
  </si>
  <si>
    <t>SLA</t>
  </si>
  <si>
    <t>Practical Exam</t>
  </si>
  <si>
    <t>MAX MARKS AS PER TEACHING SCHEME</t>
  </si>
  <si>
    <t>INDIVIDUAL WEIGHTAGE (%)</t>
  </si>
  <si>
    <r>
      <rPr>
        <sz val="11"/>
        <color theme="1"/>
        <rFont val="Calibri"/>
      </rPr>
      <t xml:space="preserve">                </t>
    </r>
    <r>
      <rPr>
        <b/>
        <sz val="11"/>
        <color theme="1"/>
        <rFont val="Calibri"/>
      </rPr>
      <t xml:space="preserve"> COS</t>
    </r>
  </si>
  <si>
    <t xml:space="preserve">CO -PO  Actual Attainment </t>
  </si>
  <si>
    <r>
      <rPr>
        <b/>
        <sz val="12"/>
        <color theme="1"/>
        <rFont val="Times New Roman"/>
      </rPr>
      <t xml:space="preserve">Strength of correlation : </t>
    </r>
    <r>
      <rPr>
        <sz val="12"/>
        <color theme="1"/>
        <rFont val="Times New Roman"/>
      </rPr>
      <t>3</t>
    </r>
    <r>
      <rPr>
        <b/>
        <sz val="12"/>
        <color theme="1"/>
        <rFont val="Times New Roman"/>
      </rPr>
      <t xml:space="preserve"> - </t>
    </r>
    <r>
      <rPr>
        <sz val="12"/>
        <color theme="1"/>
        <rFont val="Times New Roman"/>
      </rPr>
      <t>high (Substantial), 2- medium(moderate), 1- low, No relation : '-'</t>
    </r>
  </si>
  <si>
    <t>Average Contribution of each CO to each PO (A)</t>
  </si>
  <si>
    <t>Course CO-PO ACTUAL ATTAINMENT LEVEL= ((AxB)/3)</t>
  </si>
  <si>
    <t>Mapping Rationale</t>
  </si>
  <si>
    <t>PSO 1 (Software &amp; Hardware Usage) - Rated [3] for all:</t>
  </si>
  <si>
    <t>These COs involve the implementation, logic design, and algorithmic application of code, which falls directly under "Software Usage/Development."</t>
  </si>
  <si>
    <t>PSO 2 (Engineering Maintenance) - Rated [1 or 2]:</t>
  </si>
  <si>
    <r>
      <t xml:space="preserve">Data structures are the fundamental building blocks of </t>
    </r>
    <r>
      <rPr>
        <b/>
        <sz val="11"/>
        <color theme="1"/>
        <rFont val="Verdana"/>
        <family val="2"/>
      </rPr>
      <t>software development</t>
    </r>
    <r>
      <rPr>
        <sz val="11"/>
        <color theme="1"/>
        <rFont val="Verdana"/>
        <family val="2"/>
      </rPr>
      <t>.</t>
    </r>
  </si>
  <si>
    <t>Understanding these helps a developer troubleshoot software performance (e.g., why a search is slow), which is a key part of maintaining engineering standards.</t>
  </si>
  <si>
    <r>
      <t>Level 2:</t>
    </r>
    <r>
      <rPr>
        <sz val="11"/>
        <color theme="1"/>
        <rFont val="Verdana"/>
        <family val="2"/>
      </rPr>
      <t xml:space="preserve"> </t>
    </r>
  </si>
  <si>
    <t xml:space="preserve">Searching, Sorting, Stacks, and Queues are frequently used in performance optimization and system debugging. </t>
  </si>
  <si>
    <r>
      <t>Level 1:</t>
    </r>
    <r>
      <rPr>
        <sz val="11"/>
        <color theme="1"/>
        <rFont val="Verdana"/>
        <family val="2"/>
      </rPr>
      <t xml:space="preserve"> </t>
    </r>
  </si>
  <si>
    <t>Basic operations like simple array manipulation or tree traversal are foundational; while they are used in maintenance, they are less direct than the developmental aspects in PSO 1.</t>
  </si>
  <si>
    <t xml:space="preserve">          HOD COMPUTER ENGINEERING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</si>
</sst>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43" x14ac:knownFonts="1">
    <font>
      <sz val="11"/>
      <color theme="1"/>
      <name val="Calibri"/>
      <scheme val="minor"/>
    </font>
    <font>
      <sz val="18"/>
      <color theme="1"/>
      <name val="Algerian"/>
    </font>
    <font>
      <sz val="11"/>
      <color theme="1"/>
      <name val="Algerian"/>
    </font>
    <font>
      <sz val="11"/>
      <color theme="1"/>
      <name val="Calibri"/>
    </font>
    <font>
      <sz val="11"/>
      <color theme="1"/>
      <name val="Times New Roman"/>
    </font>
    <font>
      <sz val="11"/>
      <name val="Calibri"/>
    </font>
    <font>
      <b/>
      <sz val="12"/>
      <color theme="1"/>
      <name val="Times New Roman"/>
    </font>
    <font>
      <b/>
      <sz val="14"/>
      <color theme="1"/>
      <name val="Times New Roman"/>
    </font>
    <font>
      <b/>
      <sz val="9"/>
      <color theme="1"/>
      <name val="Times New Roman"/>
    </font>
    <font>
      <b/>
      <sz val="10"/>
      <color theme="1"/>
      <name val="Times New Roman"/>
    </font>
    <font>
      <sz val="10"/>
      <color theme="1"/>
      <name val="Times New Roman"/>
    </font>
    <font>
      <sz val="10"/>
      <color theme="1"/>
      <name val="Calibri"/>
    </font>
    <font>
      <b/>
      <sz val="11"/>
      <color rgb="FF000000"/>
      <name val="Times New Roman"/>
    </font>
    <font>
      <i/>
      <u/>
      <sz val="11"/>
      <color theme="1"/>
      <name val="Calibri"/>
    </font>
    <font>
      <i/>
      <u/>
      <sz val="11"/>
      <color theme="1"/>
      <name val="Calibri"/>
    </font>
    <font>
      <b/>
      <u/>
      <sz val="16"/>
      <color theme="1"/>
      <name val="Algerian"/>
    </font>
    <font>
      <b/>
      <sz val="11"/>
      <color theme="1"/>
      <name val="Times New Roman"/>
    </font>
    <font>
      <b/>
      <i/>
      <sz val="11"/>
      <color theme="1"/>
      <name val="Times New Roman"/>
    </font>
    <font>
      <sz val="12"/>
      <color theme="1"/>
      <name val="Calibri"/>
    </font>
    <font>
      <sz val="11"/>
      <color theme="1"/>
      <name val="Calibri"/>
      <scheme val="minor"/>
    </font>
    <font>
      <b/>
      <u/>
      <sz val="16"/>
      <color theme="1"/>
      <name val="Times New Roman"/>
    </font>
    <font>
      <b/>
      <u/>
      <sz val="16"/>
      <color theme="1"/>
      <name val="Times New Roman"/>
    </font>
    <font>
      <sz val="11"/>
      <color theme="1"/>
      <name val="Arial"/>
    </font>
    <font>
      <b/>
      <sz val="12"/>
      <color theme="1"/>
      <name val="Calibri"/>
    </font>
    <font>
      <b/>
      <sz val="11"/>
      <color theme="1"/>
      <name val="Calibri"/>
    </font>
    <font>
      <b/>
      <u/>
      <sz val="16"/>
      <color theme="1"/>
      <name val="Times New Roman"/>
    </font>
    <font>
      <sz val="11"/>
      <color rgb="FFFF0000"/>
      <name val="Times New Roman"/>
    </font>
    <font>
      <sz val="22"/>
      <color theme="1"/>
      <name val="Calibri"/>
    </font>
    <font>
      <b/>
      <sz val="18"/>
      <color rgb="FF7030A0"/>
      <name val="Calibri"/>
    </font>
    <font>
      <b/>
      <sz val="16"/>
      <color rgb="FF7030A0"/>
      <name val="Calibri"/>
    </font>
    <font>
      <i/>
      <sz val="11"/>
      <color theme="1"/>
      <name val="Calibri"/>
    </font>
    <font>
      <b/>
      <sz val="11"/>
      <color rgb="FF7030A0"/>
      <name val="Calibri"/>
    </font>
    <font>
      <sz val="11"/>
      <color rgb="FF7030A0"/>
      <name val="Calibri"/>
    </font>
    <font>
      <b/>
      <sz val="14"/>
      <color rgb="FF7030A0"/>
      <name val="Calibri"/>
    </font>
    <font>
      <b/>
      <sz val="16"/>
      <color theme="1"/>
      <name val="Calibri"/>
    </font>
    <font>
      <b/>
      <sz val="10"/>
      <color rgb="FF000000"/>
      <name val="Times New Roman"/>
    </font>
    <font>
      <sz val="12"/>
      <color theme="1"/>
      <name val="Times New Roman"/>
    </font>
    <font>
      <b/>
      <sz val="13.5"/>
      <color theme="1"/>
      <name val="Verdana"/>
      <family val="2"/>
    </font>
    <font>
      <sz val="11"/>
      <color theme="1"/>
      <name val="Verdana"/>
      <family val="2"/>
    </font>
    <font>
      <b/>
      <sz val="11"/>
      <color theme="1"/>
      <name val="Verdana"/>
      <family val="2"/>
    </font>
    <font>
      <sz val="11"/>
      <color theme="1"/>
      <name val="Calibri"/>
      <family val="2"/>
    </font>
    <font>
      <b/>
      <i/>
      <sz val="10"/>
      <color theme="1"/>
      <name val="Times New Roman"/>
      <family val="1"/>
    </font>
    <font>
      <b/>
      <i/>
      <sz val="11"/>
      <color theme="1"/>
      <name val="Times New Roman"/>
      <family val="1"/>
    </font>
  </fonts>
  <fills count="16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2F2F2"/>
        <bgColor rgb="FFF2F2F2"/>
      </patternFill>
    </fill>
    <fill>
      <patternFill patternType="solid">
        <fgColor rgb="FFFFFFCC"/>
        <bgColor rgb="FFFFFFCC"/>
      </patternFill>
    </fill>
    <fill>
      <patternFill patternType="solid">
        <fgColor theme="0"/>
        <bgColor theme="0"/>
      </patternFill>
    </fill>
    <fill>
      <patternFill patternType="solid">
        <fgColor rgb="FFCCECFF"/>
        <bgColor rgb="FFCCECFF"/>
      </patternFill>
    </fill>
    <fill>
      <patternFill patternType="solid">
        <fgColor rgb="FFF0EEE4"/>
        <bgColor rgb="FFF0EEE4"/>
      </patternFill>
    </fill>
    <fill>
      <patternFill patternType="solid">
        <fgColor rgb="FFFDE9D9"/>
        <bgColor rgb="FFFDE9D9"/>
      </patternFill>
    </fill>
    <fill>
      <patternFill patternType="solid">
        <fgColor rgb="FFECFFD9"/>
        <bgColor rgb="FFECFFD9"/>
      </patternFill>
    </fill>
    <fill>
      <patternFill patternType="solid">
        <fgColor rgb="FFFBE4FC"/>
        <bgColor rgb="FFFBE4FC"/>
      </patternFill>
    </fill>
    <fill>
      <patternFill patternType="solid">
        <fgColor rgb="FFE1FFFF"/>
        <bgColor rgb="FFE1FFFF"/>
      </patternFill>
    </fill>
    <fill>
      <patternFill patternType="solid">
        <fgColor rgb="FFFFE4C9"/>
        <bgColor rgb="FFFFE4C9"/>
      </patternFill>
    </fill>
    <fill>
      <patternFill patternType="solid">
        <fgColor rgb="FFFFFFFF"/>
        <bgColor rgb="FFFFFFFF"/>
      </patternFill>
    </fill>
    <fill>
      <patternFill patternType="solid">
        <fgColor rgb="FFCCFFFF"/>
        <bgColor rgb="FFCCFFFF"/>
      </patternFill>
    </fill>
    <fill>
      <patternFill patternType="solid">
        <fgColor rgb="FFFFFF00"/>
        <bgColor indexed="64"/>
      </patternFill>
    </fill>
  </fills>
  <borders count="94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45">
    <xf numFmtId="0" fontId="0" fillId="0" borderId="0" xfId="0" applyFont="1" applyAlignment="1"/>
    <xf numFmtId="0" fontId="1" fillId="2" borderId="1" xfId="0" applyFont="1" applyFill="1" applyBorder="1"/>
    <xf numFmtId="0" fontId="2" fillId="2" borderId="1" xfId="0" applyFont="1" applyFill="1" applyBorder="1"/>
    <xf numFmtId="0" fontId="3" fillId="2" borderId="1" xfId="0" applyFont="1" applyFill="1" applyBorder="1"/>
    <xf numFmtId="0" fontId="3" fillId="0" borderId="0" xfId="0" applyFont="1" applyAlignment="1"/>
    <xf numFmtId="0" fontId="3" fillId="0" borderId="0" xfId="0" applyFont="1" applyAlignment="1"/>
    <xf numFmtId="0" fontId="4" fillId="0" borderId="0" xfId="0" applyFont="1" applyAlignment="1">
      <alignment horizontal="right"/>
    </xf>
    <xf numFmtId="0" fontId="6" fillId="0" borderId="0" xfId="0" applyFont="1" applyAlignment="1"/>
    <xf numFmtId="0" fontId="7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3" fillId="0" borderId="0" xfId="0" applyFont="1"/>
    <xf numFmtId="0" fontId="6" fillId="0" borderId="0" xfId="0" applyFont="1" applyAlignment="1">
      <alignment vertical="center"/>
    </xf>
    <xf numFmtId="0" fontId="8" fillId="3" borderId="18" xfId="0" applyFont="1" applyFill="1" applyBorder="1" applyAlignment="1">
      <alignment horizontal="center" vertical="center" wrapText="1"/>
    </xf>
    <xf numFmtId="0" fontId="8" fillId="3" borderId="18" xfId="0" applyFont="1" applyFill="1" applyBorder="1" applyAlignment="1">
      <alignment horizontal="center" vertical="center" textRotation="90" wrapText="1"/>
    </xf>
    <xf numFmtId="0" fontId="9" fillId="3" borderId="22" xfId="0" applyFont="1" applyFill="1" applyBorder="1" applyAlignment="1">
      <alignment horizontal="center" vertical="center" wrapText="1"/>
    </xf>
    <xf numFmtId="0" fontId="9" fillId="3" borderId="18" xfId="0" applyFont="1" applyFill="1" applyBorder="1" applyAlignment="1">
      <alignment horizontal="center" vertical="center" wrapText="1"/>
    </xf>
    <xf numFmtId="0" fontId="8" fillId="3" borderId="23" xfId="0" applyFont="1" applyFill="1" applyBorder="1" applyAlignment="1">
      <alignment horizontal="center" vertical="center" wrapText="1"/>
    </xf>
    <xf numFmtId="0" fontId="10" fillId="2" borderId="18" xfId="0" applyFont="1" applyFill="1" applyBorder="1" applyAlignment="1">
      <alignment horizontal="center" vertical="center" wrapText="1"/>
    </xf>
    <xf numFmtId="0" fontId="11" fillId="2" borderId="18" xfId="0" applyFont="1" applyFill="1" applyBorder="1" applyAlignment="1">
      <alignment horizontal="center" vertical="center" wrapText="1"/>
    </xf>
    <xf numFmtId="0" fontId="10" fillId="2" borderId="18" xfId="0" applyFont="1" applyFill="1" applyBorder="1" applyAlignment="1">
      <alignment horizontal="center" vertical="center" wrapText="1"/>
    </xf>
    <xf numFmtId="0" fontId="8" fillId="3" borderId="22" xfId="0" applyFont="1" applyFill="1" applyBorder="1" applyAlignment="1">
      <alignment horizontal="center" vertical="center" wrapText="1"/>
    </xf>
    <xf numFmtId="0" fontId="9" fillId="3" borderId="19" xfId="0" applyFont="1" applyFill="1" applyBorder="1" applyAlignment="1">
      <alignment horizontal="center" vertical="center" wrapText="1"/>
    </xf>
    <xf numFmtId="0" fontId="9" fillId="3" borderId="21" xfId="0" applyFont="1" applyFill="1" applyBorder="1" applyAlignment="1">
      <alignment horizontal="center" vertical="center" wrapText="1"/>
    </xf>
    <xf numFmtId="0" fontId="8" fillId="3" borderId="19" xfId="0" applyFont="1" applyFill="1" applyBorder="1" applyAlignment="1">
      <alignment horizontal="center" vertical="center" wrapText="1"/>
    </xf>
    <xf numFmtId="0" fontId="9" fillId="4" borderId="18" xfId="0" applyFont="1" applyFill="1" applyBorder="1" applyAlignment="1">
      <alignment horizontal="center" vertical="center" wrapText="1"/>
    </xf>
    <xf numFmtId="2" fontId="9" fillId="4" borderId="18" xfId="0" applyNumberFormat="1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3" fillId="5" borderId="1" xfId="0" applyFont="1" applyFill="1" applyBorder="1"/>
    <xf numFmtId="0" fontId="4" fillId="0" borderId="0" xfId="0" applyFont="1"/>
    <xf numFmtId="0" fontId="4" fillId="0" borderId="0" xfId="0" applyFont="1" applyAlignment="1">
      <alignment horizontal="right" vertical="center"/>
    </xf>
    <xf numFmtId="0" fontId="6" fillId="6" borderId="4" xfId="0" applyFont="1" applyFill="1" applyBorder="1" applyAlignment="1">
      <alignment vertical="center" shrinkToFit="1"/>
    </xf>
    <xf numFmtId="0" fontId="16" fillId="2" borderId="4" xfId="0" applyFont="1" applyFill="1" applyBorder="1" applyAlignment="1">
      <alignment horizontal="center" vertical="center" wrapText="1"/>
    </xf>
    <xf numFmtId="0" fontId="17" fillId="2" borderId="4" xfId="0" applyFont="1" applyFill="1" applyBorder="1" applyAlignment="1">
      <alignment horizontal="center" vertical="center" shrinkToFit="1"/>
    </xf>
    <xf numFmtId="0" fontId="10" fillId="0" borderId="4" xfId="0" applyFont="1" applyBorder="1" applyAlignment="1">
      <alignment horizontal="center" vertical="center"/>
    </xf>
    <xf numFmtId="0" fontId="18" fillId="2" borderId="4" xfId="0" applyFont="1" applyFill="1" applyBorder="1" applyAlignment="1">
      <alignment horizontal="center"/>
    </xf>
    <xf numFmtId="0" fontId="18" fillId="2" borderId="4" xfId="0" applyFont="1" applyFill="1" applyBorder="1" applyAlignment="1"/>
    <xf numFmtId="0" fontId="4" fillId="2" borderId="4" xfId="0" applyFont="1" applyFill="1" applyBorder="1" applyAlignment="1">
      <alignment horizontal="center" vertical="center"/>
    </xf>
    <xf numFmtId="0" fontId="18" fillId="2" borderId="30" xfId="0" applyFont="1" applyFill="1" applyBorder="1" applyAlignment="1">
      <alignment horizontal="center"/>
    </xf>
    <xf numFmtId="0" fontId="18" fillId="2" borderId="30" xfId="0" applyFont="1" applyFill="1" applyBorder="1" applyAlignment="1"/>
    <xf numFmtId="0" fontId="19" fillId="2" borderId="0" xfId="0" applyFont="1" applyFill="1" applyAlignment="1">
      <alignment horizontal="center"/>
    </xf>
    <xf numFmtId="0" fontId="3" fillId="2" borderId="4" xfId="0" applyFont="1" applyFill="1" applyBorder="1" applyAlignment="1">
      <alignment horizontal="center" wrapText="1"/>
    </xf>
    <xf numFmtId="0" fontId="4" fillId="2" borderId="4" xfId="0" applyFont="1" applyFill="1" applyBorder="1" applyAlignment="1">
      <alignment horizontal="center" vertical="center"/>
    </xf>
    <xf numFmtId="9" fontId="6" fillId="0" borderId="17" xfId="0" applyNumberFormat="1" applyFont="1" applyBorder="1" applyAlignment="1">
      <alignment vertical="center"/>
    </xf>
    <xf numFmtId="0" fontId="16" fillId="3" borderId="34" xfId="0" applyFont="1" applyFill="1" applyBorder="1" applyAlignment="1">
      <alignment vertical="center" wrapText="1"/>
    </xf>
    <xf numFmtId="0" fontId="4" fillId="0" borderId="39" xfId="0" applyFont="1" applyBorder="1" applyAlignment="1">
      <alignment horizontal="left" vertical="center"/>
    </xf>
    <xf numFmtId="164" fontId="4" fillId="3" borderId="40" xfId="0" applyNumberFormat="1" applyFont="1" applyFill="1" applyBorder="1" applyAlignment="1">
      <alignment horizontal="center" vertical="center"/>
    </xf>
    <xf numFmtId="164" fontId="4" fillId="3" borderId="44" xfId="0" applyNumberFormat="1" applyFont="1" applyFill="1" applyBorder="1" applyAlignment="1">
      <alignment horizontal="center" vertical="center"/>
    </xf>
    <xf numFmtId="0" fontId="4" fillId="0" borderId="14" xfId="0" applyFont="1" applyBorder="1" applyAlignment="1">
      <alignment horizontal="left" vertical="center"/>
    </xf>
    <xf numFmtId="164" fontId="4" fillId="3" borderId="18" xfId="0" applyNumberFormat="1" applyFont="1" applyFill="1" applyBorder="1" applyAlignment="1">
      <alignment horizontal="center" vertical="center"/>
    </xf>
    <xf numFmtId="0" fontId="4" fillId="3" borderId="1" xfId="0" applyFont="1" applyFill="1" applyBorder="1"/>
    <xf numFmtId="0" fontId="6" fillId="3" borderId="50" xfId="0" applyFont="1" applyFill="1" applyBorder="1" applyAlignment="1">
      <alignment horizontal="center" vertical="center"/>
    </xf>
    <xf numFmtId="0" fontId="16" fillId="3" borderId="51" xfId="0" applyFont="1" applyFill="1" applyBorder="1" applyAlignment="1">
      <alignment horizontal="center" vertical="center"/>
    </xf>
    <xf numFmtId="0" fontId="16" fillId="3" borderId="52" xfId="0" applyFont="1" applyFill="1" applyBorder="1" applyAlignment="1">
      <alignment horizontal="center" vertical="center"/>
    </xf>
    <xf numFmtId="0" fontId="6" fillId="3" borderId="53" xfId="0" applyFont="1" applyFill="1" applyBorder="1" applyAlignment="1">
      <alignment horizontal="center" vertical="center"/>
    </xf>
    <xf numFmtId="0" fontId="4" fillId="3" borderId="54" xfId="0" applyFont="1" applyFill="1" applyBorder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16" fillId="0" borderId="4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/>
    </xf>
    <xf numFmtId="0" fontId="4" fillId="0" borderId="4" xfId="0" applyFont="1" applyBorder="1" applyAlignment="1">
      <alignment horizontal="left" vertical="center" wrapText="1"/>
    </xf>
    <xf numFmtId="0" fontId="22" fillId="2" borderId="4" xfId="0" applyFont="1" applyFill="1" applyBorder="1" applyAlignment="1">
      <alignment horizontal="center"/>
    </xf>
    <xf numFmtId="0" fontId="23" fillId="3" borderId="55" xfId="0" applyFont="1" applyFill="1" applyBorder="1" applyAlignment="1">
      <alignment horizontal="center" vertical="center" wrapText="1"/>
    </xf>
    <xf numFmtId="0" fontId="23" fillId="2" borderId="22" xfId="0" applyFont="1" applyFill="1" applyBorder="1" applyAlignment="1">
      <alignment horizontal="center" vertical="center" wrapText="1"/>
    </xf>
    <xf numFmtId="0" fontId="23" fillId="3" borderId="23" xfId="0" applyFont="1" applyFill="1" applyBorder="1" applyAlignment="1">
      <alignment horizontal="center" vertical="center" wrapText="1"/>
    </xf>
    <xf numFmtId="0" fontId="24" fillId="3" borderId="23" xfId="0" applyFont="1" applyFill="1" applyBorder="1" applyAlignment="1">
      <alignment horizontal="center" vertical="center"/>
    </xf>
    <xf numFmtId="0" fontId="23" fillId="0" borderId="0" xfId="0" applyFont="1" applyAlignment="1">
      <alignment horizontal="center" vertical="center" wrapText="1"/>
    </xf>
    <xf numFmtId="0" fontId="24" fillId="0" borderId="0" xfId="0" applyFont="1" applyAlignment="1">
      <alignment horizontal="center" vertical="center"/>
    </xf>
    <xf numFmtId="0" fontId="16" fillId="3" borderId="23" xfId="0" applyFont="1" applyFill="1" applyBorder="1" applyAlignment="1">
      <alignment horizontal="center" vertical="center" wrapText="1"/>
    </xf>
    <xf numFmtId="0" fontId="16" fillId="3" borderId="23" xfId="0" applyFont="1" applyFill="1" applyBorder="1" applyAlignment="1">
      <alignment horizontal="center" vertical="center"/>
    </xf>
    <xf numFmtId="0" fontId="3" fillId="3" borderId="1" xfId="0" applyFont="1" applyFill="1" applyBorder="1"/>
    <xf numFmtId="9" fontId="4" fillId="0" borderId="56" xfId="0" applyNumberFormat="1" applyFont="1" applyBorder="1" applyAlignment="1">
      <alignment vertical="center"/>
    </xf>
    <xf numFmtId="0" fontId="4" fillId="3" borderId="40" xfId="0" applyFont="1" applyFill="1" applyBorder="1" applyAlignment="1">
      <alignment vertical="center"/>
    </xf>
    <xf numFmtId="0" fontId="16" fillId="3" borderId="58" xfId="0" applyFont="1" applyFill="1" applyBorder="1" applyAlignment="1">
      <alignment horizontal="center" vertical="center"/>
    </xf>
    <xf numFmtId="9" fontId="4" fillId="0" borderId="5" xfId="0" applyNumberFormat="1" applyFont="1" applyBorder="1" applyAlignment="1">
      <alignment vertical="center"/>
    </xf>
    <xf numFmtId="0" fontId="4" fillId="3" borderId="60" xfId="0" applyFont="1" applyFill="1" applyBorder="1" applyAlignment="1">
      <alignment vertical="center"/>
    </xf>
    <xf numFmtId="0" fontId="16" fillId="3" borderId="61" xfId="0" applyFont="1" applyFill="1" applyBorder="1" applyAlignment="1">
      <alignment horizontal="center" vertical="center"/>
    </xf>
    <xf numFmtId="9" fontId="4" fillId="0" borderId="62" xfId="0" applyNumberFormat="1" applyFont="1" applyBorder="1" applyAlignment="1">
      <alignment vertical="center"/>
    </xf>
    <xf numFmtId="0" fontId="4" fillId="3" borderId="64" xfId="0" applyFont="1" applyFill="1" applyBorder="1" applyAlignment="1">
      <alignment vertical="center"/>
    </xf>
    <xf numFmtId="0" fontId="16" fillId="3" borderId="65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25" fillId="0" borderId="0" xfId="0" applyFont="1" applyAlignment="1">
      <alignment vertical="top"/>
    </xf>
    <xf numFmtId="0" fontId="16" fillId="2" borderId="4" xfId="0" applyFont="1" applyFill="1" applyBorder="1" applyAlignment="1">
      <alignment horizontal="center" vertical="center" wrapText="1"/>
    </xf>
    <xf numFmtId="0" fontId="4" fillId="0" borderId="4" xfId="0" applyFont="1" applyBorder="1" applyAlignment="1">
      <alignment horizontal="left" vertical="center"/>
    </xf>
    <xf numFmtId="0" fontId="23" fillId="3" borderId="55" xfId="0" applyFont="1" applyFill="1" applyBorder="1" applyAlignment="1">
      <alignment horizontal="left" vertical="center" wrapText="1"/>
    </xf>
    <xf numFmtId="0" fontId="23" fillId="0" borderId="19" xfId="0" applyFont="1" applyBorder="1" applyAlignment="1">
      <alignment horizontal="center" vertical="center" wrapText="1"/>
    </xf>
    <xf numFmtId="0" fontId="16" fillId="3" borderId="23" xfId="0" applyFont="1" applyFill="1" applyBorder="1" applyAlignment="1">
      <alignment vertical="center" wrapText="1"/>
    </xf>
    <xf numFmtId="9" fontId="4" fillId="0" borderId="56" xfId="0" applyNumberFormat="1" applyFont="1" applyBorder="1" applyAlignment="1">
      <alignment vertical="center"/>
    </xf>
    <xf numFmtId="0" fontId="4" fillId="3" borderId="69" xfId="0" applyFont="1" applyFill="1" applyBorder="1" applyAlignment="1">
      <alignment horizontal="center" vertical="center"/>
    </xf>
    <xf numFmtId="9" fontId="4" fillId="0" borderId="5" xfId="0" applyNumberFormat="1" applyFont="1" applyBorder="1" applyAlignment="1">
      <alignment vertical="center"/>
    </xf>
    <xf numFmtId="0" fontId="4" fillId="3" borderId="70" xfId="0" applyFont="1" applyFill="1" applyBorder="1" applyAlignment="1">
      <alignment horizontal="center" vertical="center"/>
    </xf>
    <xf numFmtId="9" fontId="4" fillId="0" borderId="62" xfId="0" applyNumberFormat="1" applyFont="1" applyBorder="1" applyAlignment="1">
      <alignment vertical="center"/>
    </xf>
    <xf numFmtId="0" fontId="4" fillId="3" borderId="64" xfId="0" applyFont="1" applyFill="1" applyBorder="1" applyAlignment="1">
      <alignment horizontal="center" vertical="center"/>
    </xf>
    <xf numFmtId="0" fontId="16" fillId="3" borderId="72" xfId="0" applyFont="1" applyFill="1" applyBorder="1" applyAlignment="1">
      <alignment horizontal="center" vertical="center"/>
    </xf>
    <xf numFmtId="0" fontId="16" fillId="3" borderId="73" xfId="0" applyFont="1" applyFill="1" applyBorder="1" applyAlignment="1">
      <alignment horizontal="center" vertical="center"/>
    </xf>
    <xf numFmtId="0" fontId="4" fillId="3" borderId="51" xfId="0" applyFont="1" applyFill="1" applyBorder="1" applyAlignment="1">
      <alignment horizontal="center" vertical="center"/>
    </xf>
    <xf numFmtId="0" fontId="4" fillId="3" borderId="52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0" fontId="4" fillId="3" borderId="74" xfId="0" applyFont="1" applyFill="1" applyBorder="1" applyAlignment="1">
      <alignment horizontal="center" vertical="center"/>
    </xf>
    <xf numFmtId="0" fontId="4" fillId="3" borderId="75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23" fillId="0" borderId="0" xfId="0" applyFont="1"/>
    <xf numFmtId="0" fontId="17" fillId="6" borderId="22" xfId="0" applyFont="1" applyFill="1" applyBorder="1" applyAlignment="1">
      <alignment horizontal="center" vertical="center" wrapText="1"/>
    </xf>
    <xf numFmtId="0" fontId="4" fillId="0" borderId="58" xfId="0" applyFont="1" applyBorder="1" applyAlignment="1">
      <alignment horizontal="center" vertical="center"/>
    </xf>
    <xf numFmtId="0" fontId="4" fillId="0" borderId="61" xfId="0" applyFont="1" applyBorder="1" applyAlignment="1">
      <alignment horizontal="center" vertical="center"/>
    </xf>
    <xf numFmtId="0" fontId="26" fillId="0" borderId="61" xfId="0" applyFont="1" applyBorder="1" applyAlignment="1">
      <alignment horizontal="center" vertical="center"/>
    </xf>
    <xf numFmtId="0" fontId="4" fillId="0" borderId="65" xfId="0" applyFont="1" applyBorder="1" applyAlignment="1">
      <alignment horizontal="center" vertical="center"/>
    </xf>
    <xf numFmtId="0" fontId="4" fillId="4" borderId="23" xfId="0" applyFont="1" applyFill="1" applyBorder="1" applyAlignment="1">
      <alignment horizontal="center" vertical="center"/>
    </xf>
    <xf numFmtId="0" fontId="3" fillId="4" borderId="23" xfId="0" applyFont="1" applyFill="1" applyBorder="1" applyAlignment="1">
      <alignment horizontal="center"/>
    </xf>
    <xf numFmtId="0" fontId="16" fillId="0" borderId="23" xfId="0" applyFont="1" applyBorder="1" applyAlignment="1">
      <alignment horizontal="center" vertical="center"/>
    </xf>
    <xf numFmtId="0" fontId="16" fillId="0" borderId="58" xfId="0" applyFont="1" applyBorder="1" applyAlignment="1">
      <alignment horizontal="center" vertical="center"/>
    </xf>
    <xf numFmtId="0" fontId="16" fillId="0" borderId="61" xfId="0" applyFont="1" applyBorder="1" applyAlignment="1">
      <alignment horizontal="center" vertical="center"/>
    </xf>
    <xf numFmtId="0" fontId="16" fillId="0" borderId="65" xfId="0" applyFont="1" applyBorder="1" applyAlignment="1">
      <alignment horizontal="center" vertical="center"/>
    </xf>
    <xf numFmtId="0" fontId="16" fillId="2" borderId="72" xfId="0" applyFont="1" applyFill="1" applyBorder="1" applyAlignment="1">
      <alignment horizontal="center" vertical="center"/>
    </xf>
    <xf numFmtId="0" fontId="16" fillId="2" borderId="73" xfId="0" applyFont="1" applyFill="1" applyBorder="1" applyAlignment="1">
      <alignment horizontal="center" vertical="center"/>
    </xf>
    <xf numFmtId="0" fontId="4" fillId="2" borderId="51" xfId="0" applyFont="1" applyFill="1" applyBorder="1" applyAlignment="1">
      <alignment horizontal="center" vertical="center"/>
    </xf>
    <xf numFmtId="0" fontId="4" fillId="2" borderId="52" xfId="0" applyFont="1" applyFill="1" applyBorder="1" applyAlignment="1">
      <alignment horizontal="center" vertical="center"/>
    </xf>
    <xf numFmtId="0" fontId="27" fillId="2" borderId="1" xfId="0" applyFont="1" applyFill="1" applyBorder="1"/>
    <xf numFmtId="0" fontId="8" fillId="3" borderId="23" xfId="0" applyFont="1" applyFill="1" applyBorder="1" applyAlignment="1">
      <alignment horizontal="center" vertical="center" textRotation="90" wrapText="1"/>
    </xf>
    <xf numFmtId="0" fontId="8" fillId="3" borderId="34" xfId="0" applyFont="1" applyFill="1" applyBorder="1" applyAlignment="1">
      <alignment horizontal="center" vertical="center" textRotation="90" wrapText="1"/>
    </xf>
    <xf numFmtId="0" fontId="9" fillId="0" borderId="19" xfId="0" applyFont="1" applyBorder="1" applyAlignment="1">
      <alignment horizontal="center" vertical="center" wrapText="1"/>
    </xf>
    <xf numFmtId="0" fontId="10" fillId="0" borderId="21" xfId="0" applyFont="1" applyBorder="1" applyAlignment="1">
      <alignment horizontal="center" vertical="center" wrapText="1"/>
    </xf>
    <xf numFmtId="0" fontId="9" fillId="0" borderId="21" xfId="0" applyFont="1" applyBorder="1" applyAlignment="1">
      <alignment horizontal="center" vertical="center" wrapText="1"/>
    </xf>
    <xf numFmtId="0" fontId="9" fillId="2" borderId="18" xfId="0" applyFont="1" applyFill="1" applyBorder="1" applyAlignment="1">
      <alignment horizontal="center" vertical="center" wrapText="1"/>
    </xf>
    <xf numFmtId="0" fontId="28" fillId="0" borderId="0" xfId="0" applyFont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3" fillId="0" borderId="81" xfId="0" applyFont="1" applyBorder="1" applyAlignment="1">
      <alignment horizontal="center" vertical="center" wrapText="1"/>
    </xf>
    <xf numFmtId="0" fontId="3" fillId="0" borderId="72" xfId="0" applyFont="1" applyBorder="1" applyAlignment="1">
      <alignment horizontal="center" vertical="center" wrapText="1"/>
    </xf>
    <xf numFmtId="0" fontId="3" fillId="0" borderId="73" xfId="0" applyFont="1" applyBorder="1" applyAlignment="1">
      <alignment horizontal="center" vertical="center"/>
    </xf>
    <xf numFmtId="0" fontId="3" fillId="0" borderId="23" xfId="0" applyFont="1" applyBorder="1" applyAlignment="1">
      <alignment horizontal="center" vertical="center"/>
    </xf>
    <xf numFmtId="0" fontId="24" fillId="0" borderId="58" xfId="0" applyFont="1" applyBorder="1" applyAlignment="1">
      <alignment horizontal="center" vertical="center"/>
    </xf>
    <xf numFmtId="0" fontId="3" fillId="0" borderId="67" xfId="0" applyFont="1" applyBorder="1" applyAlignment="1">
      <alignment horizontal="center" vertical="center"/>
    </xf>
    <xf numFmtId="0" fontId="3" fillId="0" borderId="51" xfId="0" applyFont="1" applyBorder="1" applyAlignment="1">
      <alignment horizontal="center" vertical="center"/>
    </xf>
    <xf numFmtId="0" fontId="3" fillId="0" borderId="52" xfId="0" applyFont="1" applyBorder="1" applyAlignment="1">
      <alignment horizontal="center" vertical="center"/>
    </xf>
    <xf numFmtId="0" fontId="24" fillId="0" borderId="61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74" xfId="0" applyFont="1" applyBorder="1" applyAlignment="1">
      <alignment horizontal="center" vertical="center"/>
    </xf>
    <xf numFmtId="0" fontId="24" fillId="0" borderId="65" xfId="0" applyFont="1" applyBorder="1" applyAlignment="1">
      <alignment horizontal="center" vertical="center"/>
    </xf>
    <xf numFmtId="0" fontId="3" fillId="0" borderId="68" xfId="0" applyFont="1" applyBorder="1" applyAlignment="1">
      <alignment horizontal="center" vertical="center"/>
    </xf>
    <xf numFmtId="0" fontId="3" fillId="0" borderId="54" xfId="0" applyFont="1" applyBorder="1" applyAlignment="1">
      <alignment horizontal="center" vertical="center"/>
    </xf>
    <xf numFmtId="0" fontId="3" fillId="0" borderId="75" xfId="0" applyFont="1" applyBorder="1" applyAlignment="1">
      <alignment horizontal="center" vertical="center"/>
    </xf>
    <xf numFmtId="0" fontId="24" fillId="0" borderId="61" xfId="0" applyFont="1" applyBorder="1" applyAlignment="1">
      <alignment horizontal="center" vertical="center" wrapText="1"/>
    </xf>
    <xf numFmtId="0" fontId="30" fillId="14" borderId="82" xfId="0" applyFont="1" applyFill="1" applyBorder="1" applyAlignment="1">
      <alignment horizontal="center" vertical="center"/>
    </xf>
    <xf numFmtId="0" fontId="24" fillId="0" borderId="65" xfId="0" applyFont="1" applyBorder="1" applyAlignment="1">
      <alignment horizontal="center" vertical="center" wrapText="1"/>
    </xf>
    <xf numFmtId="0" fontId="32" fillId="0" borderId="23" xfId="0" applyFont="1" applyBorder="1" applyAlignment="1">
      <alignment horizontal="center" vertical="center"/>
    </xf>
    <xf numFmtId="0" fontId="31" fillId="0" borderId="23" xfId="0" applyFont="1" applyBorder="1" applyAlignment="1">
      <alignment horizontal="center" vertical="center" wrapText="1"/>
    </xf>
    <xf numFmtId="9" fontId="32" fillId="0" borderId="23" xfId="0" applyNumberFormat="1" applyFont="1" applyBorder="1" applyAlignment="1">
      <alignment horizontal="center" vertical="center"/>
    </xf>
    <xf numFmtId="0" fontId="31" fillId="0" borderId="23" xfId="0" applyFont="1" applyBorder="1" applyAlignment="1">
      <alignment horizontal="center" vertical="center"/>
    </xf>
    <xf numFmtId="0" fontId="33" fillId="0" borderId="12" xfId="0" applyFont="1" applyBorder="1" applyAlignment="1">
      <alignment vertical="center"/>
    </xf>
    <xf numFmtId="0" fontId="33" fillId="0" borderId="14" xfId="0" applyFont="1" applyBorder="1" applyAlignment="1">
      <alignment vertical="center"/>
    </xf>
    <xf numFmtId="0" fontId="3" fillId="3" borderId="51" xfId="0" applyFont="1" applyFill="1" applyBorder="1" applyAlignment="1">
      <alignment horizontal="center" vertical="center"/>
    </xf>
    <xf numFmtId="0" fontId="3" fillId="3" borderId="54" xfId="0" applyFont="1" applyFill="1" applyBorder="1" applyAlignment="1">
      <alignment horizontal="center" vertical="center" wrapText="1"/>
    </xf>
    <xf numFmtId="0" fontId="3" fillId="3" borderId="54" xfId="0" applyFont="1" applyFill="1" applyBorder="1" applyAlignment="1">
      <alignment horizontal="center" vertical="center"/>
    </xf>
    <xf numFmtId="0" fontId="3" fillId="2" borderId="51" xfId="0" applyFont="1" applyFill="1" applyBorder="1" applyAlignment="1">
      <alignment horizontal="center" vertical="center"/>
    </xf>
    <xf numFmtId="0" fontId="3" fillId="2" borderId="51" xfId="0" applyFont="1" applyFill="1" applyBorder="1" applyAlignment="1">
      <alignment horizontal="center" vertical="center"/>
    </xf>
    <xf numFmtId="2" fontId="3" fillId="3" borderId="54" xfId="0" applyNumberFormat="1" applyFont="1" applyFill="1" applyBorder="1" applyAlignment="1">
      <alignment horizontal="center" vertical="center"/>
    </xf>
    <xf numFmtId="2" fontId="3" fillId="3" borderId="87" xfId="0" applyNumberFormat="1" applyFont="1" applyFill="1" applyBorder="1" applyAlignment="1">
      <alignment horizontal="center" vertical="center"/>
    </xf>
    <xf numFmtId="0" fontId="3" fillId="3" borderId="88" xfId="0" applyFont="1" applyFill="1" applyBorder="1" applyAlignment="1">
      <alignment vertical="center"/>
    </xf>
    <xf numFmtId="0" fontId="3" fillId="3" borderId="89" xfId="0" applyFont="1" applyFill="1" applyBorder="1" applyAlignment="1">
      <alignment horizontal="center" vertical="center"/>
    </xf>
    <xf numFmtId="0" fontId="3" fillId="3" borderId="89" xfId="0" applyFont="1" applyFill="1" applyBorder="1" applyAlignment="1">
      <alignment vertical="center"/>
    </xf>
    <xf numFmtId="0" fontId="3" fillId="3" borderId="90" xfId="0" applyFont="1" applyFill="1" applyBorder="1" applyAlignment="1">
      <alignment vertical="center"/>
    </xf>
    <xf numFmtId="0" fontId="3" fillId="3" borderId="18" xfId="0" applyFont="1" applyFill="1" applyBorder="1" applyAlignment="1">
      <alignment horizontal="center" vertical="center"/>
    </xf>
    <xf numFmtId="0" fontId="3" fillId="3" borderId="81" xfId="0" applyFont="1" applyFill="1" applyBorder="1" applyAlignment="1">
      <alignment horizontal="center" vertical="center" wrapText="1"/>
    </xf>
    <xf numFmtId="0" fontId="3" fillId="3" borderId="72" xfId="0" applyFont="1" applyFill="1" applyBorder="1" applyAlignment="1">
      <alignment horizontal="center" vertical="center" wrapText="1"/>
    </xf>
    <xf numFmtId="0" fontId="3" fillId="3" borderId="72" xfId="0" applyFont="1" applyFill="1" applyBorder="1" applyAlignment="1">
      <alignment horizontal="center" vertical="center"/>
    </xf>
    <xf numFmtId="0" fontId="3" fillId="3" borderId="34" xfId="0" applyFont="1" applyFill="1" applyBorder="1" applyAlignment="1">
      <alignment horizontal="center" vertical="center"/>
    </xf>
    <xf numFmtId="0" fontId="24" fillId="3" borderId="58" xfId="0" applyFont="1" applyFill="1" applyBorder="1" applyAlignment="1">
      <alignment horizontal="center" vertical="center"/>
    </xf>
    <xf numFmtId="0" fontId="3" fillId="3" borderId="91" xfId="0" applyFont="1" applyFill="1" applyBorder="1" applyAlignment="1">
      <alignment horizontal="center" vertical="center"/>
    </xf>
    <xf numFmtId="0" fontId="3" fillId="3" borderId="52" xfId="0" applyFont="1" applyFill="1" applyBorder="1" applyAlignment="1">
      <alignment horizontal="center" vertical="center"/>
    </xf>
    <xf numFmtId="0" fontId="24" fillId="3" borderId="61" xfId="0" applyFont="1" applyFill="1" applyBorder="1" applyAlignment="1">
      <alignment horizontal="center" vertical="center"/>
    </xf>
    <xf numFmtId="0" fontId="3" fillId="3" borderId="82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3" borderId="74" xfId="0" applyFont="1" applyFill="1" applyBorder="1" applyAlignment="1">
      <alignment horizontal="center" vertical="center"/>
    </xf>
    <xf numFmtId="0" fontId="24" fillId="3" borderId="65" xfId="0" applyFont="1" applyFill="1" applyBorder="1" applyAlignment="1">
      <alignment horizontal="center" vertical="center"/>
    </xf>
    <xf numFmtId="0" fontId="3" fillId="3" borderId="92" xfId="0" applyFont="1" applyFill="1" applyBorder="1" applyAlignment="1">
      <alignment horizontal="center" vertical="center"/>
    </xf>
    <xf numFmtId="0" fontId="3" fillId="3" borderId="75" xfId="0" applyFont="1" applyFill="1" applyBorder="1" applyAlignment="1">
      <alignment horizontal="center" vertical="center"/>
    </xf>
    <xf numFmtId="0" fontId="24" fillId="3" borderId="61" xfId="0" applyFont="1" applyFill="1" applyBorder="1" applyAlignment="1">
      <alignment horizontal="center" vertical="center" wrapText="1"/>
    </xf>
    <xf numFmtId="2" fontId="30" fillId="3" borderId="82" xfId="0" applyNumberFormat="1" applyFont="1" applyFill="1" applyBorder="1" applyAlignment="1">
      <alignment horizontal="center" vertical="center"/>
    </xf>
    <xf numFmtId="0" fontId="24" fillId="3" borderId="65" xfId="0" applyFont="1" applyFill="1" applyBorder="1" applyAlignment="1">
      <alignment horizontal="center" vertical="center" wrapText="1"/>
    </xf>
    <xf numFmtId="2" fontId="3" fillId="3" borderId="92" xfId="0" applyNumberFormat="1" applyFont="1" applyFill="1" applyBorder="1" applyAlignment="1">
      <alignment horizontal="center" vertical="center"/>
    </xf>
    <xf numFmtId="2" fontId="32" fillId="3" borderId="23" xfId="0" applyNumberFormat="1" applyFont="1" applyFill="1" applyBorder="1" applyAlignment="1">
      <alignment horizontal="center" vertical="center"/>
    </xf>
    <xf numFmtId="0" fontId="31" fillId="3" borderId="23" xfId="0" applyFont="1" applyFill="1" applyBorder="1" applyAlignment="1">
      <alignment horizontal="center" vertical="center" wrapText="1"/>
    </xf>
    <xf numFmtId="0" fontId="32" fillId="3" borderId="23" xfId="0" applyFont="1" applyFill="1" applyBorder="1" applyAlignment="1">
      <alignment horizontal="center" vertical="center"/>
    </xf>
    <xf numFmtId="9" fontId="32" fillId="3" borderId="23" xfId="0" applyNumberFormat="1" applyFont="1" applyFill="1" applyBorder="1" applyAlignment="1">
      <alignment horizontal="center" vertical="center"/>
    </xf>
    <xf numFmtId="0" fontId="31" fillId="3" borderId="23" xfId="0" applyFont="1" applyFill="1" applyBorder="1" applyAlignment="1">
      <alignment horizontal="center" vertical="center"/>
    </xf>
    <xf numFmtId="2" fontId="33" fillId="4" borderId="88" xfId="0" applyNumberFormat="1" applyFont="1" applyFill="1" applyBorder="1" applyAlignment="1">
      <alignment vertical="center"/>
    </xf>
    <xf numFmtId="0" fontId="33" fillId="4" borderId="34" xfId="0" applyFont="1" applyFill="1" applyBorder="1" applyAlignment="1">
      <alignment vertical="center"/>
    </xf>
    <xf numFmtId="0" fontId="8" fillId="3" borderId="18" xfId="0" applyFont="1" applyFill="1" applyBorder="1" applyAlignment="1">
      <alignment horizontal="center" textRotation="90" wrapText="1"/>
    </xf>
    <xf numFmtId="0" fontId="10" fillId="3" borderId="18" xfId="0" applyFont="1" applyFill="1" applyBorder="1" applyAlignment="1">
      <alignment horizontal="center" vertical="center" wrapText="1"/>
    </xf>
    <xf numFmtId="0" fontId="35" fillId="4" borderId="18" xfId="0" applyFont="1" applyFill="1" applyBorder="1" applyAlignment="1">
      <alignment horizontal="center" vertical="center" wrapText="1"/>
    </xf>
    <xf numFmtId="2" fontId="3" fillId="0" borderId="0" xfId="0" applyNumberFormat="1" applyFont="1"/>
    <xf numFmtId="0" fontId="6" fillId="3" borderId="10" xfId="0" applyFont="1" applyFill="1" applyBorder="1" applyAlignment="1">
      <alignment horizontal="center" vertical="center" wrapText="1"/>
    </xf>
    <xf numFmtId="0" fontId="5" fillId="0" borderId="11" xfId="0" applyFont="1" applyBorder="1"/>
    <xf numFmtId="0" fontId="5" fillId="0" borderId="16" xfId="0" applyFont="1" applyBorder="1"/>
    <xf numFmtId="0" fontId="5" fillId="0" borderId="17" xfId="0" applyFont="1" applyBorder="1"/>
    <xf numFmtId="0" fontId="5" fillId="0" borderId="20" xfId="0" applyFont="1" applyBorder="1"/>
    <xf numFmtId="0" fontId="5" fillId="0" borderId="21" xfId="0" applyFont="1" applyBorder="1"/>
    <xf numFmtId="0" fontId="12" fillId="3" borderId="12" xfId="0" applyFont="1" applyFill="1" applyBorder="1" applyAlignment="1">
      <alignment horizontal="center" vertical="center" wrapText="1"/>
    </xf>
    <xf numFmtId="0" fontId="5" fillId="0" borderId="13" xfId="0" applyFont="1" applyBorder="1"/>
    <xf numFmtId="0" fontId="5" fillId="0" borderId="14" xfId="0" applyFont="1" applyBorder="1"/>
    <xf numFmtId="0" fontId="12" fillId="4" borderId="12" xfId="0" applyFont="1" applyFill="1" applyBorder="1" applyAlignment="1">
      <alignment horizontal="center" vertical="center" wrapText="1"/>
    </xf>
    <xf numFmtId="0" fontId="3" fillId="0" borderId="26" xfId="0" applyFont="1" applyBorder="1" applyAlignment="1">
      <alignment horizontal="center" vertical="center"/>
    </xf>
    <xf numFmtId="0" fontId="5" fillId="0" borderId="26" xfId="0" applyFont="1" applyBorder="1"/>
    <xf numFmtId="0" fontId="13" fillId="0" borderId="27" xfId="0" applyFont="1" applyBorder="1" applyAlignment="1">
      <alignment horizontal="center" vertical="center"/>
    </xf>
    <xf numFmtId="0" fontId="0" fillId="0" borderId="0" xfId="0" applyFont="1" applyAlignment="1"/>
    <xf numFmtId="0" fontId="14" fillId="0" borderId="27" xfId="0" applyFont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3" fillId="5" borderId="24" xfId="0" applyFont="1" applyFill="1" applyBorder="1" applyAlignment="1">
      <alignment horizontal="center"/>
    </xf>
    <xf numFmtId="0" fontId="5" fillId="0" borderId="25" xfId="0" applyFont="1" applyBorder="1"/>
    <xf numFmtId="0" fontId="5" fillId="0" borderId="3" xfId="0" applyFont="1" applyBorder="1"/>
    <xf numFmtId="0" fontId="4" fillId="2" borderId="2" xfId="0" applyFont="1" applyFill="1" applyBorder="1" applyAlignment="1">
      <alignment horizontal="center"/>
    </xf>
    <xf numFmtId="0" fontId="6" fillId="3" borderId="9" xfId="0" applyFont="1" applyFill="1" applyBorder="1" applyAlignment="1">
      <alignment horizontal="center" vertical="center" wrapText="1"/>
    </xf>
    <xf numFmtId="0" fontId="5" fillId="0" borderId="15" xfId="0" applyFont="1" applyBorder="1"/>
    <xf numFmtId="0" fontId="5" fillId="0" borderId="19" xfId="0" applyFont="1" applyBorder="1"/>
    <xf numFmtId="0" fontId="6" fillId="3" borderId="12" xfId="0" applyFont="1" applyFill="1" applyBorder="1" applyAlignment="1">
      <alignment horizontal="center" vertical="center" wrapText="1"/>
    </xf>
    <xf numFmtId="0" fontId="16" fillId="9" borderId="28" xfId="0" applyFont="1" applyFill="1" applyBorder="1" applyAlignment="1">
      <alignment horizontal="center" vertical="center" wrapText="1"/>
    </xf>
    <xf numFmtId="0" fontId="5" fillId="0" borderId="29" xfId="0" applyFont="1" applyBorder="1"/>
    <xf numFmtId="0" fontId="5" fillId="0" borderId="30" xfId="0" applyFont="1" applyBorder="1"/>
    <xf numFmtId="0" fontId="16" fillId="10" borderId="28" xfId="0" applyFont="1" applyFill="1" applyBorder="1" applyAlignment="1">
      <alignment horizontal="center" vertical="center" wrapText="1"/>
    </xf>
    <xf numFmtId="0" fontId="16" fillId="6" borderId="28" xfId="0" applyFont="1" applyFill="1" applyBorder="1" applyAlignment="1">
      <alignment horizontal="center" vertical="center" wrapText="1"/>
    </xf>
    <xf numFmtId="0" fontId="16" fillId="3" borderId="28" xfId="0" applyFont="1" applyFill="1" applyBorder="1" applyAlignment="1">
      <alignment horizontal="center" vertical="center"/>
    </xf>
    <xf numFmtId="0" fontId="16" fillId="0" borderId="0" xfId="0" applyFont="1" applyAlignment="1">
      <alignment horizontal="center" vertical="center" wrapText="1"/>
    </xf>
    <xf numFmtId="2" fontId="4" fillId="3" borderId="33" xfId="0" applyNumberFormat="1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 wrapText="1"/>
    </xf>
    <xf numFmtId="0" fontId="4" fillId="3" borderId="37" xfId="0" applyFont="1" applyFill="1" applyBorder="1" applyAlignment="1">
      <alignment horizontal="center" vertical="center"/>
    </xf>
    <xf numFmtId="0" fontId="5" fillId="0" borderId="38" xfId="0" applyFont="1" applyBorder="1"/>
    <xf numFmtId="0" fontId="16" fillId="3" borderId="48" xfId="0" applyFont="1" applyFill="1" applyBorder="1" applyAlignment="1">
      <alignment horizontal="center" vertical="center"/>
    </xf>
    <xf numFmtId="0" fontId="5" fillId="0" borderId="49" xfId="0" applyFont="1" applyBorder="1"/>
    <xf numFmtId="0" fontId="4" fillId="3" borderId="24" xfId="0" applyFont="1" applyFill="1" applyBorder="1" applyAlignment="1">
      <alignment horizontal="center"/>
    </xf>
    <xf numFmtId="0" fontId="7" fillId="3" borderId="12" xfId="0" applyFont="1" applyFill="1" applyBorder="1" applyAlignment="1">
      <alignment horizontal="center" vertical="center" wrapText="1"/>
    </xf>
    <xf numFmtId="0" fontId="16" fillId="3" borderId="12" xfId="0" applyFont="1" applyFill="1" applyBorder="1" applyAlignment="1">
      <alignment horizontal="center" vertical="center" wrapText="1"/>
    </xf>
    <xf numFmtId="0" fontId="16" fillId="3" borderId="35" xfId="0" applyFont="1" applyFill="1" applyBorder="1" applyAlignment="1">
      <alignment horizontal="center" vertical="center"/>
    </xf>
    <xf numFmtId="0" fontId="4" fillId="3" borderId="36" xfId="0" applyFont="1" applyFill="1" applyBorder="1" applyAlignment="1">
      <alignment horizontal="center" vertical="center" textRotation="90"/>
    </xf>
    <xf numFmtId="0" fontId="5" fillId="0" borderId="43" xfId="0" applyFont="1" applyBorder="1"/>
    <xf numFmtId="0" fontId="5" fillId="0" borderId="47" xfId="0" applyFont="1" applyBorder="1"/>
    <xf numFmtId="0" fontId="4" fillId="2" borderId="10" xfId="0" applyFont="1" applyFill="1" applyBorder="1" applyAlignment="1">
      <alignment horizontal="center" vertical="center"/>
    </xf>
    <xf numFmtId="0" fontId="16" fillId="7" borderId="28" xfId="0" applyFont="1" applyFill="1" applyBorder="1" applyAlignment="1">
      <alignment horizontal="center" vertical="center" wrapText="1"/>
    </xf>
    <xf numFmtId="0" fontId="16" fillId="8" borderId="28" xfId="0" applyFont="1" applyFill="1" applyBorder="1" applyAlignment="1">
      <alignment horizontal="center" vertical="center" wrapText="1"/>
    </xf>
    <xf numFmtId="0" fontId="16" fillId="11" borderId="28" xfId="0" applyFont="1" applyFill="1" applyBorder="1" applyAlignment="1">
      <alignment horizontal="center" vertical="center" wrapText="1"/>
    </xf>
    <xf numFmtId="0" fontId="16" fillId="12" borderId="28" xfId="0" applyFont="1" applyFill="1" applyBorder="1" applyAlignment="1">
      <alignment horizontal="center" vertical="center" wrapText="1"/>
    </xf>
    <xf numFmtId="0" fontId="15" fillId="0" borderId="0" xfId="0" applyFont="1" applyAlignment="1">
      <alignment horizontal="center"/>
    </xf>
    <xf numFmtId="0" fontId="4" fillId="3" borderId="5" xfId="0" applyFont="1" applyFill="1" applyBorder="1" applyAlignment="1">
      <alignment horizontal="center" vertical="center"/>
    </xf>
    <xf numFmtId="0" fontId="5" fillId="0" borderId="6" xfId="0" applyFont="1" applyBorder="1"/>
    <xf numFmtId="0" fontId="4" fillId="6" borderId="28" xfId="0" applyFont="1" applyFill="1" applyBorder="1" applyAlignment="1">
      <alignment horizontal="center" vertical="center" wrapText="1"/>
    </xf>
    <xf numFmtId="0" fontId="16" fillId="6" borderId="7" xfId="0" applyFont="1" applyFill="1" applyBorder="1" applyAlignment="1">
      <alignment horizontal="center" vertical="center" wrapText="1"/>
    </xf>
    <xf numFmtId="0" fontId="5" fillId="0" borderId="8" xfId="0" applyFont="1" applyBorder="1"/>
    <xf numFmtId="0" fontId="5" fillId="0" borderId="27" xfId="0" applyFont="1" applyBorder="1"/>
    <xf numFmtId="0" fontId="5" fillId="0" borderId="31" xfId="0" applyFont="1" applyBorder="1"/>
    <xf numFmtId="0" fontId="5" fillId="0" borderId="32" xfId="0" applyFont="1" applyBorder="1"/>
    <xf numFmtId="0" fontId="4" fillId="0" borderId="15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3" borderId="9" xfId="0" applyFont="1" applyFill="1" applyBorder="1" applyAlignment="1">
      <alignment horizontal="center" vertical="center"/>
    </xf>
    <xf numFmtId="0" fontId="16" fillId="3" borderId="41" xfId="0" applyFont="1" applyFill="1" applyBorder="1" applyAlignment="1">
      <alignment horizontal="center" vertical="center"/>
    </xf>
    <xf numFmtId="0" fontId="5" fillId="0" borderId="42" xfId="0" applyFont="1" applyBorder="1"/>
    <xf numFmtId="0" fontId="16" fillId="3" borderId="45" xfId="0" applyFont="1" applyFill="1" applyBorder="1" applyAlignment="1">
      <alignment horizontal="center" vertical="center"/>
    </xf>
    <xf numFmtId="0" fontId="5" fillId="0" borderId="46" xfId="0" applyFont="1" applyBorder="1"/>
    <xf numFmtId="0" fontId="20" fillId="0" borderId="0" xfId="0" applyFont="1" applyAlignment="1">
      <alignment horizontal="center" vertical="top"/>
    </xf>
    <xf numFmtId="0" fontId="4" fillId="3" borderId="2" xfId="0" applyFont="1" applyFill="1" applyBorder="1" applyAlignment="1">
      <alignment horizontal="center" vertical="center"/>
    </xf>
    <xf numFmtId="0" fontId="4" fillId="3" borderId="28" xfId="0" applyFont="1" applyFill="1" applyBorder="1" applyAlignment="1">
      <alignment horizontal="center" vertical="center" wrapText="1"/>
    </xf>
    <xf numFmtId="0" fontId="16" fillId="3" borderId="28" xfId="0" applyFont="1" applyFill="1" applyBorder="1" applyAlignment="1">
      <alignment horizontal="center" vertical="center" wrapText="1"/>
    </xf>
    <xf numFmtId="0" fontId="4" fillId="3" borderId="59" xfId="0" applyFont="1" applyFill="1" applyBorder="1" applyAlignment="1">
      <alignment horizontal="left" vertical="center"/>
    </xf>
    <xf numFmtId="0" fontId="4" fillId="3" borderId="63" xfId="0" applyFont="1" applyFill="1" applyBorder="1" applyAlignment="1">
      <alignment horizontal="left" vertical="center"/>
    </xf>
    <xf numFmtId="0" fontId="6" fillId="3" borderId="66" xfId="0" applyFont="1" applyFill="1" applyBorder="1" applyAlignment="1">
      <alignment horizontal="center" vertical="center" wrapText="1"/>
    </xf>
    <xf numFmtId="0" fontId="5" fillId="0" borderId="67" xfId="0" applyFont="1" applyBorder="1"/>
    <xf numFmtId="0" fontId="6" fillId="3" borderId="48" xfId="0" applyFont="1" applyFill="1" applyBorder="1" applyAlignment="1">
      <alignment horizontal="center" vertical="center"/>
    </xf>
    <xf numFmtId="0" fontId="5" fillId="0" borderId="68" xfId="0" applyFont="1" applyBorder="1"/>
    <xf numFmtId="2" fontId="24" fillId="3" borderId="33" xfId="0" applyNumberFormat="1" applyFont="1" applyFill="1" applyBorder="1" applyAlignment="1">
      <alignment horizontal="center" vertical="center"/>
    </xf>
    <xf numFmtId="0" fontId="4" fillId="3" borderId="57" xfId="0" applyFont="1" applyFill="1" applyBorder="1" applyAlignment="1">
      <alignment horizontal="left" vertical="center"/>
    </xf>
    <xf numFmtId="0" fontId="5" fillId="0" borderId="39" xfId="0" applyFont="1" applyBorder="1"/>
    <xf numFmtId="0" fontId="4" fillId="2" borderId="9" xfId="0" applyFont="1" applyFill="1" applyBorder="1" applyAlignment="1">
      <alignment horizontal="center" vertical="center"/>
    </xf>
    <xf numFmtId="0" fontId="6" fillId="3" borderId="28" xfId="0" applyFont="1" applyFill="1" applyBorder="1" applyAlignment="1">
      <alignment horizontal="center" vertical="center"/>
    </xf>
    <xf numFmtId="0" fontId="23" fillId="3" borderId="33" xfId="0" applyFont="1" applyFill="1" applyBorder="1" applyAlignment="1">
      <alignment horizontal="center" vertical="center" wrapText="1"/>
    </xf>
    <xf numFmtId="0" fontId="5" fillId="0" borderId="71" xfId="0" applyFont="1" applyBorder="1"/>
    <xf numFmtId="0" fontId="6" fillId="3" borderId="66" xfId="0" applyFont="1" applyFill="1" applyBorder="1" applyAlignment="1">
      <alignment horizontal="center" vertical="center"/>
    </xf>
    <xf numFmtId="0" fontId="6" fillId="3" borderId="45" xfId="0" applyFont="1" applyFill="1" applyBorder="1" applyAlignment="1">
      <alignment horizontal="center" vertical="center" wrapText="1"/>
    </xf>
    <xf numFmtId="0" fontId="6" fillId="3" borderId="48" xfId="0" applyFont="1" applyFill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/>
    </xf>
    <xf numFmtId="0" fontId="5" fillId="0" borderId="78" xfId="0" applyFont="1" applyBorder="1"/>
    <xf numFmtId="0" fontId="4" fillId="0" borderId="62" xfId="0" applyFont="1" applyBorder="1" applyAlignment="1">
      <alignment horizontal="center" vertical="center"/>
    </xf>
    <xf numFmtId="0" fontId="5" fillId="0" borderId="79" xfId="0" applyFont="1" applyBorder="1"/>
    <xf numFmtId="0" fontId="6" fillId="2" borderId="12" xfId="0" applyFont="1" applyFill="1" applyBorder="1" applyAlignment="1">
      <alignment horizontal="center" vertical="center" wrapText="1"/>
    </xf>
    <xf numFmtId="0" fontId="6" fillId="2" borderId="66" xfId="0" applyFont="1" applyFill="1" applyBorder="1" applyAlignment="1">
      <alignment horizontal="center" vertical="center" wrapText="1"/>
    </xf>
    <xf numFmtId="0" fontId="4" fillId="6" borderId="9" xfId="0" applyFont="1" applyFill="1" applyBorder="1" applyAlignment="1">
      <alignment horizontal="center" vertical="center" wrapText="1"/>
    </xf>
    <xf numFmtId="0" fontId="16" fillId="6" borderId="9" xfId="0" applyFont="1" applyFill="1" applyBorder="1" applyAlignment="1">
      <alignment horizontal="center" vertical="center" wrapText="1"/>
    </xf>
    <xf numFmtId="0" fontId="6" fillId="6" borderId="9" xfId="0" applyFont="1" applyFill="1" applyBorder="1" applyAlignment="1">
      <alignment horizontal="center" vertical="center"/>
    </xf>
    <xf numFmtId="0" fontId="5" fillId="0" borderId="76" xfId="0" applyFont="1" applyBorder="1"/>
    <xf numFmtId="0" fontId="7" fillId="0" borderId="12" xfId="0" applyFont="1" applyBorder="1" applyAlignment="1">
      <alignment horizontal="center" vertical="center" wrapText="1"/>
    </xf>
    <xf numFmtId="0" fontId="4" fillId="0" borderId="36" xfId="0" applyFont="1" applyBorder="1" applyAlignment="1">
      <alignment horizontal="center" vertical="center" textRotation="90"/>
    </xf>
    <xf numFmtId="0" fontId="4" fillId="0" borderId="56" xfId="0" applyFont="1" applyBorder="1" applyAlignment="1">
      <alignment horizontal="center" vertical="center"/>
    </xf>
    <xf numFmtId="0" fontId="5" fillId="0" borderId="77" xfId="0" applyFont="1" applyBorder="1"/>
    <xf numFmtId="0" fontId="12" fillId="13" borderId="12" xfId="0" applyFont="1" applyFill="1" applyBorder="1" applyAlignment="1">
      <alignment horizontal="center" vertical="center" wrapText="1"/>
    </xf>
    <xf numFmtId="0" fontId="12" fillId="2" borderId="12" xfId="0" applyFont="1" applyFill="1" applyBorder="1" applyAlignment="1">
      <alignment horizontal="center" vertical="center" wrapText="1"/>
    </xf>
    <xf numFmtId="0" fontId="29" fillId="0" borderId="12" xfId="0" applyFont="1" applyBorder="1" applyAlignment="1">
      <alignment horizontal="center" vertical="center"/>
    </xf>
    <xf numFmtId="0" fontId="24" fillId="0" borderId="12" xfId="0" applyFont="1" applyBorder="1" applyAlignment="1">
      <alignment horizontal="center" vertical="center"/>
    </xf>
    <xf numFmtId="0" fontId="24" fillId="0" borderId="10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left"/>
    </xf>
    <xf numFmtId="0" fontId="3" fillId="0" borderId="20" xfId="0" applyFont="1" applyBorder="1" applyAlignment="1">
      <alignment horizontal="center" vertical="center"/>
    </xf>
    <xf numFmtId="0" fontId="5" fillId="0" borderId="80" xfId="0" applyFont="1" applyBorder="1"/>
    <xf numFmtId="0" fontId="3" fillId="0" borderId="12" xfId="0" applyFont="1" applyBorder="1" applyAlignment="1">
      <alignment horizontal="center" vertical="center" wrapText="1"/>
    </xf>
    <xf numFmtId="0" fontId="3" fillId="0" borderId="66" xfId="0" applyFont="1" applyBorder="1" applyAlignment="1">
      <alignment horizontal="center" vertical="center"/>
    </xf>
    <xf numFmtId="0" fontId="3" fillId="0" borderId="48" xfId="0" applyFont="1" applyBorder="1" applyAlignment="1">
      <alignment horizontal="center" vertical="center"/>
    </xf>
    <xf numFmtId="0" fontId="31" fillId="0" borderId="12" xfId="0" applyFont="1" applyBorder="1" applyAlignment="1">
      <alignment horizontal="center" vertical="center"/>
    </xf>
    <xf numFmtId="0" fontId="33" fillId="0" borderId="12" xfId="0" applyFont="1" applyBorder="1" applyAlignment="1">
      <alignment horizontal="center" vertical="center"/>
    </xf>
    <xf numFmtId="0" fontId="3" fillId="0" borderId="45" xfId="0" applyFont="1" applyBorder="1" applyAlignment="1">
      <alignment horizontal="center" vertical="center"/>
    </xf>
    <xf numFmtId="0" fontId="30" fillId="14" borderId="5" xfId="0" applyFont="1" applyFill="1" applyBorder="1" applyAlignment="1">
      <alignment horizontal="center" vertical="center"/>
    </xf>
    <xf numFmtId="0" fontId="16" fillId="3" borderId="10" xfId="0" applyFont="1" applyFill="1" applyBorder="1" applyAlignment="1">
      <alignment horizontal="center" vertical="center" wrapText="1"/>
    </xf>
    <xf numFmtId="0" fontId="5" fillId="0" borderId="83" xfId="0" applyFont="1" applyBorder="1"/>
    <xf numFmtId="0" fontId="5" fillId="0" borderId="85" xfId="0" applyFont="1" applyBorder="1"/>
    <xf numFmtId="0" fontId="3" fillId="3" borderId="56" xfId="0" applyFont="1" applyFill="1" applyBorder="1" applyAlignment="1">
      <alignment horizontal="center" vertical="center"/>
    </xf>
    <xf numFmtId="0" fontId="3" fillId="3" borderId="84" xfId="0" applyFont="1" applyFill="1" applyBorder="1" applyAlignment="1">
      <alignment horizontal="center" vertical="center"/>
    </xf>
    <xf numFmtId="0" fontId="5" fillId="0" borderId="86" xfId="0" applyFont="1" applyBorder="1"/>
    <xf numFmtId="0" fontId="4" fillId="0" borderId="66" xfId="0" applyFont="1" applyBorder="1" applyAlignment="1">
      <alignment horizontal="center" vertical="center"/>
    </xf>
    <xf numFmtId="0" fontId="3" fillId="2" borderId="56" xfId="0" applyFont="1" applyFill="1" applyBorder="1" applyAlignment="1">
      <alignment horizontal="center" vertical="center"/>
    </xf>
    <xf numFmtId="0" fontId="4" fillId="3" borderId="48" xfId="0" applyFont="1" applyFill="1" applyBorder="1" applyAlignment="1">
      <alignment horizontal="center" vertical="center"/>
    </xf>
    <xf numFmtId="2" fontId="3" fillId="3" borderId="62" xfId="0" applyNumberFormat="1" applyFont="1" applyFill="1" applyBorder="1" applyAlignment="1">
      <alignment horizontal="center" vertical="center"/>
    </xf>
    <xf numFmtId="0" fontId="29" fillId="3" borderId="12" xfId="0" applyFont="1" applyFill="1" applyBorder="1" applyAlignment="1">
      <alignment horizontal="center" vertical="center"/>
    </xf>
    <xf numFmtId="0" fontId="34" fillId="3" borderId="12" xfId="0" applyFont="1" applyFill="1" applyBorder="1" applyAlignment="1">
      <alignment horizontal="center" vertical="center"/>
    </xf>
    <xf numFmtId="0" fontId="24" fillId="3" borderId="10" xfId="0" applyFont="1" applyFill="1" applyBorder="1" applyAlignment="1">
      <alignment horizontal="center" vertical="center" wrapText="1"/>
    </xf>
    <xf numFmtId="0" fontId="3" fillId="3" borderId="9" xfId="0" applyFont="1" applyFill="1" applyBorder="1" applyAlignment="1">
      <alignment horizontal="left"/>
    </xf>
    <xf numFmtId="0" fontId="3" fillId="3" borderId="12" xfId="0" applyFont="1" applyFill="1" applyBorder="1" applyAlignment="1">
      <alignment horizontal="center" vertical="center" wrapText="1"/>
    </xf>
    <xf numFmtId="0" fontId="3" fillId="3" borderId="66" xfId="0" applyFont="1" applyFill="1" applyBorder="1" applyAlignment="1">
      <alignment horizontal="center" vertical="center"/>
    </xf>
    <xf numFmtId="0" fontId="3" fillId="3" borderId="45" xfId="0" applyFont="1" applyFill="1" applyBorder="1" applyAlignment="1">
      <alignment horizontal="center" vertical="center"/>
    </xf>
    <xf numFmtId="0" fontId="31" fillId="3" borderId="12" xfId="0" applyFont="1" applyFill="1" applyBorder="1" applyAlignment="1">
      <alignment horizontal="center" vertical="center"/>
    </xf>
    <xf numFmtId="0" fontId="33" fillId="4" borderId="12" xfId="0" applyFont="1" applyFill="1" applyBorder="1" applyAlignment="1">
      <alignment horizontal="center" vertical="center"/>
    </xf>
    <xf numFmtId="0" fontId="3" fillId="2" borderId="24" xfId="0" applyFont="1" applyFill="1" applyBorder="1" applyAlignment="1">
      <alignment horizontal="center"/>
    </xf>
    <xf numFmtId="0" fontId="30" fillId="3" borderId="45" xfId="0" applyFont="1" applyFill="1" applyBorder="1" applyAlignment="1">
      <alignment horizontal="center" vertical="center"/>
    </xf>
    <xf numFmtId="2" fontId="3" fillId="3" borderId="48" xfId="0" applyNumberFormat="1" applyFont="1" applyFill="1" applyBorder="1" applyAlignment="1">
      <alignment horizontal="center" vertical="center"/>
    </xf>
    <xf numFmtId="0" fontId="37" fillId="0" borderId="0" xfId="0" applyFont="1" applyAlignment="1">
      <alignment vertical="center"/>
    </xf>
    <xf numFmtId="0" fontId="38" fillId="0" borderId="0" xfId="0" applyFont="1" applyAlignment="1"/>
    <xf numFmtId="0" fontId="38" fillId="0" borderId="0" xfId="0" applyFont="1" applyAlignment="1">
      <alignment horizontal="left" vertical="center"/>
    </xf>
    <xf numFmtId="0" fontId="39" fillId="0" borderId="0" xfId="0" applyFont="1" applyAlignment="1">
      <alignment horizontal="left" vertical="center"/>
    </xf>
    <xf numFmtId="0" fontId="39" fillId="15" borderId="0" xfId="0" applyFont="1" applyFill="1" applyAlignment="1">
      <alignment horizontal="left" vertical="center"/>
    </xf>
    <xf numFmtId="0" fontId="38" fillId="15" borderId="0" xfId="0" applyFont="1" applyFill="1" applyAlignment="1"/>
    <xf numFmtId="0" fontId="38" fillId="0" borderId="0" xfId="0" applyFont="1" applyAlignment="1">
      <alignment horizontal="left" vertical="center"/>
    </xf>
    <xf numFmtId="0" fontId="39" fillId="15" borderId="0" xfId="0" applyFont="1" applyFill="1" applyAlignment="1">
      <alignment horizontal="left" vertical="center"/>
    </xf>
    <xf numFmtId="0" fontId="38" fillId="0" borderId="0" xfId="0" applyFont="1" applyAlignment="1">
      <alignment horizontal="left"/>
    </xf>
    <xf numFmtId="0" fontId="38" fillId="0" borderId="0" xfId="0" applyFont="1" applyAlignment="1">
      <alignment horizontal="left" vertical="top" wrapText="1"/>
    </xf>
    <xf numFmtId="0" fontId="40" fillId="0" borderId="0" xfId="0" applyFont="1" applyAlignment="1">
      <alignment horizontal="center"/>
    </xf>
    <xf numFmtId="0" fontId="41" fillId="2" borderId="4" xfId="0" applyFont="1" applyFill="1" applyBorder="1" applyAlignment="1">
      <alignment horizontal="center" vertical="center"/>
    </xf>
    <xf numFmtId="0" fontId="42" fillId="2" borderId="4" xfId="0" applyFont="1" applyFill="1" applyBorder="1" applyAlignment="1">
      <alignment horizontal="center" vertical="center" wrapText="1"/>
    </xf>
    <xf numFmtId="0" fontId="42" fillId="2" borderId="4" xfId="0" applyFont="1" applyFill="1" applyBorder="1" applyAlignment="1">
      <alignment horizontal="center" vertical="center" shrinkToFit="1"/>
    </xf>
    <xf numFmtId="0" fontId="42" fillId="2" borderId="4" xfId="0" applyFont="1" applyFill="1" applyBorder="1" applyAlignment="1">
      <alignment horizontal="center" wrapText="1"/>
    </xf>
    <xf numFmtId="0" fontId="4" fillId="2" borderId="93" xfId="0" applyFont="1" applyFill="1" applyBorder="1" applyAlignment="1">
      <alignment horizontal="center" vertical="center" wrapText="1"/>
    </xf>
    <xf numFmtId="0" fontId="3" fillId="2" borderId="93" xfId="0" applyFont="1" applyFill="1" applyBorder="1" applyAlignment="1">
      <alignment horizontal="center" vertical="center" wrapText="1"/>
    </xf>
    <xf numFmtId="0" fontId="3" fillId="2" borderId="93" xfId="0" applyFont="1" applyFill="1" applyBorder="1" applyAlignment="1">
      <alignment horizontal="center" vertical="center"/>
    </xf>
    <xf numFmtId="0" fontId="4" fillId="0" borderId="93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customschemas.google.com/relationships/workbookmetadata" Target="metadata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66675</xdr:colOff>
      <xdr:row>33</xdr:row>
      <xdr:rowOff>66675</xdr:rowOff>
    </xdr:from>
    <xdr:ext cx="352425" cy="161925"/>
    <xdr:sp macro="" textlink="">
      <xdr:nvSpPr>
        <xdr:cNvPr id="3" name="Shape 3"/>
        <xdr:cNvSpPr/>
      </xdr:nvSpPr>
      <xdr:spPr>
        <a:xfrm>
          <a:off x="5179313" y="3708563"/>
          <a:ext cx="333375" cy="142875"/>
        </a:xfrm>
        <a:prstGeom prst="leftArrow">
          <a:avLst>
            <a:gd name="adj1" fmla="val 50000"/>
            <a:gd name="adj2" fmla="val 50000"/>
          </a:avLst>
        </a:prstGeom>
        <a:noFill/>
        <a:ln w="25400" cap="flat" cmpd="sng">
          <a:solidFill>
            <a:srgbClr val="395E89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</xdr:col>
      <xdr:colOff>66675</xdr:colOff>
      <xdr:row>34</xdr:row>
      <xdr:rowOff>142875</xdr:rowOff>
    </xdr:from>
    <xdr:ext cx="276225" cy="219075"/>
    <xdr:sp macro="" textlink="">
      <xdr:nvSpPr>
        <xdr:cNvPr id="4" name="Shape 4"/>
        <xdr:cNvSpPr/>
      </xdr:nvSpPr>
      <xdr:spPr>
        <a:xfrm>
          <a:off x="5217413" y="3679988"/>
          <a:ext cx="257175" cy="200025"/>
        </a:xfrm>
        <a:prstGeom prst="leftArrow">
          <a:avLst>
            <a:gd name="adj1" fmla="val 50000"/>
            <a:gd name="adj2" fmla="val 50000"/>
          </a:avLst>
        </a:prstGeom>
        <a:noFill/>
        <a:ln w="25400" cap="flat" cmpd="sng">
          <a:solidFill>
            <a:srgbClr val="395E89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</xdr:col>
      <xdr:colOff>66675</xdr:colOff>
      <xdr:row>33</xdr:row>
      <xdr:rowOff>66675</xdr:rowOff>
    </xdr:from>
    <xdr:ext cx="352425" cy="161925"/>
    <xdr:sp macro="" textlink="">
      <xdr:nvSpPr>
        <xdr:cNvPr id="2" name="Shape 3"/>
        <xdr:cNvSpPr/>
      </xdr:nvSpPr>
      <xdr:spPr>
        <a:xfrm>
          <a:off x="5179313" y="3708563"/>
          <a:ext cx="333375" cy="142875"/>
        </a:xfrm>
        <a:prstGeom prst="leftArrow">
          <a:avLst>
            <a:gd name="adj1" fmla="val 50000"/>
            <a:gd name="adj2" fmla="val 50000"/>
          </a:avLst>
        </a:prstGeom>
        <a:noFill/>
        <a:ln w="25400" cap="flat" cmpd="sng">
          <a:solidFill>
            <a:srgbClr val="395E89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</xdr:col>
      <xdr:colOff>66675</xdr:colOff>
      <xdr:row>33</xdr:row>
      <xdr:rowOff>66675</xdr:rowOff>
    </xdr:from>
    <xdr:ext cx="352425" cy="161925"/>
    <xdr:sp macro="" textlink="">
      <xdr:nvSpPr>
        <xdr:cNvPr id="5" name="Shape 3"/>
        <xdr:cNvSpPr/>
      </xdr:nvSpPr>
      <xdr:spPr>
        <a:xfrm>
          <a:off x="5179313" y="3708563"/>
          <a:ext cx="333375" cy="142875"/>
        </a:xfrm>
        <a:prstGeom prst="leftArrow">
          <a:avLst>
            <a:gd name="adj1" fmla="val 50000"/>
            <a:gd name="adj2" fmla="val 50000"/>
          </a:avLst>
        </a:prstGeom>
        <a:noFill/>
        <a:ln w="25400" cap="flat" cmpd="sng">
          <a:solidFill>
            <a:srgbClr val="395E89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</xdr:col>
      <xdr:colOff>66675</xdr:colOff>
      <xdr:row>34</xdr:row>
      <xdr:rowOff>142875</xdr:rowOff>
    </xdr:from>
    <xdr:ext cx="276225" cy="219075"/>
    <xdr:sp macro="" textlink="">
      <xdr:nvSpPr>
        <xdr:cNvPr id="6" name="Shape 4"/>
        <xdr:cNvSpPr/>
      </xdr:nvSpPr>
      <xdr:spPr>
        <a:xfrm>
          <a:off x="5217413" y="3679988"/>
          <a:ext cx="257175" cy="200025"/>
        </a:xfrm>
        <a:prstGeom prst="leftArrow">
          <a:avLst>
            <a:gd name="adj1" fmla="val 50000"/>
            <a:gd name="adj2" fmla="val 50000"/>
          </a:avLst>
        </a:prstGeom>
        <a:noFill/>
        <a:ln w="25400" cap="flat" cmpd="sng">
          <a:solidFill>
            <a:srgbClr val="395E89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1333500</xdr:colOff>
      <xdr:row>96</xdr:row>
      <xdr:rowOff>276225</xdr:rowOff>
    </xdr:from>
    <xdr:ext cx="114300" cy="161925"/>
    <xdr:sp macro="" textlink="">
      <xdr:nvSpPr>
        <xdr:cNvPr id="5" name="Shape 5"/>
        <xdr:cNvSpPr/>
      </xdr:nvSpPr>
      <xdr:spPr>
        <a:xfrm>
          <a:off x="5298375" y="3708563"/>
          <a:ext cx="95250" cy="142875"/>
        </a:xfrm>
        <a:prstGeom prst="downArrow">
          <a:avLst>
            <a:gd name="adj1" fmla="val 50000"/>
            <a:gd name="adj2" fmla="val 50000"/>
          </a:avLst>
        </a:prstGeom>
        <a:solidFill>
          <a:schemeClr val="accent1"/>
        </a:solidFill>
        <a:ln w="25400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1371600</xdr:colOff>
      <xdr:row>96</xdr:row>
      <xdr:rowOff>219075</xdr:rowOff>
    </xdr:from>
    <xdr:ext cx="114300" cy="152400"/>
    <xdr:sp macro="" textlink="">
      <xdr:nvSpPr>
        <xdr:cNvPr id="6" name="Shape 6"/>
        <xdr:cNvSpPr/>
      </xdr:nvSpPr>
      <xdr:spPr>
        <a:xfrm>
          <a:off x="5298375" y="3713325"/>
          <a:ext cx="95250" cy="133350"/>
        </a:xfrm>
        <a:prstGeom prst="downArrow">
          <a:avLst>
            <a:gd name="adj1" fmla="val 50000"/>
            <a:gd name="adj2" fmla="val 50000"/>
          </a:avLst>
        </a:prstGeom>
        <a:solidFill>
          <a:schemeClr val="accent1"/>
        </a:solidFill>
        <a:ln w="25400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Y1001"/>
  <sheetViews>
    <sheetView workbookViewId="0">
      <selection activeCell="N13" sqref="N13"/>
    </sheetView>
  </sheetViews>
  <sheetFormatPr defaultColWidth="14.42578125" defaultRowHeight="15" customHeight="1" x14ac:dyDescent="0.25"/>
  <cols>
    <col min="1" max="1" width="11" customWidth="1"/>
    <col min="2" max="2" width="12.140625" customWidth="1"/>
    <col min="3" max="3" width="8.7109375" customWidth="1"/>
    <col min="4" max="4" width="43.140625" customWidth="1"/>
    <col min="5" max="5" width="13.28515625" customWidth="1"/>
    <col min="6" max="7" width="8.7109375" customWidth="1"/>
    <col min="8" max="8" width="10.85546875" customWidth="1"/>
    <col min="9" max="9" width="12.85546875" customWidth="1"/>
    <col min="10" max="15" width="8.7109375" customWidth="1"/>
  </cols>
  <sheetData>
    <row r="1" spans="1:13" ht="25.5" x14ac:dyDescent="0.4">
      <c r="D1" s="1" t="s">
        <v>0</v>
      </c>
      <c r="E1" s="2"/>
      <c r="F1" s="2"/>
      <c r="G1" s="2"/>
      <c r="H1" s="2"/>
      <c r="I1" s="2"/>
      <c r="J1" s="2"/>
      <c r="K1" s="2"/>
      <c r="L1" s="3"/>
    </row>
    <row r="3" spans="1:13" x14ac:dyDescent="0.25">
      <c r="A3" s="4"/>
      <c r="B3" s="5"/>
      <c r="C3" s="6" t="s">
        <v>1</v>
      </c>
      <c r="D3" s="209" t="s">
        <v>2</v>
      </c>
      <c r="E3" s="208"/>
      <c r="F3" s="4"/>
    </row>
    <row r="4" spans="1:13" x14ac:dyDescent="0.25">
      <c r="A4" s="4"/>
      <c r="B4" s="5"/>
      <c r="C4" s="6" t="s">
        <v>3</v>
      </c>
      <c r="D4" s="209">
        <v>313301</v>
      </c>
      <c r="E4" s="208"/>
      <c r="F4" s="4"/>
    </row>
    <row r="5" spans="1:13" x14ac:dyDescent="0.25">
      <c r="A5" s="4"/>
      <c r="B5" s="5"/>
      <c r="C5" s="6" t="s">
        <v>4</v>
      </c>
      <c r="D5" s="209" t="s">
        <v>5</v>
      </c>
      <c r="E5" s="208"/>
      <c r="F5" s="4"/>
    </row>
    <row r="6" spans="1:13" x14ac:dyDescent="0.25">
      <c r="A6" s="4"/>
      <c r="B6" s="5"/>
      <c r="C6" s="6" t="s">
        <v>6</v>
      </c>
      <c r="D6" s="209" t="s">
        <v>7</v>
      </c>
      <c r="E6" s="208"/>
      <c r="F6" s="4"/>
    </row>
    <row r="7" spans="1:13" ht="15.75" x14ac:dyDescent="0.25">
      <c r="A7" s="4"/>
      <c r="B7" s="7" t="s">
        <v>8</v>
      </c>
      <c r="C7" s="5"/>
      <c r="D7" s="5"/>
      <c r="E7" s="5"/>
      <c r="F7" s="4"/>
    </row>
    <row r="8" spans="1:13" ht="28.5" customHeight="1" x14ac:dyDescent="0.25">
      <c r="A8" s="4"/>
      <c r="B8" s="5"/>
      <c r="C8" s="344" t="s">
        <v>9</v>
      </c>
      <c r="D8" s="341" t="s">
        <v>10</v>
      </c>
      <c r="E8" s="343"/>
      <c r="F8" s="4"/>
    </row>
    <row r="9" spans="1:13" ht="28.5" customHeight="1" x14ac:dyDescent="0.25">
      <c r="A9" s="4"/>
      <c r="B9" s="5"/>
      <c r="C9" s="344" t="s">
        <v>11</v>
      </c>
      <c r="D9" s="341" t="s">
        <v>12</v>
      </c>
      <c r="E9" s="343"/>
      <c r="F9" s="4"/>
    </row>
    <row r="10" spans="1:13" ht="28.5" customHeight="1" x14ac:dyDescent="0.25">
      <c r="A10" s="4"/>
      <c r="B10" s="5"/>
      <c r="C10" s="344" t="s">
        <v>13</v>
      </c>
      <c r="D10" s="341" t="s">
        <v>14</v>
      </c>
      <c r="E10" s="343"/>
      <c r="F10" s="4"/>
    </row>
    <row r="11" spans="1:13" ht="28.5" customHeight="1" x14ac:dyDescent="0.25">
      <c r="A11" s="4"/>
      <c r="B11" s="5"/>
      <c r="C11" s="344" t="s">
        <v>15</v>
      </c>
      <c r="D11" s="342" t="s">
        <v>16</v>
      </c>
      <c r="E11" s="343"/>
      <c r="F11" s="4"/>
    </row>
    <row r="12" spans="1:13" ht="28.5" customHeight="1" x14ac:dyDescent="0.25">
      <c r="A12" s="4"/>
      <c r="B12" s="5"/>
      <c r="C12" s="344" t="s">
        <v>17</v>
      </c>
      <c r="D12" s="342" t="s">
        <v>18</v>
      </c>
      <c r="E12" s="343"/>
      <c r="F12" s="4"/>
    </row>
    <row r="13" spans="1:13" ht="27" customHeight="1" x14ac:dyDescent="0.25">
      <c r="A13" s="4"/>
      <c r="B13" s="4"/>
      <c r="C13" s="344" t="s">
        <v>19</v>
      </c>
      <c r="D13" s="343" t="s">
        <v>20</v>
      </c>
      <c r="E13" s="343"/>
      <c r="F13" s="4"/>
    </row>
    <row r="14" spans="1:13" ht="18.75" x14ac:dyDescent="0.25">
      <c r="B14" s="8" t="s">
        <v>21</v>
      </c>
      <c r="C14" s="9"/>
      <c r="D14" s="10"/>
      <c r="E14" s="9"/>
      <c r="F14" s="9"/>
      <c r="G14" s="9"/>
      <c r="H14" s="9"/>
      <c r="I14" s="9"/>
      <c r="J14" s="9"/>
      <c r="K14" s="9"/>
      <c r="L14" s="9"/>
      <c r="M14" s="9"/>
    </row>
    <row r="15" spans="1:13" ht="22.5" customHeight="1" x14ac:dyDescent="0.25">
      <c r="B15" s="11" t="s">
        <v>22</v>
      </c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</row>
    <row r="16" spans="1:13" x14ac:dyDescent="0.25">
      <c r="B16" s="210" t="s">
        <v>23</v>
      </c>
      <c r="C16" s="190" t="s">
        <v>24</v>
      </c>
      <c r="D16" s="191"/>
      <c r="E16" s="213" t="s">
        <v>25</v>
      </c>
      <c r="F16" s="197"/>
      <c r="G16" s="197"/>
      <c r="H16" s="197"/>
      <c r="I16" s="197"/>
      <c r="J16" s="197"/>
      <c r="K16" s="198"/>
      <c r="L16" s="213" t="s">
        <v>26</v>
      </c>
      <c r="M16" s="198"/>
    </row>
    <row r="17" spans="1:25" x14ac:dyDescent="0.25">
      <c r="B17" s="211"/>
      <c r="C17" s="192"/>
      <c r="D17" s="193"/>
      <c r="E17" s="12" t="s">
        <v>27</v>
      </c>
      <c r="F17" s="12" t="s">
        <v>28</v>
      </c>
      <c r="G17" s="12" t="s">
        <v>29</v>
      </c>
      <c r="H17" s="12" t="s">
        <v>30</v>
      </c>
      <c r="I17" s="12" t="s">
        <v>31</v>
      </c>
      <c r="J17" s="12" t="s">
        <v>32</v>
      </c>
      <c r="K17" s="12" t="s">
        <v>33</v>
      </c>
      <c r="L17" s="12" t="s">
        <v>34</v>
      </c>
      <c r="M17" s="12" t="s">
        <v>35</v>
      </c>
    </row>
    <row r="18" spans="1:25" ht="122.25" customHeight="1" x14ac:dyDescent="0.25">
      <c r="B18" s="212"/>
      <c r="C18" s="194"/>
      <c r="D18" s="195"/>
      <c r="E18" s="13" t="s">
        <v>36</v>
      </c>
      <c r="F18" s="13" t="s">
        <v>37</v>
      </c>
      <c r="G18" s="13" t="s">
        <v>38</v>
      </c>
      <c r="H18" s="13" t="s">
        <v>39</v>
      </c>
      <c r="I18" s="13" t="s">
        <v>40</v>
      </c>
      <c r="J18" s="13" t="s">
        <v>41</v>
      </c>
      <c r="K18" s="13" t="s">
        <v>42</v>
      </c>
      <c r="L18" s="13" t="s">
        <v>43</v>
      </c>
      <c r="M18" s="13" t="s">
        <v>44</v>
      </c>
    </row>
    <row r="19" spans="1:25" ht="42.75" customHeight="1" x14ac:dyDescent="0.25">
      <c r="B19" s="14">
        <v>1</v>
      </c>
      <c r="C19" s="15" t="str">
        <f t="shared" ref="C19:D19" si="0">C8</f>
        <v>CO1</v>
      </c>
      <c r="D19" s="16" t="str">
        <f t="shared" si="0"/>
        <v>Perform basic operations on Arrays.</v>
      </c>
      <c r="E19" s="17">
        <v>2</v>
      </c>
      <c r="F19" s="17" t="s">
        <v>45</v>
      </c>
      <c r="G19" s="17" t="s">
        <v>45</v>
      </c>
      <c r="H19" s="17">
        <v>1</v>
      </c>
      <c r="I19" s="17" t="s">
        <v>45</v>
      </c>
      <c r="J19" s="18" t="s">
        <v>45</v>
      </c>
      <c r="K19" s="17">
        <v>1</v>
      </c>
      <c r="L19" s="19">
        <v>3</v>
      </c>
      <c r="M19" s="19">
        <v>1</v>
      </c>
    </row>
    <row r="20" spans="1:25" x14ac:dyDescent="0.25">
      <c r="B20" s="14">
        <v>2</v>
      </c>
      <c r="C20" s="15" t="str">
        <f t="shared" ref="C20:D20" si="1">C9</f>
        <v>CO2</v>
      </c>
      <c r="D20" s="20" t="str">
        <f t="shared" si="1"/>
        <v>Apply different Searching and Sorting methods.</v>
      </c>
      <c r="E20" s="17">
        <v>2</v>
      </c>
      <c r="F20" s="17">
        <v>2</v>
      </c>
      <c r="G20" s="17">
        <v>2</v>
      </c>
      <c r="H20" s="17">
        <v>1</v>
      </c>
      <c r="I20" s="17" t="s">
        <v>45</v>
      </c>
      <c r="J20" s="18" t="s">
        <v>45</v>
      </c>
      <c r="K20" s="17">
        <v>1</v>
      </c>
      <c r="L20" s="19">
        <v>3</v>
      </c>
      <c r="M20" s="19">
        <v>2</v>
      </c>
    </row>
    <row r="21" spans="1:25" ht="15.75" customHeight="1" x14ac:dyDescent="0.25">
      <c r="B21" s="14">
        <v>3</v>
      </c>
      <c r="C21" s="15" t="str">
        <f t="shared" ref="C21:D21" si="2">C10</f>
        <v>CO3</v>
      </c>
      <c r="D21" s="20" t="str">
        <f t="shared" si="2"/>
        <v>Implement basic operations on Linked List.</v>
      </c>
      <c r="E21" s="17">
        <v>2</v>
      </c>
      <c r="F21" s="17">
        <v>2</v>
      </c>
      <c r="G21" s="17">
        <v>2</v>
      </c>
      <c r="H21" s="17">
        <v>1</v>
      </c>
      <c r="I21" s="17">
        <v>1</v>
      </c>
      <c r="J21" s="18">
        <v>1</v>
      </c>
      <c r="K21" s="17">
        <v>1</v>
      </c>
      <c r="L21" s="19">
        <v>3</v>
      </c>
      <c r="M21" s="19">
        <v>1</v>
      </c>
    </row>
    <row r="22" spans="1:25" ht="15.75" customHeight="1" x14ac:dyDescent="0.25">
      <c r="B22" s="14">
        <v>4</v>
      </c>
      <c r="C22" s="15" t="str">
        <f t="shared" ref="C22:D22" si="3">C11</f>
        <v>CO4</v>
      </c>
      <c r="D22" s="20" t="str">
        <f t="shared" si="3"/>
        <v xml:space="preserve"> Perform operations on Stack using Array and Linked List Implementations.</v>
      </c>
      <c r="E22" s="17">
        <v>2</v>
      </c>
      <c r="F22" s="17">
        <v>2</v>
      </c>
      <c r="G22" s="17">
        <v>2</v>
      </c>
      <c r="H22" s="17">
        <v>1</v>
      </c>
      <c r="I22" s="17" t="s">
        <v>45</v>
      </c>
      <c r="J22" s="18">
        <v>1</v>
      </c>
      <c r="K22" s="17">
        <v>1</v>
      </c>
      <c r="L22" s="19">
        <v>3</v>
      </c>
      <c r="M22" s="19">
        <v>2</v>
      </c>
    </row>
    <row r="23" spans="1:25" ht="15.75" customHeight="1" x14ac:dyDescent="0.25">
      <c r="B23" s="14">
        <v>5</v>
      </c>
      <c r="C23" s="15" t="str">
        <f t="shared" ref="C23:D23" si="4">C12</f>
        <v>CO5</v>
      </c>
      <c r="D23" s="20" t="str">
        <f t="shared" si="4"/>
        <v>Perform operations on Queue using Array and Linked List Implementations.</v>
      </c>
      <c r="E23" s="17">
        <v>2</v>
      </c>
      <c r="F23" s="17">
        <v>2</v>
      </c>
      <c r="G23" s="17">
        <v>2</v>
      </c>
      <c r="H23" s="17">
        <v>1</v>
      </c>
      <c r="I23" s="17" t="s">
        <v>45</v>
      </c>
      <c r="J23" s="18">
        <v>1</v>
      </c>
      <c r="K23" s="17">
        <v>1</v>
      </c>
      <c r="L23" s="19">
        <v>3</v>
      </c>
      <c r="M23" s="19">
        <v>2</v>
      </c>
    </row>
    <row r="24" spans="1:25" ht="15.75" customHeight="1" x14ac:dyDescent="0.25">
      <c r="B24" s="21">
        <v>6</v>
      </c>
      <c r="C24" s="22" t="str">
        <f t="shared" ref="C24:D24" si="5">C13</f>
        <v>CO6</v>
      </c>
      <c r="D24" s="23" t="str">
        <f t="shared" si="5"/>
        <v>Create and Traverse Tree to solve problems.</v>
      </c>
      <c r="E24" s="17">
        <v>2</v>
      </c>
      <c r="F24" s="17">
        <v>2</v>
      </c>
      <c r="G24" s="17">
        <v>2</v>
      </c>
      <c r="H24" s="17">
        <v>1</v>
      </c>
      <c r="I24" s="17" t="s">
        <v>45</v>
      </c>
      <c r="J24" s="18">
        <v>1</v>
      </c>
      <c r="K24" s="17">
        <v>1</v>
      </c>
      <c r="L24" s="19">
        <v>3</v>
      </c>
      <c r="M24" s="19">
        <v>1</v>
      </c>
    </row>
    <row r="25" spans="1:25" ht="15.75" customHeight="1" x14ac:dyDescent="0.25">
      <c r="B25" s="196" t="s">
        <v>46</v>
      </c>
      <c r="C25" s="197"/>
      <c r="D25" s="198"/>
      <c r="E25" s="15">
        <f t="shared" ref="E25:M25" si="6">IFERROR(AVERAGE(E19:E24),2)</f>
        <v>2</v>
      </c>
      <c r="F25" s="15">
        <f t="shared" si="6"/>
        <v>2</v>
      </c>
      <c r="G25" s="15">
        <f t="shared" si="6"/>
        <v>2</v>
      </c>
      <c r="H25" s="15">
        <f t="shared" si="6"/>
        <v>1</v>
      </c>
      <c r="I25" s="15">
        <f t="shared" si="6"/>
        <v>1</v>
      </c>
      <c r="J25" s="15">
        <f t="shared" si="6"/>
        <v>1</v>
      </c>
      <c r="K25" s="15">
        <f t="shared" si="6"/>
        <v>1</v>
      </c>
      <c r="L25" s="15">
        <f t="shared" si="6"/>
        <v>3</v>
      </c>
      <c r="M25" s="15">
        <f t="shared" si="6"/>
        <v>1.5</v>
      </c>
    </row>
    <row r="26" spans="1:25" ht="15.75" customHeight="1" x14ac:dyDescent="0.25">
      <c r="B26" s="199" t="s">
        <v>47</v>
      </c>
      <c r="C26" s="197"/>
      <c r="D26" s="198"/>
      <c r="E26" s="24">
        <f t="shared" ref="E26:M26" si="7">E25</f>
        <v>2</v>
      </c>
      <c r="F26" s="24">
        <f t="shared" si="7"/>
        <v>2</v>
      </c>
      <c r="G26" s="24">
        <f t="shared" si="7"/>
        <v>2</v>
      </c>
      <c r="H26" s="25">
        <f t="shared" si="7"/>
        <v>1</v>
      </c>
      <c r="I26" s="25">
        <f t="shared" si="7"/>
        <v>1</v>
      </c>
      <c r="J26" s="24">
        <f t="shared" si="7"/>
        <v>1</v>
      </c>
      <c r="K26" s="24">
        <f t="shared" si="7"/>
        <v>1</v>
      </c>
      <c r="L26" s="24">
        <f t="shared" si="7"/>
        <v>3</v>
      </c>
      <c r="M26" s="24">
        <f t="shared" si="7"/>
        <v>1.5</v>
      </c>
    </row>
    <row r="27" spans="1:25" ht="15.75" customHeight="1" x14ac:dyDescent="0.25"/>
    <row r="28" spans="1:25" ht="15.75" customHeight="1" x14ac:dyDescent="0.25"/>
    <row r="29" spans="1:25" ht="15.75" customHeight="1" x14ac:dyDescent="0.25">
      <c r="D29" s="336" t="s">
        <v>266</v>
      </c>
      <c r="I29" s="205" t="s">
        <v>48</v>
      </c>
      <c r="J29" s="203"/>
      <c r="K29" s="203"/>
      <c r="L29" s="203"/>
      <c r="M29" s="203"/>
    </row>
    <row r="30" spans="1:25" ht="15.75" customHeight="1" x14ac:dyDescent="0.25">
      <c r="A30" s="27"/>
      <c r="B30" s="27"/>
      <c r="C30" s="206" t="s">
        <v>49</v>
      </c>
      <c r="D30" s="207"/>
      <c r="E30" s="208"/>
      <c r="F30" s="27"/>
      <c r="G30" s="27"/>
      <c r="H30" s="27"/>
      <c r="I30" s="206" t="s">
        <v>49</v>
      </c>
      <c r="J30" s="207"/>
      <c r="K30" s="207"/>
      <c r="L30" s="207"/>
      <c r="M30" s="208"/>
      <c r="N30" s="27"/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27"/>
    </row>
    <row r="31" spans="1:25" ht="15.75" customHeight="1" x14ac:dyDescent="0.25"/>
    <row r="32" spans="1:25" ht="15.75" customHeight="1" x14ac:dyDescent="0.25"/>
    <row r="33" spans="2:5" ht="15.75" customHeight="1" x14ac:dyDescent="0.25"/>
    <row r="34" spans="2:5" ht="28.5" customHeight="1" x14ac:dyDescent="0.25">
      <c r="B34" s="200" t="s">
        <v>50</v>
      </c>
      <c r="C34" s="19"/>
      <c r="D34" s="202" t="s">
        <v>51</v>
      </c>
      <c r="E34" s="203"/>
    </row>
    <row r="35" spans="2:5" ht="47.25" customHeight="1" x14ac:dyDescent="0.25">
      <c r="B35" s="201"/>
      <c r="C35" s="24"/>
      <c r="D35" s="204" t="s">
        <v>52</v>
      </c>
      <c r="E35" s="203"/>
    </row>
    <row r="36" spans="2:5" ht="15.75" customHeight="1" x14ac:dyDescent="0.25"/>
    <row r="37" spans="2:5" ht="15.75" customHeight="1" x14ac:dyDescent="0.25"/>
    <row r="38" spans="2:5" ht="15.75" customHeight="1" x14ac:dyDescent="0.25"/>
    <row r="39" spans="2:5" ht="15.75" customHeight="1" x14ac:dyDescent="0.25"/>
    <row r="40" spans="2:5" ht="15.75" customHeight="1" x14ac:dyDescent="0.25"/>
    <row r="41" spans="2:5" ht="15.75" customHeight="1" x14ac:dyDescent="0.25"/>
    <row r="42" spans="2:5" ht="15.75" customHeight="1" x14ac:dyDescent="0.25"/>
    <row r="43" spans="2:5" ht="15.75" customHeight="1" x14ac:dyDescent="0.25"/>
    <row r="44" spans="2:5" ht="15.75" customHeight="1" x14ac:dyDescent="0.25"/>
    <row r="45" spans="2:5" ht="15.75" customHeight="1" x14ac:dyDescent="0.25"/>
    <row r="46" spans="2:5" ht="15.75" customHeight="1" x14ac:dyDescent="0.25"/>
    <row r="47" spans="2:5" ht="15.75" customHeight="1" x14ac:dyDescent="0.25"/>
    <row r="48" spans="2:5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</sheetData>
  <mergeCells count="16">
    <mergeCell ref="I29:M29"/>
    <mergeCell ref="C30:E30"/>
    <mergeCell ref="I30:M30"/>
    <mergeCell ref="D3:E3"/>
    <mergeCell ref="D4:E4"/>
    <mergeCell ref="D5:E5"/>
    <mergeCell ref="D6:E6"/>
    <mergeCell ref="E16:K16"/>
    <mergeCell ref="L16:M16"/>
    <mergeCell ref="C16:D18"/>
    <mergeCell ref="B25:D25"/>
    <mergeCell ref="B26:D26"/>
    <mergeCell ref="B34:B35"/>
    <mergeCell ref="D34:E34"/>
    <mergeCell ref="D35:E35"/>
    <mergeCell ref="B16:B18"/>
  </mergeCells>
  <pageMargins left="0.7" right="0.7" top="0.75" bottom="0.75" header="0" footer="0"/>
  <pageSetup scale="69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FFFF00"/>
  </sheetPr>
  <dimension ref="A1:O1000"/>
  <sheetViews>
    <sheetView topLeftCell="A109" workbookViewId="0">
      <selection activeCell="K108" sqref="K108"/>
    </sheetView>
  </sheetViews>
  <sheetFormatPr defaultColWidth="14.42578125" defaultRowHeight="15" customHeight="1" x14ac:dyDescent="0.25"/>
  <cols>
    <col min="1" max="1" width="4" customWidth="1"/>
    <col min="2" max="2" width="18.85546875" customWidth="1"/>
    <col min="3" max="3" width="42.5703125" customWidth="1"/>
    <col min="4" max="4" width="16.140625" customWidth="1"/>
    <col min="5" max="5" width="10.28515625" customWidth="1"/>
    <col min="6" max="6" width="9.28515625" customWidth="1"/>
    <col min="7" max="7" width="11.42578125" customWidth="1"/>
    <col min="8" max="8" width="9.85546875" customWidth="1"/>
    <col min="9" max="9" width="11.85546875" customWidth="1"/>
    <col min="10" max="10" width="10.7109375" customWidth="1"/>
    <col min="11" max="11" width="11.5703125" customWidth="1"/>
    <col min="12" max="15" width="5.42578125" customWidth="1"/>
  </cols>
  <sheetData>
    <row r="1" spans="1:15" ht="21.75" x14ac:dyDescent="0.35">
      <c r="A1" s="239" t="s">
        <v>53</v>
      </c>
      <c r="B1" s="203"/>
      <c r="C1" s="203"/>
      <c r="D1" s="203"/>
      <c r="E1" s="203"/>
      <c r="F1" s="203"/>
      <c r="G1" s="203"/>
      <c r="H1" s="203"/>
      <c r="I1" s="203"/>
      <c r="J1" s="203"/>
      <c r="K1" s="203"/>
      <c r="L1" s="28"/>
      <c r="M1" s="28"/>
      <c r="N1" s="28"/>
      <c r="O1" s="28"/>
    </row>
    <row r="2" spans="1:15" ht="21.75" x14ac:dyDescent="0.35">
      <c r="A2" s="239" t="s">
        <v>54</v>
      </c>
      <c r="B2" s="203"/>
      <c r="C2" s="203"/>
      <c r="D2" s="203"/>
      <c r="E2" s="203"/>
      <c r="F2" s="203"/>
      <c r="G2" s="203"/>
      <c r="H2" s="203"/>
      <c r="I2" s="203"/>
      <c r="J2" s="203"/>
      <c r="K2" s="203"/>
      <c r="L2" s="28"/>
      <c r="M2" s="28"/>
      <c r="N2" s="28"/>
      <c r="O2" s="28"/>
    </row>
    <row r="3" spans="1:15" x14ac:dyDescent="0.25">
      <c r="A3" s="28"/>
      <c r="B3" s="29" t="s">
        <v>1</v>
      </c>
      <c r="C3" s="240" t="str">
        <f>'PO Set Target attain level'!D3</f>
        <v>DATA STRUCTURE USING C</v>
      </c>
      <c r="D3" s="241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</row>
    <row r="4" spans="1:15" x14ac:dyDescent="0.25">
      <c r="A4" s="28"/>
      <c r="B4" s="29" t="s">
        <v>3</v>
      </c>
      <c r="C4" s="240">
        <f>'PO Set Target attain level'!D4</f>
        <v>313301</v>
      </c>
      <c r="D4" s="241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</row>
    <row r="5" spans="1:15" x14ac:dyDescent="0.25">
      <c r="A5" s="28"/>
      <c r="B5" s="29" t="s">
        <v>55</v>
      </c>
      <c r="C5" s="240" t="str">
        <f>'PO Set Target attain level'!D5</f>
        <v>3rd SEM(CO3K SCHEME)</v>
      </c>
      <c r="D5" s="241"/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</row>
    <row r="6" spans="1:15" x14ac:dyDescent="0.25">
      <c r="A6" s="28"/>
      <c r="B6" s="29" t="s">
        <v>56</v>
      </c>
      <c r="C6" s="240" t="str">
        <f>'PO Set Target attain level'!D6</f>
        <v>2024-25</v>
      </c>
      <c r="D6" s="241"/>
      <c r="E6" s="28"/>
      <c r="F6" s="28"/>
      <c r="G6" s="28"/>
      <c r="H6" s="28"/>
      <c r="I6" s="28"/>
      <c r="J6" s="28"/>
      <c r="K6" s="28"/>
      <c r="L6" s="28"/>
      <c r="M6" s="28"/>
      <c r="N6" s="28"/>
      <c r="O6" s="28"/>
    </row>
    <row r="7" spans="1:15" x14ac:dyDescent="0.25">
      <c r="A7" s="28"/>
      <c r="B7" s="28"/>
      <c r="C7" s="28"/>
      <c r="D7" s="28"/>
      <c r="E7" s="28"/>
      <c r="F7" s="28"/>
      <c r="G7" s="28"/>
      <c r="H7" s="28"/>
      <c r="I7" s="28"/>
      <c r="J7" s="28"/>
      <c r="K7" s="28"/>
      <c r="L7" s="28"/>
      <c r="M7" s="28"/>
      <c r="N7" s="28"/>
      <c r="O7" s="28"/>
    </row>
    <row r="8" spans="1:15" ht="25.5" customHeight="1" x14ac:dyDescent="0.25">
      <c r="A8" s="242" t="s">
        <v>23</v>
      </c>
      <c r="B8" s="218" t="s">
        <v>57</v>
      </c>
      <c r="C8" s="219" t="s">
        <v>58</v>
      </c>
      <c r="D8" s="235" t="s">
        <v>59</v>
      </c>
      <c r="E8" s="236" t="s">
        <v>60</v>
      </c>
      <c r="F8" s="214" t="s">
        <v>61</v>
      </c>
      <c r="G8" s="217" t="s">
        <v>62</v>
      </c>
      <c r="H8" s="237" t="s">
        <v>63</v>
      </c>
      <c r="I8" s="238" t="s">
        <v>64</v>
      </c>
      <c r="J8" s="30" t="s">
        <v>65</v>
      </c>
      <c r="K8" s="30" t="s">
        <v>66</v>
      </c>
      <c r="L8" s="28"/>
      <c r="M8" s="28"/>
      <c r="N8" s="28"/>
      <c r="O8" s="28"/>
    </row>
    <row r="9" spans="1:15" ht="18.75" customHeight="1" x14ac:dyDescent="0.25">
      <c r="A9" s="215"/>
      <c r="B9" s="215"/>
      <c r="C9" s="215"/>
      <c r="D9" s="215"/>
      <c r="E9" s="215"/>
      <c r="F9" s="215"/>
      <c r="G9" s="215"/>
      <c r="H9" s="215"/>
      <c r="I9" s="215"/>
      <c r="J9" s="243" t="s">
        <v>67</v>
      </c>
      <c r="K9" s="244"/>
      <c r="L9" s="28"/>
      <c r="M9" s="28"/>
      <c r="N9" s="28"/>
      <c r="O9" s="28"/>
    </row>
    <row r="10" spans="1:15" ht="23.25" customHeight="1" x14ac:dyDescent="0.25">
      <c r="A10" s="215"/>
      <c r="B10" s="215"/>
      <c r="C10" s="215"/>
      <c r="D10" s="215"/>
      <c r="E10" s="215"/>
      <c r="F10" s="215"/>
      <c r="G10" s="215"/>
      <c r="H10" s="215"/>
      <c r="I10" s="215"/>
      <c r="J10" s="245"/>
      <c r="K10" s="201"/>
      <c r="L10" s="28"/>
      <c r="M10" s="28"/>
      <c r="N10" s="28"/>
      <c r="O10" s="28"/>
    </row>
    <row r="11" spans="1:15" ht="14.25" customHeight="1" x14ac:dyDescent="0.25">
      <c r="A11" s="215"/>
      <c r="B11" s="215"/>
      <c r="C11" s="215"/>
      <c r="D11" s="216"/>
      <c r="E11" s="216"/>
      <c r="F11" s="216"/>
      <c r="G11" s="216"/>
      <c r="H11" s="216"/>
      <c r="I11" s="216"/>
      <c r="J11" s="246"/>
      <c r="K11" s="247"/>
      <c r="L11" s="28"/>
      <c r="M11" s="28"/>
      <c r="N11" s="28"/>
      <c r="O11" s="28"/>
    </row>
    <row r="12" spans="1:15" ht="18.75" customHeight="1" x14ac:dyDescent="0.25">
      <c r="A12" s="216"/>
      <c r="B12" s="216"/>
      <c r="C12" s="216"/>
      <c r="D12" s="337">
        <v>12</v>
      </c>
      <c r="E12" s="338">
        <v>8</v>
      </c>
      <c r="F12" s="338">
        <v>22</v>
      </c>
      <c r="G12" s="338">
        <v>20</v>
      </c>
      <c r="H12" s="338">
        <v>10</v>
      </c>
      <c r="I12" s="340">
        <v>12</v>
      </c>
      <c r="J12" s="339">
        <f t="shared" ref="J12:J95" si="0">D12+E12+F12</f>
        <v>42</v>
      </c>
      <c r="K12" s="339">
        <f>G12+H12+I12</f>
        <v>42</v>
      </c>
      <c r="L12" s="28"/>
      <c r="M12" s="28"/>
      <c r="N12" s="28"/>
      <c r="O12" s="28"/>
    </row>
    <row r="13" spans="1:15" ht="15.75" x14ac:dyDescent="0.25">
      <c r="A13" s="33">
        <v>1</v>
      </c>
      <c r="B13" s="34">
        <v>23510250191</v>
      </c>
      <c r="C13" s="35" t="s">
        <v>68</v>
      </c>
      <c r="D13" s="36">
        <v>14</v>
      </c>
      <c r="E13" s="36">
        <v>6</v>
      </c>
      <c r="F13" s="36">
        <v>8</v>
      </c>
      <c r="G13" s="36">
        <v>14</v>
      </c>
      <c r="H13" s="36">
        <v>5</v>
      </c>
      <c r="I13" s="36">
        <v>11</v>
      </c>
      <c r="J13" s="32">
        <f t="shared" si="0"/>
        <v>28</v>
      </c>
      <c r="K13" s="32">
        <f t="shared" ref="K12:K82" si="1">G13+H13+I13+2</f>
        <v>32</v>
      </c>
      <c r="L13" s="28"/>
      <c r="M13" s="28"/>
      <c r="N13" s="28"/>
      <c r="O13" s="28"/>
    </row>
    <row r="14" spans="1:15" ht="15.75" x14ac:dyDescent="0.25">
      <c r="A14" s="33">
        <v>2</v>
      </c>
      <c r="B14" s="34">
        <v>23510250192</v>
      </c>
      <c r="C14" s="35" t="s">
        <v>69</v>
      </c>
      <c r="D14" s="36">
        <v>9</v>
      </c>
      <c r="E14" s="36">
        <v>2</v>
      </c>
      <c r="F14" s="36">
        <v>3</v>
      </c>
      <c r="G14" s="36">
        <v>7</v>
      </c>
      <c r="H14" s="36">
        <v>5</v>
      </c>
      <c r="I14" s="36">
        <v>9</v>
      </c>
      <c r="J14" s="32">
        <f t="shared" si="0"/>
        <v>14</v>
      </c>
      <c r="K14" s="32">
        <f t="shared" si="1"/>
        <v>23</v>
      </c>
      <c r="L14" s="28"/>
      <c r="M14" s="28"/>
      <c r="N14" s="28"/>
      <c r="O14" s="28"/>
    </row>
    <row r="15" spans="1:15" ht="15.75" x14ac:dyDescent="0.25">
      <c r="A15" s="33">
        <v>3</v>
      </c>
      <c r="B15" s="34">
        <v>23510250193</v>
      </c>
      <c r="C15" s="35" t="s">
        <v>70</v>
      </c>
      <c r="D15" s="36">
        <v>4</v>
      </c>
      <c r="E15" s="36">
        <v>4</v>
      </c>
      <c r="F15" s="36">
        <v>4</v>
      </c>
      <c r="G15" s="36">
        <v>10</v>
      </c>
      <c r="H15" s="36">
        <v>4</v>
      </c>
      <c r="I15" s="36">
        <v>6</v>
      </c>
      <c r="J15" s="32">
        <f t="shared" si="0"/>
        <v>12</v>
      </c>
      <c r="K15" s="32">
        <f t="shared" si="1"/>
        <v>22</v>
      </c>
      <c r="L15" s="28"/>
      <c r="M15" s="28"/>
      <c r="N15" s="28"/>
      <c r="O15" s="28"/>
    </row>
    <row r="16" spans="1:15" ht="15.75" x14ac:dyDescent="0.25">
      <c r="A16" s="33">
        <v>4</v>
      </c>
      <c r="B16" s="34">
        <v>23510250194</v>
      </c>
      <c r="C16" s="35" t="s">
        <v>71</v>
      </c>
      <c r="D16" s="36">
        <v>14</v>
      </c>
      <c r="E16" s="36">
        <v>7</v>
      </c>
      <c r="F16" s="36">
        <v>9</v>
      </c>
      <c r="G16" s="36">
        <v>12</v>
      </c>
      <c r="H16" s="36">
        <v>7</v>
      </c>
      <c r="I16" s="36">
        <v>3</v>
      </c>
      <c r="J16" s="32">
        <f t="shared" si="0"/>
        <v>30</v>
      </c>
      <c r="K16" s="32">
        <f t="shared" si="1"/>
        <v>24</v>
      </c>
      <c r="L16" s="28"/>
      <c r="M16" s="28"/>
      <c r="N16" s="28"/>
      <c r="O16" s="28"/>
    </row>
    <row r="17" spans="1:15" ht="15.75" x14ac:dyDescent="0.25">
      <c r="A17" s="33">
        <v>5</v>
      </c>
      <c r="B17" s="37">
        <v>23510250195</v>
      </c>
      <c r="C17" s="38" t="s">
        <v>72</v>
      </c>
      <c r="D17" s="36">
        <v>13</v>
      </c>
      <c r="E17" s="36">
        <v>7</v>
      </c>
      <c r="F17" s="36">
        <v>14</v>
      </c>
      <c r="G17" s="36">
        <v>14</v>
      </c>
      <c r="H17" s="36">
        <v>8</v>
      </c>
      <c r="I17" s="36">
        <v>12</v>
      </c>
      <c r="J17" s="32">
        <f t="shared" si="0"/>
        <v>34</v>
      </c>
      <c r="K17" s="32">
        <f t="shared" si="1"/>
        <v>36</v>
      </c>
      <c r="L17" s="28"/>
      <c r="M17" s="28"/>
      <c r="N17" s="28"/>
      <c r="O17" s="28"/>
    </row>
    <row r="18" spans="1:15" ht="15.75" x14ac:dyDescent="0.25">
      <c r="A18" s="33">
        <v>6</v>
      </c>
      <c r="B18" s="37">
        <v>23510250196</v>
      </c>
      <c r="C18" s="38" t="s">
        <v>73</v>
      </c>
      <c r="D18" s="36">
        <v>11</v>
      </c>
      <c r="E18" s="36">
        <v>4</v>
      </c>
      <c r="F18" s="36">
        <v>7</v>
      </c>
      <c r="G18" s="36">
        <v>15</v>
      </c>
      <c r="H18" s="36">
        <v>3</v>
      </c>
      <c r="I18" s="36">
        <v>1</v>
      </c>
      <c r="J18" s="32">
        <f t="shared" si="0"/>
        <v>22</v>
      </c>
      <c r="K18" s="32">
        <f t="shared" si="1"/>
        <v>21</v>
      </c>
      <c r="L18" s="28"/>
      <c r="M18" s="28"/>
      <c r="N18" s="28"/>
      <c r="O18" s="28"/>
    </row>
    <row r="19" spans="1:15" ht="15.75" x14ac:dyDescent="0.25">
      <c r="A19" s="33">
        <v>7</v>
      </c>
      <c r="B19" s="37">
        <v>23510250197</v>
      </c>
      <c r="C19" s="38" t="s">
        <v>74</v>
      </c>
      <c r="D19" s="36">
        <v>12</v>
      </c>
      <c r="E19" s="36">
        <v>4</v>
      </c>
      <c r="F19" s="36">
        <v>5</v>
      </c>
      <c r="G19" s="36">
        <v>6</v>
      </c>
      <c r="H19" s="36">
        <v>0</v>
      </c>
      <c r="I19" s="36">
        <v>8</v>
      </c>
      <c r="J19" s="32">
        <f t="shared" si="0"/>
        <v>21</v>
      </c>
      <c r="K19" s="32">
        <f t="shared" si="1"/>
        <v>16</v>
      </c>
      <c r="L19" s="28"/>
      <c r="M19" s="28"/>
      <c r="N19" s="28"/>
      <c r="O19" s="28"/>
    </row>
    <row r="20" spans="1:15" ht="15.75" x14ac:dyDescent="0.25">
      <c r="A20" s="33">
        <v>8</v>
      </c>
      <c r="B20" s="37">
        <v>23510250198</v>
      </c>
      <c r="C20" s="38" t="s">
        <v>75</v>
      </c>
      <c r="D20" s="36">
        <v>13</v>
      </c>
      <c r="E20" s="36">
        <v>8</v>
      </c>
      <c r="F20" s="36">
        <v>14</v>
      </c>
      <c r="G20" s="36">
        <v>15</v>
      </c>
      <c r="H20" s="36">
        <v>9</v>
      </c>
      <c r="I20" s="36">
        <v>4</v>
      </c>
      <c r="J20" s="32">
        <f t="shared" si="0"/>
        <v>35</v>
      </c>
      <c r="K20" s="32">
        <f t="shared" si="1"/>
        <v>30</v>
      </c>
      <c r="L20" s="28"/>
      <c r="M20" s="28"/>
      <c r="N20" s="28"/>
      <c r="O20" s="28"/>
    </row>
    <row r="21" spans="1:15" ht="15.75" customHeight="1" x14ac:dyDescent="0.25">
      <c r="A21" s="33">
        <v>9</v>
      </c>
      <c r="B21" s="37">
        <v>23510250199</v>
      </c>
      <c r="C21" s="38" t="s">
        <v>76</v>
      </c>
      <c r="D21" s="36">
        <v>11</v>
      </c>
      <c r="E21" s="36">
        <v>4</v>
      </c>
      <c r="F21" s="36">
        <v>6</v>
      </c>
      <c r="G21" s="36">
        <v>12</v>
      </c>
      <c r="H21" s="36">
        <v>6</v>
      </c>
      <c r="I21" s="36">
        <v>4</v>
      </c>
      <c r="J21" s="32">
        <f t="shared" si="0"/>
        <v>21</v>
      </c>
      <c r="K21" s="32">
        <f t="shared" si="1"/>
        <v>24</v>
      </c>
      <c r="L21" s="28"/>
      <c r="M21" s="28"/>
      <c r="N21" s="28"/>
      <c r="O21" s="28"/>
    </row>
    <row r="22" spans="1:15" ht="15.75" customHeight="1" x14ac:dyDescent="0.25">
      <c r="A22" s="33">
        <v>10</v>
      </c>
      <c r="B22" s="37">
        <v>23510250200</v>
      </c>
      <c r="C22" s="38" t="s">
        <v>77</v>
      </c>
      <c r="D22" s="36">
        <v>6</v>
      </c>
      <c r="E22" s="36">
        <v>4</v>
      </c>
      <c r="F22" s="36">
        <v>4</v>
      </c>
      <c r="G22" s="36">
        <v>20</v>
      </c>
      <c r="H22" s="36">
        <v>8</v>
      </c>
      <c r="I22" s="36">
        <v>4</v>
      </c>
      <c r="J22" s="32">
        <f t="shared" si="0"/>
        <v>14</v>
      </c>
      <c r="K22" s="32">
        <f t="shared" si="1"/>
        <v>34</v>
      </c>
      <c r="L22" s="28"/>
      <c r="M22" s="28"/>
      <c r="N22" s="28"/>
      <c r="O22" s="28"/>
    </row>
    <row r="23" spans="1:15" ht="15.75" customHeight="1" x14ac:dyDescent="0.25">
      <c r="A23" s="33">
        <v>11</v>
      </c>
      <c r="B23" s="37">
        <v>23510250201</v>
      </c>
      <c r="C23" s="38" t="s">
        <v>78</v>
      </c>
      <c r="D23" s="36">
        <v>13</v>
      </c>
      <c r="E23" s="36">
        <v>6</v>
      </c>
      <c r="F23" s="36">
        <v>7</v>
      </c>
      <c r="G23" s="36">
        <v>12</v>
      </c>
      <c r="H23" s="36">
        <v>8</v>
      </c>
      <c r="I23" s="36">
        <v>12</v>
      </c>
      <c r="J23" s="32">
        <f t="shared" si="0"/>
        <v>26</v>
      </c>
      <c r="K23" s="32">
        <f t="shared" si="1"/>
        <v>34</v>
      </c>
      <c r="L23" s="28"/>
      <c r="M23" s="28"/>
      <c r="N23" s="28"/>
      <c r="O23" s="28"/>
    </row>
    <row r="24" spans="1:15" ht="15.75" customHeight="1" x14ac:dyDescent="0.25">
      <c r="A24" s="33">
        <v>12</v>
      </c>
      <c r="B24" s="37">
        <v>23510250202</v>
      </c>
      <c r="C24" s="38" t="s">
        <v>79</v>
      </c>
      <c r="D24" s="36">
        <v>2</v>
      </c>
      <c r="E24" s="36">
        <v>1</v>
      </c>
      <c r="F24" s="36">
        <v>2</v>
      </c>
      <c r="G24" s="36">
        <v>9</v>
      </c>
      <c r="H24" s="36">
        <v>4</v>
      </c>
      <c r="I24" s="36">
        <v>0</v>
      </c>
      <c r="J24" s="32">
        <f t="shared" si="0"/>
        <v>5</v>
      </c>
      <c r="K24" s="32">
        <f t="shared" si="1"/>
        <v>15</v>
      </c>
      <c r="L24" s="28"/>
      <c r="M24" s="28"/>
      <c r="N24" s="28"/>
      <c r="O24" s="28"/>
    </row>
    <row r="25" spans="1:15" ht="15.75" customHeight="1" x14ac:dyDescent="0.25">
      <c r="A25" s="33">
        <v>13</v>
      </c>
      <c r="B25" s="37">
        <v>23510250203</v>
      </c>
      <c r="C25" s="38" t="s">
        <v>80</v>
      </c>
      <c r="D25" s="36">
        <v>10</v>
      </c>
      <c r="E25" s="36">
        <v>5</v>
      </c>
      <c r="F25" s="36">
        <v>7</v>
      </c>
      <c r="G25" s="36">
        <v>15</v>
      </c>
      <c r="H25" s="36">
        <v>5</v>
      </c>
      <c r="I25" s="36">
        <v>2</v>
      </c>
      <c r="J25" s="32">
        <f t="shared" si="0"/>
        <v>22</v>
      </c>
      <c r="K25" s="32">
        <f t="shared" si="1"/>
        <v>24</v>
      </c>
      <c r="L25" s="28"/>
      <c r="M25" s="28"/>
      <c r="N25" s="28"/>
      <c r="O25" s="28"/>
    </row>
    <row r="26" spans="1:15" ht="15.75" customHeight="1" x14ac:dyDescent="0.25">
      <c r="A26" s="33">
        <v>14</v>
      </c>
      <c r="B26" s="37">
        <v>23510250204</v>
      </c>
      <c r="C26" s="38" t="s">
        <v>81</v>
      </c>
      <c r="D26" s="36">
        <v>10</v>
      </c>
      <c r="E26" s="36">
        <v>7</v>
      </c>
      <c r="F26" s="36">
        <v>3</v>
      </c>
      <c r="G26" s="36">
        <v>17</v>
      </c>
      <c r="H26" s="36">
        <v>8</v>
      </c>
      <c r="I26" s="36">
        <v>12</v>
      </c>
      <c r="J26" s="32">
        <f t="shared" si="0"/>
        <v>20</v>
      </c>
      <c r="K26" s="32">
        <f t="shared" si="1"/>
        <v>39</v>
      </c>
      <c r="L26" s="28"/>
      <c r="M26" s="28"/>
      <c r="N26" s="28"/>
      <c r="O26" s="28"/>
    </row>
    <row r="27" spans="1:15" ht="15.75" customHeight="1" x14ac:dyDescent="0.25">
      <c r="A27" s="33">
        <v>15</v>
      </c>
      <c r="B27" s="37">
        <v>23510250205</v>
      </c>
      <c r="C27" s="38" t="s">
        <v>82</v>
      </c>
      <c r="D27" s="36">
        <v>12</v>
      </c>
      <c r="E27" s="36">
        <v>6</v>
      </c>
      <c r="F27" s="36">
        <v>9</v>
      </c>
      <c r="G27" s="36">
        <v>11</v>
      </c>
      <c r="H27" s="36">
        <v>5</v>
      </c>
      <c r="I27" s="36">
        <v>12</v>
      </c>
      <c r="J27" s="32">
        <f t="shared" si="0"/>
        <v>27</v>
      </c>
      <c r="K27" s="32">
        <f t="shared" si="1"/>
        <v>30</v>
      </c>
      <c r="L27" s="28"/>
      <c r="M27" s="28"/>
      <c r="N27" s="28"/>
      <c r="O27" s="28"/>
    </row>
    <row r="28" spans="1:15" ht="15.75" customHeight="1" x14ac:dyDescent="0.25">
      <c r="A28" s="33">
        <v>16</v>
      </c>
      <c r="B28" s="37">
        <v>23510250206</v>
      </c>
      <c r="C28" s="38" t="s">
        <v>83</v>
      </c>
      <c r="D28" s="36">
        <v>8</v>
      </c>
      <c r="E28" s="36">
        <v>1</v>
      </c>
      <c r="F28" s="36">
        <v>9</v>
      </c>
      <c r="G28" s="36">
        <v>6</v>
      </c>
      <c r="H28" s="36">
        <v>2</v>
      </c>
      <c r="I28" s="36">
        <v>2</v>
      </c>
      <c r="J28" s="32">
        <f t="shared" si="0"/>
        <v>18</v>
      </c>
      <c r="K28" s="32">
        <f t="shared" si="1"/>
        <v>12</v>
      </c>
      <c r="L28" s="28"/>
      <c r="M28" s="28"/>
      <c r="N28" s="28"/>
      <c r="O28" s="28"/>
    </row>
    <row r="29" spans="1:15" ht="15.75" customHeight="1" x14ac:dyDescent="0.25">
      <c r="A29" s="33">
        <v>17</v>
      </c>
      <c r="B29" s="37">
        <v>23510250207</v>
      </c>
      <c r="C29" s="38" t="s">
        <v>84</v>
      </c>
      <c r="D29" s="36">
        <v>11</v>
      </c>
      <c r="E29" s="36">
        <v>4</v>
      </c>
      <c r="F29" s="36">
        <v>12</v>
      </c>
      <c r="G29" s="36">
        <v>7</v>
      </c>
      <c r="H29" s="36">
        <v>6</v>
      </c>
      <c r="I29" s="36">
        <v>6</v>
      </c>
      <c r="J29" s="32">
        <f t="shared" si="0"/>
        <v>27</v>
      </c>
      <c r="K29" s="32">
        <f t="shared" si="1"/>
        <v>21</v>
      </c>
      <c r="L29" s="28"/>
      <c r="M29" s="28"/>
      <c r="N29" s="28"/>
      <c r="O29" s="28"/>
    </row>
    <row r="30" spans="1:15" ht="15.75" customHeight="1" x14ac:dyDescent="0.25">
      <c r="A30" s="33">
        <v>18</v>
      </c>
      <c r="B30" s="37">
        <v>23510250208</v>
      </c>
      <c r="C30" s="38" t="s">
        <v>85</v>
      </c>
      <c r="D30" s="36">
        <v>11</v>
      </c>
      <c r="E30" s="36">
        <v>3</v>
      </c>
      <c r="F30" s="36">
        <v>18</v>
      </c>
      <c r="G30" s="36">
        <v>9</v>
      </c>
      <c r="H30" s="36">
        <v>7</v>
      </c>
      <c r="I30" s="36">
        <v>5</v>
      </c>
      <c r="J30" s="32">
        <f t="shared" si="0"/>
        <v>32</v>
      </c>
      <c r="K30" s="32">
        <f t="shared" si="1"/>
        <v>23</v>
      </c>
      <c r="L30" s="28"/>
      <c r="M30" s="28"/>
      <c r="N30" s="28"/>
      <c r="O30" s="28"/>
    </row>
    <row r="31" spans="1:15" ht="15.75" customHeight="1" x14ac:dyDescent="0.25">
      <c r="A31" s="33">
        <v>19</v>
      </c>
      <c r="B31" s="37">
        <v>23510250209</v>
      </c>
      <c r="C31" s="38" t="s">
        <v>86</v>
      </c>
      <c r="D31" s="36">
        <v>14</v>
      </c>
      <c r="E31" s="36">
        <v>7</v>
      </c>
      <c r="F31" s="36">
        <v>11</v>
      </c>
      <c r="G31" s="36">
        <v>12</v>
      </c>
      <c r="H31" s="36">
        <v>10</v>
      </c>
      <c r="I31" s="36">
        <v>10</v>
      </c>
      <c r="J31" s="32">
        <f t="shared" si="0"/>
        <v>32</v>
      </c>
      <c r="K31" s="32">
        <f t="shared" si="1"/>
        <v>34</v>
      </c>
      <c r="L31" s="28"/>
      <c r="M31" s="28"/>
      <c r="N31" s="28"/>
      <c r="O31" s="28"/>
    </row>
    <row r="32" spans="1:15" ht="15.75" customHeight="1" x14ac:dyDescent="0.25">
      <c r="A32" s="33">
        <v>20</v>
      </c>
      <c r="B32" s="37">
        <v>23510250210</v>
      </c>
      <c r="C32" s="38" t="s">
        <v>87</v>
      </c>
      <c r="D32" s="36">
        <v>7</v>
      </c>
      <c r="E32" s="36">
        <v>4</v>
      </c>
      <c r="F32" s="36">
        <v>8</v>
      </c>
      <c r="G32" s="36">
        <v>6</v>
      </c>
      <c r="H32" s="36">
        <v>2</v>
      </c>
      <c r="I32" s="36">
        <v>1</v>
      </c>
      <c r="J32" s="32">
        <f t="shared" si="0"/>
        <v>19</v>
      </c>
      <c r="K32" s="32">
        <f t="shared" si="1"/>
        <v>11</v>
      </c>
      <c r="L32" s="28"/>
      <c r="M32" s="28"/>
      <c r="N32" s="28"/>
      <c r="O32" s="28"/>
    </row>
    <row r="33" spans="1:15" ht="15.75" customHeight="1" x14ac:dyDescent="0.25">
      <c r="A33" s="33">
        <v>21</v>
      </c>
      <c r="B33" s="37">
        <v>23510250211</v>
      </c>
      <c r="C33" s="38" t="s">
        <v>88</v>
      </c>
      <c r="D33" s="36">
        <v>5</v>
      </c>
      <c r="E33" s="36">
        <v>0</v>
      </c>
      <c r="F33" s="36">
        <v>3</v>
      </c>
      <c r="G33" s="36">
        <v>8</v>
      </c>
      <c r="H33" s="36">
        <v>0</v>
      </c>
      <c r="I33" s="36">
        <v>2</v>
      </c>
      <c r="J33" s="32">
        <f t="shared" si="0"/>
        <v>8</v>
      </c>
      <c r="K33" s="32">
        <f t="shared" si="1"/>
        <v>12</v>
      </c>
      <c r="L33" s="28"/>
      <c r="M33" s="28"/>
      <c r="N33" s="28"/>
      <c r="O33" s="28"/>
    </row>
    <row r="34" spans="1:15" ht="15.75" customHeight="1" x14ac:dyDescent="0.25">
      <c r="A34" s="33">
        <v>22</v>
      </c>
      <c r="B34" s="37">
        <v>23510250212</v>
      </c>
      <c r="C34" s="38" t="s">
        <v>89</v>
      </c>
      <c r="D34" s="36">
        <v>11</v>
      </c>
      <c r="E34" s="36">
        <v>6</v>
      </c>
      <c r="F34" s="36">
        <v>6</v>
      </c>
      <c r="G34" s="36">
        <v>7</v>
      </c>
      <c r="H34" s="36">
        <v>7</v>
      </c>
      <c r="I34" s="36">
        <v>3</v>
      </c>
      <c r="J34" s="32">
        <f t="shared" si="0"/>
        <v>23</v>
      </c>
      <c r="K34" s="32">
        <f t="shared" si="1"/>
        <v>19</v>
      </c>
      <c r="L34" s="28"/>
      <c r="M34" s="28"/>
      <c r="N34" s="28"/>
      <c r="O34" s="28"/>
    </row>
    <row r="35" spans="1:15" ht="15.75" customHeight="1" x14ac:dyDescent="0.25">
      <c r="A35" s="33">
        <v>23</v>
      </c>
      <c r="B35" s="37">
        <v>23510250213</v>
      </c>
      <c r="C35" s="38" t="s">
        <v>90</v>
      </c>
      <c r="D35" s="36">
        <v>5</v>
      </c>
      <c r="E35" s="36">
        <v>1</v>
      </c>
      <c r="F35" s="36">
        <v>6</v>
      </c>
      <c r="G35" s="36">
        <v>8</v>
      </c>
      <c r="H35" s="36">
        <v>4</v>
      </c>
      <c r="I35" s="36">
        <v>0</v>
      </c>
      <c r="J35" s="32">
        <f t="shared" si="0"/>
        <v>12</v>
      </c>
      <c r="K35" s="32">
        <f t="shared" si="1"/>
        <v>14</v>
      </c>
      <c r="L35" s="28"/>
      <c r="M35" s="28"/>
      <c r="N35" s="28"/>
      <c r="O35" s="28"/>
    </row>
    <row r="36" spans="1:15" ht="15.75" customHeight="1" x14ac:dyDescent="0.25">
      <c r="A36" s="33">
        <v>24</v>
      </c>
      <c r="B36" s="37">
        <v>23510250214</v>
      </c>
      <c r="C36" s="38" t="s">
        <v>91</v>
      </c>
      <c r="D36" s="36">
        <v>11</v>
      </c>
      <c r="E36" s="36">
        <v>3</v>
      </c>
      <c r="F36" s="36">
        <v>9</v>
      </c>
      <c r="G36" s="36">
        <v>4</v>
      </c>
      <c r="H36" s="36">
        <v>3</v>
      </c>
      <c r="I36" s="36">
        <v>1</v>
      </c>
      <c r="J36" s="32">
        <f t="shared" si="0"/>
        <v>23</v>
      </c>
      <c r="K36" s="32">
        <f t="shared" si="1"/>
        <v>10</v>
      </c>
      <c r="L36" s="28"/>
      <c r="M36" s="28"/>
      <c r="N36" s="28"/>
      <c r="O36" s="28"/>
    </row>
    <row r="37" spans="1:15" ht="15.75" customHeight="1" x14ac:dyDescent="0.25">
      <c r="A37" s="33">
        <v>25</v>
      </c>
      <c r="B37" s="37">
        <v>23510250215</v>
      </c>
      <c r="C37" s="38" t="s">
        <v>92</v>
      </c>
      <c r="D37" s="36">
        <v>12</v>
      </c>
      <c r="E37" s="36">
        <v>7</v>
      </c>
      <c r="F37" s="36">
        <v>7</v>
      </c>
      <c r="G37" s="36">
        <v>12</v>
      </c>
      <c r="H37" s="36">
        <v>7</v>
      </c>
      <c r="I37" s="36">
        <v>10</v>
      </c>
      <c r="J37" s="32">
        <f t="shared" si="0"/>
        <v>26</v>
      </c>
      <c r="K37" s="32">
        <f t="shared" si="1"/>
        <v>31</v>
      </c>
      <c r="L37" s="28"/>
      <c r="M37" s="28"/>
      <c r="N37" s="28"/>
      <c r="O37" s="28"/>
    </row>
    <row r="38" spans="1:15" ht="15.75" customHeight="1" x14ac:dyDescent="0.25">
      <c r="A38" s="33">
        <v>26</v>
      </c>
      <c r="B38" s="37">
        <v>23510250216</v>
      </c>
      <c r="C38" s="38" t="s">
        <v>93</v>
      </c>
      <c r="D38" s="36">
        <v>11</v>
      </c>
      <c r="E38" s="36">
        <v>8</v>
      </c>
      <c r="F38" s="36">
        <v>6</v>
      </c>
      <c r="G38" s="36">
        <v>5</v>
      </c>
      <c r="H38" s="36">
        <v>7</v>
      </c>
      <c r="I38" s="36">
        <v>8</v>
      </c>
      <c r="J38" s="32">
        <f t="shared" si="0"/>
        <v>25</v>
      </c>
      <c r="K38" s="32">
        <f t="shared" si="1"/>
        <v>22</v>
      </c>
      <c r="L38" s="28"/>
      <c r="M38" s="28"/>
      <c r="N38" s="28"/>
      <c r="O38" s="28"/>
    </row>
    <row r="39" spans="1:15" ht="15.75" customHeight="1" x14ac:dyDescent="0.25">
      <c r="A39" s="33">
        <v>27</v>
      </c>
      <c r="B39" s="37">
        <v>23510250217</v>
      </c>
      <c r="C39" s="38" t="s">
        <v>94</v>
      </c>
      <c r="D39" s="36">
        <v>14</v>
      </c>
      <c r="E39" s="36">
        <v>8</v>
      </c>
      <c r="F39" s="36">
        <v>16</v>
      </c>
      <c r="G39" s="36">
        <v>16</v>
      </c>
      <c r="H39" s="36">
        <v>10</v>
      </c>
      <c r="I39" s="36">
        <v>10</v>
      </c>
      <c r="J39" s="32">
        <f t="shared" si="0"/>
        <v>38</v>
      </c>
      <c r="K39" s="32">
        <f t="shared" si="1"/>
        <v>38</v>
      </c>
      <c r="L39" s="28"/>
      <c r="M39" s="28"/>
      <c r="N39" s="28"/>
      <c r="O39" s="28"/>
    </row>
    <row r="40" spans="1:15" ht="15.75" customHeight="1" x14ac:dyDescent="0.25">
      <c r="A40" s="33">
        <v>28</v>
      </c>
      <c r="B40" s="37">
        <v>23510250218</v>
      </c>
      <c r="C40" s="38" t="s">
        <v>95</v>
      </c>
      <c r="D40" s="36">
        <v>13</v>
      </c>
      <c r="E40" s="36">
        <v>6</v>
      </c>
      <c r="F40" s="36">
        <v>11</v>
      </c>
      <c r="G40" s="36">
        <v>12</v>
      </c>
      <c r="H40" s="36">
        <v>7</v>
      </c>
      <c r="I40" s="36">
        <v>11</v>
      </c>
      <c r="J40" s="32">
        <f t="shared" si="0"/>
        <v>30</v>
      </c>
      <c r="K40" s="32">
        <f t="shared" si="1"/>
        <v>32</v>
      </c>
      <c r="L40" s="28"/>
      <c r="M40" s="28"/>
      <c r="N40" s="28"/>
      <c r="O40" s="28"/>
    </row>
    <row r="41" spans="1:15" ht="15.75" customHeight="1" x14ac:dyDescent="0.25">
      <c r="A41" s="33">
        <v>29</v>
      </c>
      <c r="B41" s="37">
        <v>23510250219</v>
      </c>
      <c r="C41" s="38" t="s">
        <v>96</v>
      </c>
      <c r="D41" s="36">
        <v>11</v>
      </c>
      <c r="E41" s="36">
        <v>7</v>
      </c>
      <c r="F41" s="36">
        <v>8</v>
      </c>
      <c r="G41" s="36">
        <v>12</v>
      </c>
      <c r="H41" s="36">
        <v>6</v>
      </c>
      <c r="I41" s="36">
        <v>11</v>
      </c>
      <c r="J41" s="32">
        <f t="shared" si="0"/>
        <v>26</v>
      </c>
      <c r="K41" s="32">
        <f t="shared" si="1"/>
        <v>31</v>
      </c>
      <c r="L41" s="28"/>
      <c r="M41" s="28"/>
      <c r="N41" s="28"/>
      <c r="O41" s="28"/>
    </row>
    <row r="42" spans="1:15" ht="15.75" customHeight="1" x14ac:dyDescent="0.25">
      <c r="A42" s="33">
        <v>30</v>
      </c>
      <c r="B42" s="37">
        <v>23510250220</v>
      </c>
      <c r="C42" s="38" t="s">
        <v>97</v>
      </c>
      <c r="D42" s="36">
        <v>11</v>
      </c>
      <c r="E42" s="36">
        <v>3</v>
      </c>
      <c r="F42" s="36">
        <v>5</v>
      </c>
      <c r="G42" s="36">
        <v>6</v>
      </c>
      <c r="H42" s="36">
        <v>3</v>
      </c>
      <c r="I42" s="36">
        <v>2</v>
      </c>
      <c r="J42" s="32">
        <f t="shared" si="0"/>
        <v>19</v>
      </c>
      <c r="K42" s="32">
        <f t="shared" si="1"/>
        <v>13</v>
      </c>
      <c r="L42" s="28"/>
      <c r="M42" s="28"/>
      <c r="N42" s="28"/>
      <c r="O42" s="28"/>
    </row>
    <row r="43" spans="1:15" ht="15.75" customHeight="1" x14ac:dyDescent="0.25">
      <c r="A43" s="33">
        <v>31</v>
      </c>
      <c r="B43" s="37">
        <v>23510250221</v>
      </c>
      <c r="C43" s="38" t="s">
        <v>98</v>
      </c>
      <c r="D43" s="36">
        <v>10</v>
      </c>
      <c r="E43" s="36">
        <v>4</v>
      </c>
      <c r="F43" s="39">
        <v>11</v>
      </c>
      <c r="G43" s="36">
        <v>7</v>
      </c>
      <c r="H43" s="36">
        <v>6</v>
      </c>
      <c r="I43" s="36">
        <v>9</v>
      </c>
      <c r="J43" s="32">
        <f t="shared" si="0"/>
        <v>25</v>
      </c>
      <c r="K43" s="32">
        <f t="shared" si="1"/>
        <v>24</v>
      </c>
      <c r="L43" s="28"/>
      <c r="M43" s="28"/>
      <c r="N43" s="28"/>
      <c r="O43" s="28"/>
    </row>
    <row r="44" spans="1:15" ht="15.75" customHeight="1" x14ac:dyDescent="0.25">
      <c r="A44" s="33">
        <v>32</v>
      </c>
      <c r="B44" s="37">
        <v>23510250222</v>
      </c>
      <c r="C44" s="38" t="s">
        <v>99</v>
      </c>
      <c r="D44" s="36">
        <v>14</v>
      </c>
      <c r="E44" s="36">
        <v>8</v>
      </c>
      <c r="F44" s="36">
        <v>16</v>
      </c>
      <c r="G44" s="36">
        <v>17</v>
      </c>
      <c r="H44" s="36">
        <v>9</v>
      </c>
      <c r="I44" s="36">
        <v>10</v>
      </c>
      <c r="J44" s="32">
        <f t="shared" si="0"/>
        <v>38</v>
      </c>
      <c r="K44" s="32">
        <f t="shared" si="1"/>
        <v>38</v>
      </c>
      <c r="L44" s="28"/>
      <c r="M44" s="28"/>
      <c r="N44" s="28"/>
      <c r="O44" s="28"/>
    </row>
    <row r="45" spans="1:15" ht="15.75" customHeight="1" x14ac:dyDescent="0.25">
      <c r="A45" s="33">
        <v>33</v>
      </c>
      <c r="B45" s="37">
        <v>23510250223</v>
      </c>
      <c r="C45" s="38" t="s">
        <v>100</v>
      </c>
      <c r="D45" s="36">
        <v>12</v>
      </c>
      <c r="E45" s="36">
        <v>1</v>
      </c>
      <c r="F45" s="36">
        <v>4</v>
      </c>
      <c r="G45" s="36">
        <v>6</v>
      </c>
      <c r="H45" s="36">
        <v>5</v>
      </c>
      <c r="I45" s="36">
        <v>3</v>
      </c>
      <c r="J45" s="32">
        <f t="shared" si="0"/>
        <v>17</v>
      </c>
      <c r="K45" s="32">
        <f t="shared" si="1"/>
        <v>16</v>
      </c>
      <c r="L45" s="28"/>
      <c r="M45" s="28"/>
      <c r="N45" s="28"/>
      <c r="O45" s="28"/>
    </row>
    <row r="46" spans="1:15" ht="15.75" customHeight="1" x14ac:dyDescent="0.25">
      <c r="A46" s="33">
        <v>34</v>
      </c>
      <c r="B46" s="37">
        <v>23510250224</v>
      </c>
      <c r="C46" s="38" t="s">
        <v>101</v>
      </c>
      <c r="D46" s="36">
        <v>4</v>
      </c>
      <c r="E46" s="36">
        <v>2</v>
      </c>
      <c r="F46" s="36">
        <v>1</v>
      </c>
      <c r="G46" s="36">
        <v>7</v>
      </c>
      <c r="H46" s="36">
        <v>5</v>
      </c>
      <c r="I46" s="36">
        <v>8</v>
      </c>
      <c r="J46" s="32">
        <f t="shared" si="0"/>
        <v>7</v>
      </c>
      <c r="K46" s="32">
        <f t="shared" si="1"/>
        <v>22</v>
      </c>
      <c r="L46" s="28"/>
      <c r="M46" s="28"/>
      <c r="N46" s="28"/>
      <c r="O46" s="28"/>
    </row>
    <row r="47" spans="1:15" ht="15.75" customHeight="1" x14ac:dyDescent="0.25">
      <c r="A47" s="33">
        <v>35</v>
      </c>
      <c r="B47" s="37">
        <v>23510250225</v>
      </c>
      <c r="C47" s="38" t="s">
        <v>102</v>
      </c>
      <c r="D47" s="36">
        <v>13</v>
      </c>
      <c r="E47" s="36">
        <v>8</v>
      </c>
      <c r="F47" s="36">
        <v>12</v>
      </c>
      <c r="G47" s="36">
        <v>12</v>
      </c>
      <c r="H47" s="36">
        <v>9</v>
      </c>
      <c r="I47" s="36">
        <v>10</v>
      </c>
      <c r="J47" s="32">
        <f t="shared" si="0"/>
        <v>33</v>
      </c>
      <c r="K47" s="32">
        <f t="shared" si="1"/>
        <v>33</v>
      </c>
      <c r="L47" s="28"/>
      <c r="M47" s="28"/>
      <c r="N47" s="28"/>
      <c r="O47" s="28"/>
    </row>
    <row r="48" spans="1:15" ht="15.75" customHeight="1" x14ac:dyDescent="0.25">
      <c r="A48" s="33">
        <v>36</v>
      </c>
      <c r="B48" s="37">
        <v>23510250226</v>
      </c>
      <c r="C48" s="38" t="s">
        <v>103</v>
      </c>
      <c r="D48" s="36">
        <v>14</v>
      </c>
      <c r="E48" s="36">
        <v>8</v>
      </c>
      <c r="F48" s="36">
        <v>16</v>
      </c>
      <c r="G48" s="36">
        <v>14</v>
      </c>
      <c r="H48" s="36">
        <v>10</v>
      </c>
      <c r="I48" s="36">
        <v>11</v>
      </c>
      <c r="J48" s="32">
        <f t="shared" si="0"/>
        <v>38</v>
      </c>
      <c r="K48" s="32">
        <f t="shared" si="1"/>
        <v>37</v>
      </c>
      <c r="L48" s="28"/>
      <c r="M48" s="28"/>
      <c r="N48" s="28"/>
      <c r="O48" s="28"/>
    </row>
    <row r="49" spans="1:15" ht="15.75" customHeight="1" x14ac:dyDescent="0.25">
      <c r="A49" s="33">
        <v>37</v>
      </c>
      <c r="B49" s="37">
        <v>23510250227</v>
      </c>
      <c r="C49" s="38" t="s">
        <v>104</v>
      </c>
      <c r="D49" s="36">
        <v>10</v>
      </c>
      <c r="E49" s="36">
        <v>8</v>
      </c>
      <c r="F49" s="36">
        <v>16</v>
      </c>
      <c r="G49" s="36">
        <v>17</v>
      </c>
      <c r="H49" s="36">
        <v>10</v>
      </c>
      <c r="I49" s="36">
        <v>11</v>
      </c>
      <c r="J49" s="32">
        <f t="shared" si="0"/>
        <v>34</v>
      </c>
      <c r="K49" s="32">
        <f t="shared" si="1"/>
        <v>40</v>
      </c>
      <c r="L49" s="28"/>
      <c r="M49" s="28"/>
      <c r="N49" s="28"/>
      <c r="O49" s="28"/>
    </row>
    <row r="50" spans="1:15" ht="15.75" customHeight="1" x14ac:dyDescent="0.25">
      <c r="A50" s="33">
        <v>38</v>
      </c>
      <c r="B50" s="37">
        <v>23510250228</v>
      </c>
      <c r="C50" s="38" t="s">
        <v>105</v>
      </c>
      <c r="D50" s="36">
        <v>13</v>
      </c>
      <c r="E50" s="36">
        <v>4</v>
      </c>
      <c r="F50" s="36">
        <v>12</v>
      </c>
      <c r="G50" s="36">
        <v>11</v>
      </c>
      <c r="H50" s="36">
        <v>4</v>
      </c>
      <c r="I50" s="36">
        <v>12</v>
      </c>
      <c r="J50" s="32">
        <f t="shared" si="0"/>
        <v>29</v>
      </c>
      <c r="K50" s="32">
        <f t="shared" si="1"/>
        <v>29</v>
      </c>
      <c r="L50" s="28"/>
      <c r="M50" s="28"/>
      <c r="N50" s="28"/>
      <c r="O50" s="28"/>
    </row>
    <row r="51" spans="1:15" ht="15.75" customHeight="1" x14ac:dyDescent="0.25">
      <c r="A51" s="33">
        <v>39</v>
      </c>
      <c r="B51" s="37">
        <v>23510250231</v>
      </c>
      <c r="C51" s="38" t="s">
        <v>106</v>
      </c>
      <c r="D51" s="36">
        <v>6</v>
      </c>
      <c r="E51" s="36">
        <v>1</v>
      </c>
      <c r="F51" s="36">
        <v>4</v>
      </c>
      <c r="G51" s="36">
        <v>1</v>
      </c>
      <c r="H51" s="36">
        <v>0</v>
      </c>
      <c r="I51" s="36">
        <v>0</v>
      </c>
      <c r="J51" s="32">
        <f t="shared" si="0"/>
        <v>11</v>
      </c>
      <c r="K51" s="32">
        <f t="shared" si="1"/>
        <v>3</v>
      </c>
      <c r="L51" s="28"/>
      <c r="M51" s="28"/>
      <c r="N51" s="28"/>
      <c r="O51" s="28"/>
    </row>
    <row r="52" spans="1:15" ht="15.75" customHeight="1" x14ac:dyDescent="0.25">
      <c r="A52" s="33">
        <v>40</v>
      </c>
      <c r="B52" s="37">
        <v>23510250232</v>
      </c>
      <c r="C52" s="38" t="s">
        <v>107</v>
      </c>
      <c r="D52" s="36">
        <v>7</v>
      </c>
      <c r="E52" s="36">
        <v>4</v>
      </c>
      <c r="F52" s="36">
        <v>8</v>
      </c>
      <c r="G52" s="36">
        <v>4</v>
      </c>
      <c r="H52" s="36">
        <v>2</v>
      </c>
      <c r="I52" s="36">
        <v>0</v>
      </c>
      <c r="J52" s="32">
        <f t="shared" si="0"/>
        <v>19</v>
      </c>
      <c r="K52" s="32">
        <f t="shared" si="1"/>
        <v>8</v>
      </c>
      <c r="L52" s="28"/>
      <c r="M52" s="28"/>
      <c r="N52" s="28"/>
      <c r="O52" s="28"/>
    </row>
    <row r="53" spans="1:15" ht="15.75" customHeight="1" x14ac:dyDescent="0.25">
      <c r="A53" s="33">
        <v>41</v>
      </c>
      <c r="B53" s="37">
        <v>23510250233</v>
      </c>
      <c r="C53" s="38" t="s">
        <v>108</v>
      </c>
      <c r="D53" s="36">
        <v>14</v>
      </c>
      <c r="E53" s="36">
        <v>8</v>
      </c>
      <c r="F53" s="36">
        <v>18</v>
      </c>
      <c r="G53" s="36">
        <v>16</v>
      </c>
      <c r="H53" s="36">
        <v>10</v>
      </c>
      <c r="I53" s="36">
        <v>11</v>
      </c>
      <c r="J53" s="32">
        <f t="shared" si="0"/>
        <v>40</v>
      </c>
      <c r="K53" s="32">
        <f t="shared" si="1"/>
        <v>39</v>
      </c>
      <c r="L53" s="28"/>
      <c r="M53" s="28"/>
      <c r="N53" s="28"/>
      <c r="O53" s="28"/>
    </row>
    <row r="54" spans="1:15" ht="15.75" customHeight="1" x14ac:dyDescent="0.25">
      <c r="A54" s="33">
        <v>42</v>
      </c>
      <c r="B54" s="37">
        <v>23510250234</v>
      </c>
      <c r="C54" s="38" t="s">
        <v>109</v>
      </c>
      <c r="D54" s="36">
        <v>10</v>
      </c>
      <c r="E54" s="36">
        <v>8</v>
      </c>
      <c r="F54" s="36">
        <v>14</v>
      </c>
      <c r="G54" s="36">
        <v>14</v>
      </c>
      <c r="H54" s="36">
        <v>6</v>
      </c>
      <c r="I54" s="36">
        <v>11</v>
      </c>
      <c r="J54" s="32">
        <f t="shared" si="0"/>
        <v>32</v>
      </c>
      <c r="K54" s="32">
        <f t="shared" si="1"/>
        <v>33</v>
      </c>
      <c r="L54" s="28"/>
      <c r="M54" s="28"/>
      <c r="N54" s="28"/>
      <c r="O54" s="28"/>
    </row>
    <row r="55" spans="1:15" ht="15.75" customHeight="1" x14ac:dyDescent="0.25">
      <c r="A55" s="33">
        <v>43</v>
      </c>
      <c r="B55" s="37">
        <v>23510250235</v>
      </c>
      <c r="C55" s="38" t="s">
        <v>110</v>
      </c>
      <c r="D55" s="36">
        <v>13</v>
      </c>
      <c r="E55" s="36">
        <v>7</v>
      </c>
      <c r="F55" s="36">
        <v>11</v>
      </c>
      <c r="G55" s="36">
        <v>16</v>
      </c>
      <c r="H55" s="36">
        <v>8</v>
      </c>
      <c r="I55" s="36">
        <v>11</v>
      </c>
      <c r="J55" s="32">
        <f t="shared" si="0"/>
        <v>31</v>
      </c>
      <c r="K55" s="32">
        <f t="shared" si="1"/>
        <v>37</v>
      </c>
      <c r="L55" s="28"/>
      <c r="M55" s="28"/>
      <c r="N55" s="28"/>
      <c r="O55" s="28"/>
    </row>
    <row r="56" spans="1:15" ht="15.75" customHeight="1" x14ac:dyDescent="0.25">
      <c r="A56" s="33">
        <v>44</v>
      </c>
      <c r="B56" s="37">
        <v>23510250236</v>
      </c>
      <c r="C56" s="38" t="s">
        <v>111</v>
      </c>
      <c r="D56" s="36">
        <v>13</v>
      </c>
      <c r="E56" s="36">
        <v>6</v>
      </c>
      <c r="F56" s="36">
        <v>10</v>
      </c>
      <c r="G56" s="36">
        <v>13</v>
      </c>
      <c r="H56" s="36">
        <v>10</v>
      </c>
      <c r="I56" s="36">
        <v>9</v>
      </c>
      <c r="J56" s="32">
        <f t="shared" si="0"/>
        <v>29</v>
      </c>
      <c r="K56" s="32">
        <f t="shared" si="1"/>
        <v>34</v>
      </c>
      <c r="L56" s="28"/>
      <c r="M56" s="28"/>
      <c r="N56" s="28"/>
      <c r="O56" s="28"/>
    </row>
    <row r="57" spans="1:15" ht="15.75" customHeight="1" x14ac:dyDescent="0.25">
      <c r="A57" s="33">
        <v>45</v>
      </c>
      <c r="B57" s="37">
        <v>23510250237</v>
      </c>
      <c r="C57" s="38" t="s">
        <v>112</v>
      </c>
      <c r="D57" s="36">
        <v>14</v>
      </c>
      <c r="E57" s="36">
        <v>8</v>
      </c>
      <c r="F57" s="36">
        <v>15</v>
      </c>
      <c r="G57" s="36">
        <v>16</v>
      </c>
      <c r="H57" s="36">
        <v>8</v>
      </c>
      <c r="I57" s="36">
        <v>11</v>
      </c>
      <c r="J57" s="32">
        <f t="shared" si="0"/>
        <v>37</v>
      </c>
      <c r="K57" s="32">
        <f t="shared" si="1"/>
        <v>37</v>
      </c>
      <c r="L57" s="28"/>
      <c r="M57" s="28"/>
      <c r="N57" s="28"/>
      <c r="O57" s="28"/>
    </row>
    <row r="58" spans="1:15" ht="15.75" customHeight="1" x14ac:dyDescent="0.25">
      <c r="A58" s="33">
        <v>46</v>
      </c>
      <c r="B58" s="37">
        <v>23510250238</v>
      </c>
      <c r="C58" s="38" t="s">
        <v>113</v>
      </c>
      <c r="D58" s="36">
        <v>14</v>
      </c>
      <c r="E58" s="36">
        <v>4</v>
      </c>
      <c r="F58" s="36">
        <v>18</v>
      </c>
      <c r="G58" s="36">
        <v>17</v>
      </c>
      <c r="H58" s="36">
        <v>10</v>
      </c>
      <c r="I58" s="36">
        <v>12</v>
      </c>
      <c r="J58" s="32">
        <f t="shared" si="0"/>
        <v>36</v>
      </c>
      <c r="K58" s="32">
        <f t="shared" si="1"/>
        <v>41</v>
      </c>
      <c r="L58" s="28"/>
      <c r="M58" s="28"/>
      <c r="N58" s="28"/>
      <c r="O58" s="28"/>
    </row>
    <row r="59" spans="1:15" ht="15.75" customHeight="1" x14ac:dyDescent="0.25">
      <c r="A59" s="33">
        <v>47</v>
      </c>
      <c r="B59" s="37">
        <v>23510250239</v>
      </c>
      <c r="C59" s="38" t="s">
        <v>114</v>
      </c>
      <c r="D59" s="36">
        <v>12</v>
      </c>
      <c r="E59" s="36">
        <v>8</v>
      </c>
      <c r="F59" s="36">
        <v>11</v>
      </c>
      <c r="G59" s="36">
        <v>11</v>
      </c>
      <c r="H59" s="36">
        <v>6</v>
      </c>
      <c r="I59" s="36">
        <v>10</v>
      </c>
      <c r="J59" s="32">
        <f t="shared" si="0"/>
        <v>31</v>
      </c>
      <c r="K59" s="32">
        <f t="shared" si="1"/>
        <v>29</v>
      </c>
      <c r="L59" s="28"/>
      <c r="M59" s="28"/>
      <c r="N59" s="28"/>
      <c r="O59" s="28"/>
    </row>
    <row r="60" spans="1:15" ht="15.75" customHeight="1" x14ac:dyDescent="0.25">
      <c r="A60" s="33">
        <v>48</v>
      </c>
      <c r="B60" s="37">
        <v>23510250240</v>
      </c>
      <c r="C60" s="38" t="s">
        <v>115</v>
      </c>
      <c r="D60" s="36">
        <v>14</v>
      </c>
      <c r="E60" s="36">
        <v>7</v>
      </c>
      <c r="F60" s="36">
        <v>12</v>
      </c>
      <c r="G60" s="36">
        <v>14</v>
      </c>
      <c r="H60" s="36">
        <v>10</v>
      </c>
      <c r="I60" s="36">
        <v>8</v>
      </c>
      <c r="J60" s="32">
        <f t="shared" si="0"/>
        <v>33</v>
      </c>
      <c r="K60" s="32">
        <f t="shared" si="1"/>
        <v>34</v>
      </c>
      <c r="L60" s="28"/>
      <c r="M60" s="28"/>
      <c r="N60" s="28"/>
      <c r="O60" s="28"/>
    </row>
    <row r="61" spans="1:15" ht="15.75" customHeight="1" x14ac:dyDescent="0.25">
      <c r="A61" s="33">
        <v>49</v>
      </c>
      <c r="B61" s="37">
        <v>23510250241</v>
      </c>
      <c r="C61" s="38" t="s">
        <v>116</v>
      </c>
      <c r="D61" s="36">
        <v>9</v>
      </c>
      <c r="E61" s="36">
        <v>6</v>
      </c>
      <c r="F61" s="36">
        <v>9</v>
      </c>
      <c r="G61" s="36">
        <v>14</v>
      </c>
      <c r="H61" s="36">
        <v>7</v>
      </c>
      <c r="I61" s="36">
        <v>10</v>
      </c>
      <c r="J61" s="32">
        <f t="shared" si="0"/>
        <v>24</v>
      </c>
      <c r="K61" s="32">
        <f t="shared" si="1"/>
        <v>33</v>
      </c>
      <c r="L61" s="28"/>
      <c r="M61" s="28"/>
      <c r="N61" s="28"/>
      <c r="O61" s="28"/>
    </row>
    <row r="62" spans="1:15" ht="15.75" customHeight="1" x14ac:dyDescent="0.25">
      <c r="A62" s="33">
        <v>50</v>
      </c>
      <c r="B62" s="37">
        <v>23510250242</v>
      </c>
      <c r="C62" s="38" t="s">
        <v>117</v>
      </c>
      <c r="D62" s="36">
        <v>14</v>
      </c>
      <c r="E62" s="36">
        <v>7</v>
      </c>
      <c r="F62" s="36">
        <v>16</v>
      </c>
      <c r="G62" s="36">
        <v>14</v>
      </c>
      <c r="H62" s="36">
        <v>9</v>
      </c>
      <c r="I62" s="36">
        <v>8</v>
      </c>
      <c r="J62" s="32">
        <f t="shared" si="0"/>
        <v>37</v>
      </c>
      <c r="K62" s="32">
        <f t="shared" si="1"/>
        <v>33</v>
      </c>
      <c r="L62" s="28"/>
      <c r="M62" s="28"/>
      <c r="N62" s="28"/>
      <c r="O62" s="28"/>
    </row>
    <row r="63" spans="1:15" ht="15.75" customHeight="1" x14ac:dyDescent="0.25">
      <c r="A63" s="33">
        <v>51</v>
      </c>
      <c r="B63" s="37">
        <v>23510250243</v>
      </c>
      <c r="C63" s="38" t="s">
        <v>118</v>
      </c>
      <c r="D63" s="36">
        <v>3</v>
      </c>
      <c r="E63" s="36">
        <v>1</v>
      </c>
      <c r="F63" s="36">
        <v>2</v>
      </c>
      <c r="G63" s="36">
        <v>0</v>
      </c>
      <c r="H63" s="36">
        <v>0</v>
      </c>
      <c r="I63" s="36">
        <v>2</v>
      </c>
      <c r="J63" s="32">
        <f t="shared" si="0"/>
        <v>6</v>
      </c>
      <c r="K63" s="32">
        <f t="shared" si="1"/>
        <v>4</v>
      </c>
      <c r="L63" s="28"/>
      <c r="M63" s="28"/>
      <c r="N63" s="28"/>
      <c r="O63" s="28"/>
    </row>
    <row r="64" spans="1:15" ht="15.75" customHeight="1" x14ac:dyDescent="0.25">
      <c r="A64" s="33">
        <v>52</v>
      </c>
      <c r="B64" s="37">
        <v>23510250244</v>
      </c>
      <c r="C64" s="38" t="s">
        <v>119</v>
      </c>
      <c r="D64" s="36">
        <v>14</v>
      </c>
      <c r="E64" s="36">
        <v>8</v>
      </c>
      <c r="F64" s="36">
        <v>18</v>
      </c>
      <c r="G64" s="36">
        <v>18</v>
      </c>
      <c r="H64" s="36">
        <v>8</v>
      </c>
      <c r="I64" s="36">
        <v>9</v>
      </c>
      <c r="J64" s="32">
        <f t="shared" si="0"/>
        <v>40</v>
      </c>
      <c r="K64" s="32">
        <f t="shared" si="1"/>
        <v>37</v>
      </c>
      <c r="L64" s="28"/>
      <c r="M64" s="28"/>
      <c r="N64" s="28"/>
      <c r="O64" s="28"/>
    </row>
    <row r="65" spans="1:15" ht="15.75" customHeight="1" x14ac:dyDescent="0.25">
      <c r="A65" s="33">
        <v>53</v>
      </c>
      <c r="B65" s="37">
        <v>23510250246</v>
      </c>
      <c r="C65" s="38" t="s">
        <v>120</v>
      </c>
      <c r="D65" s="36">
        <v>14</v>
      </c>
      <c r="E65" s="36">
        <v>8</v>
      </c>
      <c r="F65" s="36">
        <v>16</v>
      </c>
      <c r="G65" s="36">
        <v>18</v>
      </c>
      <c r="H65" s="36">
        <v>9</v>
      </c>
      <c r="I65" s="36">
        <v>10</v>
      </c>
      <c r="J65" s="32">
        <f t="shared" si="0"/>
        <v>38</v>
      </c>
      <c r="K65" s="32">
        <f t="shared" si="1"/>
        <v>39</v>
      </c>
      <c r="L65" s="28"/>
      <c r="M65" s="28"/>
      <c r="N65" s="28"/>
      <c r="O65" s="28"/>
    </row>
    <row r="66" spans="1:15" ht="15.75" customHeight="1" x14ac:dyDescent="0.25">
      <c r="A66" s="33">
        <v>54</v>
      </c>
      <c r="B66" s="37">
        <v>23510250247</v>
      </c>
      <c r="C66" s="38" t="s">
        <v>121</v>
      </c>
      <c r="D66" s="36">
        <v>14</v>
      </c>
      <c r="E66" s="36">
        <v>8</v>
      </c>
      <c r="F66" s="36">
        <v>18</v>
      </c>
      <c r="G66" s="36">
        <v>18</v>
      </c>
      <c r="H66" s="36">
        <v>10</v>
      </c>
      <c r="I66" s="36">
        <v>12</v>
      </c>
      <c r="J66" s="32">
        <f t="shared" si="0"/>
        <v>40</v>
      </c>
      <c r="K66" s="32">
        <f t="shared" si="1"/>
        <v>42</v>
      </c>
      <c r="L66" s="28"/>
      <c r="M66" s="28"/>
      <c r="N66" s="28"/>
      <c r="O66" s="28"/>
    </row>
    <row r="67" spans="1:15" ht="15.75" customHeight="1" x14ac:dyDescent="0.25">
      <c r="A67" s="33">
        <v>55</v>
      </c>
      <c r="B67" s="37">
        <v>23510250248</v>
      </c>
      <c r="C67" s="38" t="s">
        <v>122</v>
      </c>
      <c r="D67" s="36">
        <v>10</v>
      </c>
      <c r="E67" s="36">
        <v>7</v>
      </c>
      <c r="F67" s="36">
        <v>14</v>
      </c>
      <c r="G67" s="36">
        <v>12</v>
      </c>
      <c r="H67" s="36">
        <v>8</v>
      </c>
      <c r="I67" s="36">
        <v>6</v>
      </c>
      <c r="J67" s="32">
        <f t="shared" si="0"/>
        <v>31</v>
      </c>
      <c r="K67" s="32">
        <f t="shared" si="1"/>
        <v>28</v>
      </c>
      <c r="L67" s="28"/>
      <c r="M67" s="28"/>
      <c r="N67" s="28"/>
      <c r="O67" s="28"/>
    </row>
    <row r="68" spans="1:15" ht="15.75" customHeight="1" x14ac:dyDescent="0.25">
      <c r="A68" s="33">
        <v>56</v>
      </c>
      <c r="B68" s="37">
        <v>23510250249</v>
      </c>
      <c r="C68" s="38" t="s">
        <v>123</v>
      </c>
      <c r="D68" s="36">
        <v>11</v>
      </c>
      <c r="E68" s="36">
        <v>3</v>
      </c>
      <c r="F68" s="36">
        <v>4</v>
      </c>
      <c r="G68" s="36">
        <v>11</v>
      </c>
      <c r="H68" s="36">
        <v>6</v>
      </c>
      <c r="I68" s="36">
        <v>5</v>
      </c>
      <c r="J68" s="32">
        <f t="shared" si="0"/>
        <v>18</v>
      </c>
      <c r="K68" s="32">
        <f t="shared" si="1"/>
        <v>24</v>
      </c>
      <c r="L68" s="28"/>
      <c r="M68" s="28"/>
      <c r="N68" s="28"/>
      <c r="O68" s="28"/>
    </row>
    <row r="69" spans="1:15" ht="15.75" customHeight="1" x14ac:dyDescent="0.25">
      <c r="A69" s="33">
        <v>57</v>
      </c>
      <c r="B69" s="37">
        <v>23510250250</v>
      </c>
      <c r="C69" s="38" t="s">
        <v>124</v>
      </c>
      <c r="D69" s="36">
        <v>10</v>
      </c>
      <c r="E69" s="36">
        <v>8</v>
      </c>
      <c r="F69" s="36">
        <v>17</v>
      </c>
      <c r="G69" s="36">
        <v>14</v>
      </c>
      <c r="H69" s="36">
        <v>9</v>
      </c>
      <c r="I69" s="36">
        <v>8</v>
      </c>
      <c r="J69" s="32">
        <f t="shared" si="0"/>
        <v>35</v>
      </c>
      <c r="K69" s="32">
        <f t="shared" si="1"/>
        <v>33</v>
      </c>
      <c r="L69" s="28"/>
      <c r="M69" s="28"/>
      <c r="N69" s="28"/>
      <c r="O69" s="28"/>
    </row>
    <row r="70" spans="1:15" ht="15.75" customHeight="1" x14ac:dyDescent="0.25">
      <c r="A70" s="33">
        <v>58</v>
      </c>
      <c r="B70" s="37">
        <v>23510250251</v>
      </c>
      <c r="C70" s="38" t="s">
        <v>125</v>
      </c>
      <c r="D70" s="36">
        <v>12</v>
      </c>
      <c r="E70" s="36">
        <v>8</v>
      </c>
      <c r="F70" s="36">
        <v>16</v>
      </c>
      <c r="G70" s="36">
        <v>18</v>
      </c>
      <c r="H70" s="36">
        <v>2</v>
      </c>
      <c r="I70" s="36">
        <v>12</v>
      </c>
      <c r="J70" s="32">
        <f t="shared" si="0"/>
        <v>36</v>
      </c>
      <c r="K70" s="32">
        <f t="shared" si="1"/>
        <v>34</v>
      </c>
      <c r="L70" s="28"/>
      <c r="M70" s="28"/>
      <c r="N70" s="28"/>
      <c r="O70" s="28"/>
    </row>
    <row r="71" spans="1:15" ht="15.75" customHeight="1" x14ac:dyDescent="0.25">
      <c r="A71" s="33">
        <v>59</v>
      </c>
      <c r="B71" s="37">
        <v>23510250252</v>
      </c>
      <c r="C71" s="38" t="s">
        <v>126</v>
      </c>
      <c r="D71" s="36">
        <v>10</v>
      </c>
      <c r="E71" s="36">
        <v>7</v>
      </c>
      <c r="F71" s="36">
        <v>6</v>
      </c>
      <c r="G71" s="36">
        <v>6</v>
      </c>
      <c r="H71" s="36">
        <v>9</v>
      </c>
      <c r="I71" s="36">
        <v>8</v>
      </c>
      <c r="J71" s="32">
        <f t="shared" si="0"/>
        <v>23</v>
      </c>
      <c r="K71" s="32">
        <f t="shared" si="1"/>
        <v>25</v>
      </c>
      <c r="L71" s="28"/>
      <c r="M71" s="28"/>
      <c r="N71" s="28"/>
      <c r="O71" s="28"/>
    </row>
    <row r="72" spans="1:15" ht="15.75" customHeight="1" x14ac:dyDescent="0.25">
      <c r="A72" s="33">
        <v>60</v>
      </c>
      <c r="B72" s="37">
        <v>23510250254</v>
      </c>
      <c r="C72" s="38" t="s">
        <v>127</v>
      </c>
      <c r="D72" s="36">
        <v>13</v>
      </c>
      <c r="E72" s="36">
        <v>8</v>
      </c>
      <c r="F72" s="36">
        <v>9</v>
      </c>
      <c r="G72" s="36">
        <v>11</v>
      </c>
      <c r="H72" s="36">
        <v>6</v>
      </c>
      <c r="I72" s="36">
        <v>8</v>
      </c>
      <c r="J72" s="32">
        <f t="shared" si="0"/>
        <v>30</v>
      </c>
      <c r="K72" s="32">
        <f t="shared" si="1"/>
        <v>27</v>
      </c>
      <c r="L72" s="28"/>
      <c r="M72" s="28"/>
      <c r="N72" s="28"/>
      <c r="O72" s="28"/>
    </row>
    <row r="73" spans="1:15" ht="15.75" customHeight="1" x14ac:dyDescent="0.25">
      <c r="A73" s="33">
        <v>61</v>
      </c>
      <c r="B73" s="37">
        <v>23510250255</v>
      </c>
      <c r="C73" s="38" t="s">
        <v>128</v>
      </c>
      <c r="D73" s="36">
        <v>11</v>
      </c>
      <c r="E73" s="36">
        <v>7</v>
      </c>
      <c r="F73" s="36">
        <v>7</v>
      </c>
      <c r="G73" s="36">
        <v>12</v>
      </c>
      <c r="H73" s="36">
        <v>6</v>
      </c>
      <c r="I73" s="36">
        <v>8</v>
      </c>
      <c r="J73" s="32">
        <f t="shared" si="0"/>
        <v>25</v>
      </c>
      <c r="K73" s="32">
        <f t="shared" si="1"/>
        <v>28</v>
      </c>
      <c r="L73" s="28"/>
      <c r="M73" s="28"/>
      <c r="N73" s="28"/>
      <c r="O73" s="28"/>
    </row>
    <row r="74" spans="1:15" ht="15.75" customHeight="1" x14ac:dyDescent="0.25">
      <c r="A74" s="33">
        <v>62</v>
      </c>
      <c r="B74" s="37">
        <v>23510250257</v>
      </c>
      <c r="C74" s="38" t="s">
        <v>129</v>
      </c>
      <c r="D74" s="36">
        <v>6</v>
      </c>
      <c r="E74" s="36">
        <v>4</v>
      </c>
      <c r="F74" s="36">
        <v>8</v>
      </c>
      <c r="G74" s="36">
        <v>10</v>
      </c>
      <c r="H74" s="36">
        <v>5</v>
      </c>
      <c r="I74" s="36">
        <v>4</v>
      </c>
      <c r="J74" s="32">
        <f t="shared" si="0"/>
        <v>18</v>
      </c>
      <c r="K74" s="32">
        <f t="shared" si="1"/>
        <v>21</v>
      </c>
      <c r="L74" s="28"/>
      <c r="M74" s="28"/>
      <c r="N74" s="28"/>
      <c r="O74" s="28"/>
    </row>
    <row r="75" spans="1:15" ht="17.25" customHeight="1" x14ac:dyDescent="0.25">
      <c r="A75" s="33">
        <v>63</v>
      </c>
      <c r="B75" s="37">
        <v>23510250524</v>
      </c>
      <c r="C75" s="38" t="s">
        <v>130</v>
      </c>
      <c r="D75" s="36">
        <v>12</v>
      </c>
      <c r="E75" s="36">
        <v>8</v>
      </c>
      <c r="F75" s="36">
        <v>18</v>
      </c>
      <c r="G75" s="36">
        <v>14</v>
      </c>
      <c r="H75" s="36">
        <v>8</v>
      </c>
      <c r="I75" s="36">
        <v>12</v>
      </c>
      <c r="J75" s="32">
        <f t="shared" si="0"/>
        <v>38</v>
      </c>
      <c r="K75" s="32">
        <f t="shared" si="1"/>
        <v>36</v>
      </c>
      <c r="L75" s="28"/>
      <c r="M75" s="28"/>
      <c r="N75" s="28"/>
      <c r="O75" s="28"/>
    </row>
    <row r="76" spans="1:15" ht="15.75" customHeight="1" x14ac:dyDescent="0.25">
      <c r="A76" s="33">
        <v>64</v>
      </c>
      <c r="B76" s="37">
        <v>24510250260</v>
      </c>
      <c r="C76" s="38" t="s">
        <v>131</v>
      </c>
      <c r="D76" s="36">
        <v>6</v>
      </c>
      <c r="E76" s="36">
        <v>3</v>
      </c>
      <c r="F76" s="36">
        <v>13</v>
      </c>
      <c r="G76" s="36">
        <v>11</v>
      </c>
      <c r="H76" s="36">
        <v>1</v>
      </c>
      <c r="I76" s="36">
        <v>6</v>
      </c>
      <c r="J76" s="32">
        <f t="shared" si="0"/>
        <v>22</v>
      </c>
      <c r="K76" s="32">
        <f t="shared" si="1"/>
        <v>20</v>
      </c>
      <c r="L76" s="28"/>
      <c r="M76" s="28"/>
      <c r="N76" s="28"/>
      <c r="O76" s="28"/>
    </row>
    <row r="77" spans="1:15" ht="15.75" customHeight="1" x14ac:dyDescent="0.25">
      <c r="A77" s="33">
        <v>65</v>
      </c>
      <c r="B77" s="37">
        <v>24510250261</v>
      </c>
      <c r="C77" s="38" t="s">
        <v>132</v>
      </c>
      <c r="D77" s="36">
        <v>9</v>
      </c>
      <c r="E77" s="36">
        <v>3</v>
      </c>
      <c r="F77" s="36">
        <v>2</v>
      </c>
      <c r="G77" s="36">
        <v>7</v>
      </c>
      <c r="H77" s="36">
        <v>4</v>
      </c>
      <c r="I77" s="36">
        <v>0</v>
      </c>
      <c r="J77" s="32">
        <f t="shared" si="0"/>
        <v>14</v>
      </c>
      <c r="K77" s="32">
        <f t="shared" si="1"/>
        <v>13</v>
      </c>
      <c r="L77" s="28"/>
      <c r="M77" s="28"/>
      <c r="N77" s="28"/>
      <c r="O77" s="28"/>
    </row>
    <row r="78" spans="1:15" ht="15.75" customHeight="1" x14ac:dyDescent="0.25">
      <c r="A78" s="33">
        <v>66</v>
      </c>
      <c r="B78" s="37">
        <v>24510250262</v>
      </c>
      <c r="C78" s="38" t="s">
        <v>133</v>
      </c>
      <c r="D78" s="36">
        <v>10</v>
      </c>
      <c r="E78" s="36">
        <v>6</v>
      </c>
      <c r="F78" s="36">
        <v>6</v>
      </c>
      <c r="G78" s="36">
        <v>11</v>
      </c>
      <c r="H78" s="36">
        <v>6</v>
      </c>
      <c r="I78" s="36">
        <v>8</v>
      </c>
      <c r="J78" s="32">
        <f t="shared" si="0"/>
        <v>22</v>
      </c>
      <c r="K78" s="32">
        <f t="shared" si="1"/>
        <v>27</v>
      </c>
      <c r="L78" s="28"/>
      <c r="M78" s="28"/>
      <c r="N78" s="28"/>
      <c r="O78" s="28"/>
    </row>
    <row r="79" spans="1:15" ht="15.75" customHeight="1" x14ac:dyDescent="0.25">
      <c r="A79" s="33">
        <v>67</v>
      </c>
      <c r="B79" s="37">
        <v>24510250263</v>
      </c>
      <c r="C79" s="38" t="s">
        <v>134</v>
      </c>
      <c r="D79" s="36">
        <v>12</v>
      </c>
      <c r="E79" s="36">
        <v>5</v>
      </c>
      <c r="F79" s="36">
        <v>6</v>
      </c>
      <c r="G79" s="36">
        <v>12</v>
      </c>
      <c r="H79" s="36">
        <v>6</v>
      </c>
      <c r="I79" s="36">
        <v>10</v>
      </c>
      <c r="J79" s="32">
        <f t="shared" si="0"/>
        <v>23</v>
      </c>
      <c r="K79" s="32">
        <f t="shared" si="1"/>
        <v>30</v>
      </c>
      <c r="L79" s="28"/>
      <c r="M79" s="28"/>
      <c r="N79" s="28"/>
      <c r="O79" s="28"/>
    </row>
    <row r="80" spans="1:15" ht="15.75" customHeight="1" x14ac:dyDescent="0.25">
      <c r="A80" s="33">
        <v>68</v>
      </c>
      <c r="B80" s="37">
        <v>24510250264</v>
      </c>
      <c r="C80" s="38" t="s">
        <v>135</v>
      </c>
      <c r="D80" s="36">
        <v>13</v>
      </c>
      <c r="E80" s="36">
        <v>7</v>
      </c>
      <c r="F80" s="36">
        <v>12</v>
      </c>
      <c r="G80" s="36">
        <v>13</v>
      </c>
      <c r="H80" s="36">
        <v>8</v>
      </c>
      <c r="I80" s="36">
        <v>10</v>
      </c>
      <c r="J80" s="32">
        <f t="shared" si="0"/>
        <v>32</v>
      </c>
      <c r="K80" s="32">
        <f t="shared" si="1"/>
        <v>33</v>
      </c>
      <c r="L80" s="28"/>
      <c r="M80" s="28"/>
      <c r="N80" s="28"/>
      <c r="O80" s="28"/>
    </row>
    <row r="81" spans="1:15" ht="15.75" customHeight="1" x14ac:dyDescent="0.25">
      <c r="A81" s="33">
        <v>69</v>
      </c>
      <c r="B81" s="37">
        <v>24510250265</v>
      </c>
      <c r="C81" s="38" t="s">
        <v>136</v>
      </c>
      <c r="D81" s="36">
        <v>4</v>
      </c>
      <c r="E81" s="36">
        <v>2</v>
      </c>
      <c r="F81" s="36">
        <v>4</v>
      </c>
      <c r="G81" s="36">
        <v>3</v>
      </c>
      <c r="H81" s="36">
        <v>2</v>
      </c>
      <c r="I81" s="36">
        <v>4</v>
      </c>
      <c r="J81" s="32">
        <f t="shared" si="0"/>
        <v>10</v>
      </c>
      <c r="K81" s="32">
        <f t="shared" si="1"/>
        <v>11</v>
      </c>
      <c r="L81" s="28"/>
      <c r="M81" s="28"/>
      <c r="N81" s="28"/>
      <c r="O81" s="28"/>
    </row>
    <row r="82" spans="1:15" ht="15.75" customHeight="1" x14ac:dyDescent="0.25">
      <c r="A82" s="33">
        <v>70</v>
      </c>
      <c r="B82" s="37">
        <v>24510250266</v>
      </c>
      <c r="C82" s="38" t="s">
        <v>137</v>
      </c>
      <c r="D82" s="36">
        <v>11</v>
      </c>
      <c r="E82" s="36">
        <v>3</v>
      </c>
      <c r="F82" s="36">
        <v>4</v>
      </c>
      <c r="G82" s="36">
        <v>2</v>
      </c>
      <c r="H82" s="36">
        <v>3</v>
      </c>
      <c r="I82" s="36">
        <v>7</v>
      </c>
      <c r="J82" s="32">
        <f t="shared" si="0"/>
        <v>18</v>
      </c>
      <c r="K82" s="32">
        <f t="shared" si="1"/>
        <v>14</v>
      </c>
      <c r="L82" s="28"/>
      <c r="M82" s="28"/>
      <c r="N82" s="28"/>
      <c r="O82" s="28"/>
    </row>
    <row r="83" spans="1:15" ht="15.75" customHeight="1" x14ac:dyDescent="0.25">
      <c r="A83" s="33">
        <v>71</v>
      </c>
      <c r="B83" s="40"/>
      <c r="C83" s="40"/>
      <c r="D83" s="41"/>
      <c r="E83" s="41"/>
      <c r="F83" s="41"/>
      <c r="G83" s="41"/>
      <c r="H83" s="41"/>
      <c r="I83" s="41"/>
      <c r="J83" s="32">
        <f t="shared" si="0"/>
        <v>0</v>
      </c>
      <c r="K83" s="32">
        <f t="shared" ref="K83:K95" si="2">G83+H83+I83</f>
        <v>0</v>
      </c>
      <c r="L83" s="28"/>
      <c r="M83" s="28"/>
      <c r="N83" s="28"/>
      <c r="O83" s="28"/>
    </row>
    <row r="84" spans="1:15" ht="15.75" customHeight="1" x14ac:dyDescent="0.25">
      <c r="A84" s="33">
        <v>72</v>
      </c>
      <c r="B84" s="40"/>
      <c r="C84" s="40"/>
      <c r="D84" s="41"/>
      <c r="E84" s="41"/>
      <c r="F84" s="41"/>
      <c r="G84" s="41"/>
      <c r="H84" s="41"/>
      <c r="I84" s="41"/>
      <c r="J84" s="32">
        <f t="shared" si="0"/>
        <v>0</v>
      </c>
      <c r="K84" s="32">
        <f t="shared" si="2"/>
        <v>0</v>
      </c>
      <c r="L84" s="28"/>
      <c r="M84" s="28"/>
      <c r="N84" s="28"/>
      <c r="O84" s="28"/>
    </row>
    <row r="85" spans="1:15" ht="15.75" customHeight="1" x14ac:dyDescent="0.25">
      <c r="A85" s="33">
        <v>73</v>
      </c>
      <c r="B85" s="40"/>
      <c r="C85" s="40"/>
      <c r="D85" s="41"/>
      <c r="E85" s="41"/>
      <c r="F85" s="41"/>
      <c r="G85" s="41"/>
      <c r="H85" s="41"/>
      <c r="I85" s="41"/>
      <c r="J85" s="32">
        <f t="shared" si="0"/>
        <v>0</v>
      </c>
      <c r="K85" s="32">
        <f t="shared" si="2"/>
        <v>0</v>
      </c>
      <c r="L85" s="28"/>
      <c r="M85" s="28"/>
      <c r="N85" s="28"/>
      <c r="O85" s="28"/>
    </row>
    <row r="86" spans="1:15" ht="15.75" customHeight="1" x14ac:dyDescent="0.25">
      <c r="A86" s="33">
        <v>74</v>
      </c>
      <c r="B86" s="40"/>
      <c r="C86" s="40"/>
      <c r="D86" s="41"/>
      <c r="E86" s="41"/>
      <c r="F86" s="41"/>
      <c r="G86" s="41"/>
      <c r="H86" s="41"/>
      <c r="I86" s="41"/>
      <c r="J86" s="32">
        <f t="shared" si="0"/>
        <v>0</v>
      </c>
      <c r="K86" s="32">
        <f t="shared" si="2"/>
        <v>0</v>
      </c>
      <c r="L86" s="28"/>
      <c r="M86" s="28"/>
      <c r="N86" s="28"/>
      <c r="O86" s="28"/>
    </row>
    <row r="87" spans="1:15" ht="15.75" customHeight="1" x14ac:dyDescent="0.25">
      <c r="A87" s="33">
        <v>75</v>
      </c>
      <c r="B87" s="40"/>
      <c r="C87" s="40"/>
      <c r="D87" s="41"/>
      <c r="E87" s="41"/>
      <c r="F87" s="41"/>
      <c r="G87" s="41"/>
      <c r="H87" s="41"/>
      <c r="I87" s="41"/>
      <c r="J87" s="32">
        <f t="shared" si="0"/>
        <v>0</v>
      </c>
      <c r="K87" s="32">
        <f t="shared" si="2"/>
        <v>0</v>
      </c>
      <c r="L87" s="28"/>
      <c r="M87" s="28"/>
      <c r="N87" s="28"/>
      <c r="O87" s="28"/>
    </row>
    <row r="88" spans="1:15" ht="15.75" customHeight="1" x14ac:dyDescent="0.25">
      <c r="A88" s="33">
        <v>76</v>
      </c>
      <c r="B88" s="40"/>
      <c r="C88" s="40"/>
      <c r="D88" s="41"/>
      <c r="E88" s="41"/>
      <c r="F88" s="41"/>
      <c r="G88" s="41"/>
      <c r="H88" s="41"/>
      <c r="I88" s="41"/>
      <c r="J88" s="32">
        <f t="shared" si="0"/>
        <v>0</v>
      </c>
      <c r="K88" s="32">
        <f t="shared" si="2"/>
        <v>0</v>
      </c>
      <c r="L88" s="28"/>
      <c r="M88" s="28"/>
      <c r="N88" s="28"/>
      <c r="O88" s="28"/>
    </row>
    <row r="89" spans="1:15" ht="15.75" customHeight="1" x14ac:dyDescent="0.25">
      <c r="A89" s="33">
        <v>77</v>
      </c>
      <c r="B89" s="40"/>
      <c r="C89" s="40"/>
      <c r="D89" s="41"/>
      <c r="E89" s="41"/>
      <c r="F89" s="41"/>
      <c r="G89" s="41"/>
      <c r="H89" s="41"/>
      <c r="I89" s="41"/>
      <c r="J89" s="32">
        <f t="shared" si="0"/>
        <v>0</v>
      </c>
      <c r="K89" s="32">
        <f t="shared" si="2"/>
        <v>0</v>
      </c>
      <c r="L89" s="28"/>
      <c r="M89" s="28"/>
      <c r="N89" s="28"/>
      <c r="O89" s="28"/>
    </row>
    <row r="90" spans="1:15" ht="15.75" customHeight="1" x14ac:dyDescent="0.25">
      <c r="A90" s="33">
        <v>78</v>
      </c>
      <c r="B90" s="40"/>
      <c r="C90" s="40"/>
      <c r="D90" s="41"/>
      <c r="E90" s="41"/>
      <c r="F90" s="41"/>
      <c r="G90" s="41"/>
      <c r="H90" s="41"/>
      <c r="I90" s="41"/>
      <c r="J90" s="32">
        <f t="shared" si="0"/>
        <v>0</v>
      </c>
      <c r="K90" s="32">
        <f t="shared" si="2"/>
        <v>0</v>
      </c>
      <c r="L90" s="28"/>
      <c r="M90" s="28"/>
      <c r="N90" s="28"/>
      <c r="O90" s="28"/>
    </row>
    <row r="91" spans="1:15" ht="15.75" customHeight="1" x14ac:dyDescent="0.25">
      <c r="A91" s="33">
        <v>79</v>
      </c>
      <c r="B91" s="40"/>
      <c r="C91" s="40"/>
      <c r="D91" s="41"/>
      <c r="E91" s="41"/>
      <c r="F91" s="41"/>
      <c r="G91" s="41"/>
      <c r="H91" s="41"/>
      <c r="I91" s="41"/>
      <c r="J91" s="32">
        <f t="shared" si="0"/>
        <v>0</v>
      </c>
      <c r="K91" s="32">
        <f t="shared" si="2"/>
        <v>0</v>
      </c>
      <c r="L91" s="28"/>
      <c r="M91" s="28"/>
      <c r="N91" s="28"/>
      <c r="O91" s="28"/>
    </row>
    <row r="92" spans="1:15" ht="15.75" customHeight="1" x14ac:dyDescent="0.25">
      <c r="A92" s="33">
        <v>80</v>
      </c>
      <c r="B92" s="40"/>
      <c r="C92" s="40"/>
      <c r="D92" s="41"/>
      <c r="E92" s="41"/>
      <c r="F92" s="41"/>
      <c r="G92" s="41"/>
      <c r="H92" s="41"/>
      <c r="I92" s="41"/>
      <c r="J92" s="32">
        <f t="shared" si="0"/>
        <v>0</v>
      </c>
      <c r="K92" s="32">
        <f t="shared" si="2"/>
        <v>0</v>
      </c>
      <c r="L92" s="28"/>
      <c r="M92" s="28"/>
      <c r="N92" s="28"/>
      <c r="O92" s="28"/>
    </row>
    <row r="93" spans="1:15" ht="15.75" customHeight="1" x14ac:dyDescent="0.25">
      <c r="A93" s="33">
        <v>81</v>
      </c>
      <c r="B93" s="40"/>
      <c r="C93" s="40"/>
      <c r="D93" s="41"/>
      <c r="E93" s="41"/>
      <c r="F93" s="41"/>
      <c r="G93" s="41"/>
      <c r="H93" s="41"/>
      <c r="I93" s="41"/>
      <c r="J93" s="32">
        <f t="shared" si="0"/>
        <v>0</v>
      </c>
      <c r="K93" s="32">
        <f t="shared" si="2"/>
        <v>0</v>
      </c>
      <c r="L93" s="28"/>
      <c r="M93" s="28"/>
      <c r="N93" s="28"/>
      <c r="O93" s="28"/>
    </row>
    <row r="94" spans="1:15" ht="15.75" customHeight="1" x14ac:dyDescent="0.25">
      <c r="A94" s="33">
        <v>82</v>
      </c>
      <c r="B94" s="40"/>
      <c r="C94" s="40"/>
      <c r="D94" s="41"/>
      <c r="E94" s="41"/>
      <c r="F94" s="41"/>
      <c r="G94" s="41"/>
      <c r="H94" s="41"/>
      <c r="I94" s="41"/>
      <c r="J94" s="32">
        <f t="shared" si="0"/>
        <v>0</v>
      </c>
      <c r="K94" s="32">
        <f t="shared" si="2"/>
        <v>0</v>
      </c>
      <c r="L94" s="28"/>
      <c r="M94" s="28"/>
      <c r="N94" s="28"/>
      <c r="O94" s="28"/>
    </row>
    <row r="95" spans="1:15" ht="15.75" customHeight="1" x14ac:dyDescent="0.25">
      <c r="A95" s="33">
        <v>83</v>
      </c>
      <c r="B95" s="40"/>
      <c r="C95" s="40"/>
      <c r="D95" s="41"/>
      <c r="E95" s="41"/>
      <c r="F95" s="41"/>
      <c r="G95" s="41"/>
      <c r="H95" s="41"/>
      <c r="I95" s="41"/>
      <c r="J95" s="32">
        <f t="shared" si="0"/>
        <v>0</v>
      </c>
      <c r="K95" s="32">
        <f t="shared" si="2"/>
        <v>0</v>
      </c>
      <c r="L95" s="28"/>
      <c r="M95" s="28"/>
      <c r="N95" s="28"/>
      <c r="O95" s="28"/>
    </row>
    <row r="96" spans="1:15" ht="60.75" customHeight="1" x14ac:dyDescent="0.25">
      <c r="A96" s="220" t="s">
        <v>138</v>
      </c>
      <c r="B96" s="203"/>
      <c r="C96" s="42">
        <v>0.4</v>
      </c>
      <c r="D96" s="221">
        <f t="shared" ref="D96:I96" si="3">$C$96*D12</f>
        <v>4.8000000000000007</v>
      </c>
      <c r="E96" s="221">
        <f t="shared" si="3"/>
        <v>3.2</v>
      </c>
      <c r="F96" s="221">
        <f t="shared" si="3"/>
        <v>8.8000000000000007</v>
      </c>
      <c r="G96" s="221">
        <f t="shared" si="3"/>
        <v>8</v>
      </c>
      <c r="H96" s="221">
        <f t="shared" si="3"/>
        <v>4</v>
      </c>
      <c r="I96" s="221">
        <f t="shared" si="3"/>
        <v>4.8000000000000007</v>
      </c>
      <c r="J96" s="248"/>
      <c r="K96" s="248"/>
      <c r="L96" s="28"/>
      <c r="M96" s="28"/>
      <c r="N96" s="28"/>
      <c r="O96" s="28"/>
    </row>
    <row r="97" spans="1:15" ht="15.75" customHeight="1" x14ac:dyDescent="0.25">
      <c r="A97" s="222" t="s">
        <v>139</v>
      </c>
      <c r="B97" s="203"/>
      <c r="C97" s="193"/>
      <c r="D97" s="212"/>
      <c r="E97" s="212"/>
      <c r="F97" s="212"/>
      <c r="G97" s="212"/>
      <c r="H97" s="212"/>
      <c r="I97" s="212"/>
      <c r="J97" s="212"/>
      <c r="K97" s="212"/>
      <c r="L97" s="28"/>
      <c r="M97" s="28"/>
      <c r="N97" s="28"/>
      <c r="O97" s="28"/>
    </row>
    <row r="98" spans="1:15" ht="15.75" customHeight="1" x14ac:dyDescent="0.25">
      <c r="A98" s="203"/>
      <c r="B98" s="203"/>
      <c r="C98" s="193"/>
      <c r="D98" s="250">
        <f t="shared" ref="D98:I98" si="4">COUNTIF(D13:D95,"&gt;=" &amp;D96)</f>
        <v>65</v>
      </c>
      <c r="E98" s="250">
        <f t="shared" si="4"/>
        <v>53</v>
      </c>
      <c r="F98" s="250">
        <f t="shared" si="4"/>
        <v>37</v>
      </c>
      <c r="G98" s="250">
        <f t="shared" si="4"/>
        <v>51</v>
      </c>
      <c r="H98" s="250">
        <f t="shared" si="4"/>
        <v>56</v>
      </c>
      <c r="I98" s="250">
        <f t="shared" si="4"/>
        <v>49</v>
      </c>
      <c r="J98" s="249"/>
      <c r="K98" s="249"/>
      <c r="L98" s="28"/>
      <c r="M98" s="28"/>
      <c r="N98" s="28"/>
      <c r="O98" s="28"/>
    </row>
    <row r="99" spans="1:15" ht="15.75" customHeight="1" x14ac:dyDescent="0.25">
      <c r="A99" s="28"/>
      <c r="B99" s="28"/>
      <c r="C99" s="28"/>
      <c r="D99" s="212"/>
      <c r="E99" s="212"/>
      <c r="F99" s="212"/>
      <c r="G99" s="212"/>
      <c r="H99" s="212"/>
      <c r="I99" s="212"/>
      <c r="J99" s="212"/>
      <c r="K99" s="212"/>
      <c r="L99" s="28"/>
      <c r="M99" s="28"/>
      <c r="N99" s="28"/>
      <c r="O99" s="28"/>
    </row>
    <row r="100" spans="1:15" ht="15.75" customHeight="1" x14ac:dyDescent="0.25">
      <c r="A100" s="28"/>
      <c r="B100" s="28"/>
      <c r="C100" s="28"/>
      <c r="D100" s="28"/>
      <c r="E100" s="28"/>
      <c r="F100" s="28"/>
      <c r="G100" s="28"/>
      <c r="H100" s="28"/>
      <c r="I100" s="28"/>
      <c r="J100" s="28"/>
      <c r="K100" s="28"/>
      <c r="L100" s="28"/>
      <c r="M100" s="28"/>
      <c r="N100" s="28"/>
      <c r="O100" s="28"/>
    </row>
    <row r="101" spans="1:15" ht="15.75" customHeight="1" x14ac:dyDescent="0.25">
      <c r="A101" s="28"/>
      <c r="B101" s="28"/>
      <c r="C101" s="28"/>
      <c r="D101" s="28"/>
      <c r="E101" s="28"/>
      <c r="F101" s="28"/>
      <c r="G101" s="28"/>
      <c r="H101" s="28"/>
      <c r="I101" s="28"/>
      <c r="J101" s="28"/>
      <c r="K101" s="28"/>
      <c r="L101" s="28"/>
      <c r="M101" s="28"/>
      <c r="N101" s="28"/>
      <c r="O101" s="28"/>
    </row>
    <row r="102" spans="1:15" ht="15.75" customHeight="1" x14ac:dyDescent="0.25">
      <c r="A102" s="28"/>
      <c r="B102" s="28"/>
      <c r="C102" s="28"/>
      <c r="D102" s="28"/>
      <c r="E102" s="28"/>
      <c r="F102" s="28"/>
      <c r="G102" s="28"/>
      <c r="H102" s="28"/>
      <c r="I102" s="28"/>
      <c r="J102" s="28"/>
      <c r="K102" s="28"/>
      <c r="L102" s="28"/>
      <c r="M102" s="28"/>
      <c r="N102" s="28"/>
      <c r="O102" s="28"/>
    </row>
    <row r="103" spans="1:15" ht="43.5" customHeight="1" x14ac:dyDescent="0.25">
      <c r="A103" s="28"/>
      <c r="B103" s="228" t="s">
        <v>140</v>
      </c>
      <c r="C103" s="197"/>
      <c r="D103" s="197"/>
      <c r="E103" s="198"/>
      <c r="F103" s="229" t="s">
        <v>141</v>
      </c>
      <c r="G103" s="198"/>
      <c r="H103" s="43"/>
      <c r="I103" s="230" t="s">
        <v>142</v>
      </c>
      <c r="J103" s="198"/>
      <c r="K103" s="28"/>
      <c r="L103" s="28"/>
      <c r="M103" s="28"/>
      <c r="N103" s="28"/>
      <c r="O103" s="28"/>
    </row>
    <row r="104" spans="1:15" ht="15" customHeight="1" x14ac:dyDescent="0.25">
      <c r="A104" s="28"/>
      <c r="B104" s="231" t="s">
        <v>143</v>
      </c>
      <c r="C104" s="223" t="s">
        <v>144</v>
      </c>
      <c r="D104" s="224"/>
      <c r="E104" s="44">
        <v>50</v>
      </c>
      <c r="F104" s="234">
        <v>70</v>
      </c>
      <c r="G104" s="191"/>
      <c r="H104" s="45">
        <f>E104*F104/100</f>
        <v>35</v>
      </c>
      <c r="I104" s="251">
        <v>1</v>
      </c>
      <c r="J104" s="252"/>
      <c r="K104" s="28"/>
      <c r="L104" s="28"/>
      <c r="M104" s="28"/>
      <c r="N104" s="28"/>
      <c r="O104" s="28"/>
    </row>
    <row r="105" spans="1:15" ht="15.75" customHeight="1" x14ac:dyDescent="0.25">
      <c r="A105" s="28"/>
      <c r="B105" s="232"/>
      <c r="C105" s="223" t="s">
        <v>144</v>
      </c>
      <c r="D105" s="224"/>
      <c r="E105" s="44">
        <v>60</v>
      </c>
      <c r="F105" s="192"/>
      <c r="G105" s="193"/>
      <c r="H105" s="46">
        <f>E105*F104/100</f>
        <v>42</v>
      </c>
      <c r="I105" s="253">
        <v>2</v>
      </c>
      <c r="J105" s="254"/>
      <c r="K105" s="28"/>
      <c r="L105" s="28"/>
      <c r="M105" s="28"/>
      <c r="N105" s="28"/>
      <c r="O105" s="28"/>
    </row>
    <row r="106" spans="1:15" ht="15.75" customHeight="1" x14ac:dyDescent="0.25">
      <c r="A106" s="28"/>
      <c r="B106" s="233"/>
      <c r="C106" s="223" t="s">
        <v>144</v>
      </c>
      <c r="D106" s="224"/>
      <c r="E106" s="47">
        <v>70</v>
      </c>
      <c r="F106" s="194"/>
      <c r="G106" s="195"/>
      <c r="H106" s="48">
        <f>E106*F104/100</f>
        <v>49</v>
      </c>
      <c r="I106" s="225">
        <v>3</v>
      </c>
      <c r="J106" s="226"/>
      <c r="K106" s="28"/>
      <c r="L106" s="28"/>
      <c r="M106" s="28"/>
      <c r="N106" s="28"/>
      <c r="O106" s="28"/>
    </row>
    <row r="107" spans="1:15" ht="15.75" customHeight="1" x14ac:dyDescent="0.25">
      <c r="A107" s="28"/>
      <c r="B107" s="49"/>
      <c r="C107" s="49"/>
      <c r="D107" s="49"/>
      <c r="E107" s="49"/>
      <c r="F107" s="49"/>
      <c r="G107" s="49"/>
      <c r="H107" s="227"/>
      <c r="I107" s="207"/>
      <c r="J107" s="208"/>
      <c r="K107" s="28"/>
      <c r="L107" s="28"/>
      <c r="M107" s="28"/>
      <c r="N107" s="28"/>
      <c r="O107" s="28"/>
    </row>
    <row r="108" spans="1:15" ht="15.75" customHeight="1" x14ac:dyDescent="0.25">
      <c r="A108" s="28"/>
      <c r="B108" s="49"/>
      <c r="C108" s="49"/>
      <c r="D108" s="49"/>
      <c r="E108" s="49"/>
      <c r="F108" s="49"/>
      <c r="G108" s="49"/>
      <c r="H108" s="227"/>
      <c r="I108" s="207"/>
      <c r="J108" s="208"/>
      <c r="K108" s="28"/>
      <c r="L108" s="28"/>
      <c r="M108" s="28"/>
      <c r="N108" s="28"/>
      <c r="O108" s="28"/>
    </row>
    <row r="109" spans="1:15" ht="24" customHeight="1" x14ac:dyDescent="0.25">
      <c r="A109" s="28"/>
      <c r="B109" s="49"/>
      <c r="C109" s="50" t="s">
        <v>145</v>
      </c>
      <c r="D109" s="51" t="s">
        <v>9</v>
      </c>
      <c r="E109" s="51" t="s">
        <v>11</v>
      </c>
      <c r="F109" s="51" t="s">
        <v>13</v>
      </c>
      <c r="G109" s="51" t="s">
        <v>15</v>
      </c>
      <c r="H109" s="51" t="s">
        <v>146</v>
      </c>
      <c r="I109" s="52" t="s">
        <v>147</v>
      </c>
      <c r="J109" s="49"/>
      <c r="K109" s="28"/>
      <c r="L109" s="28"/>
      <c r="M109" s="28"/>
      <c r="N109" s="28"/>
      <c r="O109" s="28"/>
    </row>
    <row r="110" spans="1:15" ht="23.25" customHeight="1" x14ac:dyDescent="0.25">
      <c r="A110" s="28"/>
      <c r="B110" s="49"/>
      <c r="C110" s="53" t="s">
        <v>148</v>
      </c>
      <c r="D110" s="54">
        <f t="shared" ref="D110:I110" si="5">IF(D98&gt;=$H106,3,IF(D98&gt;=$H105,2,IF(D98&gt;=$H104,1,0)))</f>
        <v>3</v>
      </c>
      <c r="E110" s="54">
        <f t="shared" si="5"/>
        <v>3</v>
      </c>
      <c r="F110" s="54">
        <f t="shared" si="5"/>
        <v>1</v>
      </c>
      <c r="G110" s="54">
        <f t="shared" si="5"/>
        <v>3</v>
      </c>
      <c r="H110" s="54">
        <f t="shared" si="5"/>
        <v>3</v>
      </c>
      <c r="I110" s="54">
        <f t="shared" si="5"/>
        <v>3</v>
      </c>
      <c r="J110" s="49"/>
      <c r="K110" s="28"/>
      <c r="L110" s="28"/>
      <c r="M110" s="28"/>
      <c r="N110" s="28"/>
      <c r="O110" s="28"/>
    </row>
    <row r="111" spans="1:15" ht="15.75" customHeight="1" x14ac:dyDescent="0.25">
      <c r="A111" s="28"/>
      <c r="B111" s="28"/>
      <c r="C111" s="28"/>
      <c r="D111" s="28"/>
      <c r="E111" s="28"/>
      <c r="F111" s="28"/>
      <c r="G111" s="28"/>
      <c r="H111" s="28"/>
      <c r="I111" s="28"/>
      <c r="J111" s="28"/>
      <c r="K111" s="28"/>
      <c r="L111" s="28"/>
      <c r="M111" s="28"/>
      <c r="N111" s="28"/>
      <c r="O111" s="28"/>
    </row>
    <row r="112" spans="1:15" ht="15.75" customHeight="1" x14ac:dyDescent="0.25">
      <c r="A112" s="28"/>
      <c r="B112" s="28"/>
      <c r="C112" s="28"/>
      <c r="D112" s="28"/>
      <c r="E112" s="28"/>
      <c r="F112" s="28"/>
      <c r="G112" s="28"/>
      <c r="H112" s="28"/>
      <c r="I112" s="28"/>
      <c r="J112" s="28"/>
      <c r="K112" s="28"/>
      <c r="L112" s="28"/>
      <c r="M112" s="28"/>
      <c r="N112" s="28"/>
      <c r="O112" s="28"/>
    </row>
    <row r="113" spans="1:15" ht="15.75" customHeight="1" x14ac:dyDescent="0.25">
      <c r="A113" s="28"/>
      <c r="B113" s="28"/>
      <c r="C113" s="28"/>
      <c r="D113" s="28"/>
      <c r="E113" s="28"/>
      <c r="F113" s="28"/>
      <c r="G113" s="28"/>
      <c r="H113" s="28"/>
      <c r="I113" s="28"/>
      <c r="J113" s="28"/>
      <c r="K113" s="28"/>
      <c r="L113" s="28"/>
      <c r="M113" s="28"/>
      <c r="N113" s="28"/>
      <c r="O113" s="28"/>
    </row>
    <row r="114" spans="1:15" ht="15.75" customHeight="1" x14ac:dyDescent="0.25">
      <c r="A114" s="28"/>
      <c r="B114" s="28"/>
      <c r="C114" s="28"/>
      <c r="D114" s="28"/>
      <c r="E114" s="28"/>
      <c r="F114" s="28"/>
      <c r="G114" s="28"/>
      <c r="H114" s="28"/>
      <c r="I114" s="28"/>
      <c r="J114" s="28"/>
      <c r="K114" s="28"/>
      <c r="L114" s="28"/>
      <c r="M114" s="28"/>
      <c r="N114" s="28"/>
      <c r="O114" s="28"/>
    </row>
    <row r="115" spans="1:15" ht="24.75" customHeight="1" x14ac:dyDescent="0.25">
      <c r="A115" s="28"/>
      <c r="B115" s="28"/>
      <c r="C115" s="28"/>
      <c r="D115" s="28"/>
      <c r="E115" s="28"/>
      <c r="F115" s="28"/>
      <c r="G115" s="28"/>
      <c r="H115" s="28"/>
      <c r="I115" s="28"/>
      <c r="J115" s="28"/>
      <c r="K115" s="28"/>
      <c r="L115" s="28"/>
      <c r="M115" s="28"/>
      <c r="N115" s="28"/>
      <c r="O115" s="28"/>
    </row>
    <row r="116" spans="1:15" ht="15.75" customHeight="1" x14ac:dyDescent="0.25">
      <c r="A116" s="28"/>
      <c r="B116" s="28"/>
      <c r="C116" s="28"/>
      <c r="D116" s="28"/>
      <c r="E116" s="28"/>
      <c r="F116" s="28"/>
      <c r="G116" s="28"/>
      <c r="H116" s="28"/>
      <c r="I116" s="28"/>
      <c r="J116" s="28"/>
      <c r="K116" s="28"/>
      <c r="L116" s="28"/>
      <c r="M116" s="28"/>
      <c r="N116" s="28"/>
      <c r="O116" s="28"/>
    </row>
    <row r="117" spans="1:15" ht="15.75" customHeight="1" x14ac:dyDescent="0.25">
      <c r="A117" s="28"/>
      <c r="B117" s="28"/>
      <c r="C117" s="28"/>
      <c r="D117" s="28"/>
      <c r="E117" s="28"/>
      <c r="F117" s="28"/>
      <c r="G117" s="28"/>
      <c r="H117" s="28"/>
      <c r="I117" s="28"/>
      <c r="J117" s="28"/>
      <c r="K117" s="28"/>
      <c r="L117" s="28"/>
      <c r="M117" s="28"/>
      <c r="N117" s="28"/>
      <c r="O117" s="28"/>
    </row>
    <row r="118" spans="1:15" ht="15.75" customHeight="1" x14ac:dyDescent="0.25">
      <c r="A118" s="28"/>
      <c r="B118" s="28"/>
      <c r="C118" s="28"/>
      <c r="D118" s="28"/>
      <c r="E118" s="28"/>
      <c r="F118" s="28"/>
      <c r="G118" s="28"/>
      <c r="H118" s="28"/>
      <c r="I118" s="28"/>
      <c r="J118" s="28"/>
      <c r="K118" s="28"/>
      <c r="L118" s="28"/>
      <c r="M118" s="28"/>
      <c r="N118" s="28"/>
      <c r="O118" s="28"/>
    </row>
    <row r="119" spans="1:15" ht="15.75" customHeight="1" x14ac:dyDescent="0.25">
      <c r="A119" s="28"/>
      <c r="B119" s="28"/>
      <c r="C119" s="28"/>
      <c r="D119" s="28"/>
      <c r="E119" s="28"/>
      <c r="F119" s="28"/>
      <c r="G119" s="28"/>
      <c r="H119" s="28"/>
      <c r="I119" s="28"/>
      <c r="J119" s="28"/>
      <c r="K119" s="28"/>
      <c r="L119" s="28"/>
      <c r="M119" s="28"/>
      <c r="N119" s="28"/>
      <c r="O119" s="28"/>
    </row>
    <row r="120" spans="1:15" ht="15.75" customHeight="1" x14ac:dyDescent="0.25">
      <c r="A120" s="28"/>
      <c r="B120" s="28"/>
      <c r="C120" s="28"/>
      <c r="D120" s="28"/>
      <c r="E120" s="28"/>
      <c r="F120" s="28"/>
      <c r="G120" s="28"/>
      <c r="H120" s="28"/>
      <c r="I120" s="28"/>
      <c r="J120" s="28"/>
      <c r="K120" s="28"/>
      <c r="L120" s="28"/>
      <c r="M120" s="28"/>
      <c r="N120" s="28"/>
      <c r="O120" s="28"/>
    </row>
    <row r="121" spans="1:15" ht="15.75" customHeight="1" x14ac:dyDescent="0.25">
      <c r="A121" s="28"/>
      <c r="B121" s="28"/>
      <c r="C121" s="28"/>
      <c r="D121" s="28"/>
      <c r="E121" s="28"/>
      <c r="F121" s="28" t="s">
        <v>149</v>
      </c>
      <c r="G121" s="28"/>
      <c r="H121" s="28"/>
      <c r="I121" s="28"/>
      <c r="J121" s="28"/>
      <c r="K121" s="28"/>
      <c r="L121" s="28"/>
      <c r="M121" s="28"/>
      <c r="N121" s="28"/>
      <c r="O121" s="28"/>
    </row>
    <row r="122" spans="1:15" ht="15.75" customHeight="1" x14ac:dyDescent="0.25">
      <c r="A122" s="28"/>
      <c r="B122" s="28"/>
      <c r="C122" s="28"/>
      <c r="D122" s="28"/>
      <c r="E122" s="28"/>
      <c r="F122" s="28"/>
      <c r="G122" s="28"/>
      <c r="H122" s="28"/>
      <c r="I122" s="28"/>
      <c r="J122" s="28"/>
      <c r="K122" s="28"/>
      <c r="L122" s="28"/>
      <c r="M122" s="28"/>
      <c r="N122" s="28"/>
      <c r="O122" s="28"/>
    </row>
    <row r="123" spans="1:15" ht="15.75" customHeight="1" x14ac:dyDescent="0.25">
      <c r="A123" s="28"/>
      <c r="B123" s="28"/>
      <c r="C123" s="28"/>
      <c r="D123" s="28"/>
      <c r="E123" s="28"/>
      <c r="F123" s="28"/>
      <c r="G123" s="28"/>
      <c r="H123" s="28"/>
      <c r="I123" s="28"/>
      <c r="J123" s="28"/>
      <c r="K123" s="28"/>
      <c r="L123" s="28"/>
      <c r="M123" s="28"/>
      <c r="N123" s="28"/>
      <c r="O123" s="28"/>
    </row>
    <row r="124" spans="1:15" ht="15.75" customHeight="1" x14ac:dyDescent="0.25">
      <c r="A124" s="28"/>
      <c r="B124" s="28"/>
      <c r="C124" s="28"/>
      <c r="D124" s="28"/>
      <c r="E124" s="28"/>
      <c r="F124" s="28"/>
      <c r="G124" s="28"/>
      <c r="H124" s="28"/>
      <c r="I124" s="28"/>
      <c r="J124" s="28"/>
      <c r="K124" s="28"/>
      <c r="L124" s="28"/>
      <c r="M124" s="28"/>
      <c r="N124" s="28"/>
      <c r="O124" s="28"/>
    </row>
    <row r="125" spans="1:15" ht="15.75" customHeight="1" x14ac:dyDescent="0.25">
      <c r="A125" s="28"/>
      <c r="B125" s="28"/>
      <c r="C125" s="28"/>
      <c r="D125" s="28"/>
      <c r="E125" s="28"/>
      <c r="F125" s="28"/>
      <c r="G125" s="28"/>
      <c r="H125" s="28"/>
      <c r="I125" s="28"/>
      <c r="J125" s="28"/>
      <c r="K125" s="28"/>
      <c r="L125" s="28"/>
      <c r="M125" s="28"/>
      <c r="N125" s="28"/>
      <c r="O125" s="28"/>
    </row>
    <row r="126" spans="1:15" ht="15.75" customHeight="1" x14ac:dyDescent="0.25">
      <c r="A126" s="28"/>
      <c r="B126" s="28"/>
      <c r="C126" s="28"/>
      <c r="D126" s="28"/>
      <c r="E126" s="28"/>
      <c r="F126" s="28"/>
      <c r="G126" s="28"/>
      <c r="H126" s="28"/>
      <c r="I126" s="28"/>
      <c r="J126" s="28"/>
      <c r="K126" s="28"/>
      <c r="L126" s="28"/>
      <c r="M126" s="28"/>
      <c r="N126" s="28"/>
      <c r="O126" s="28"/>
    </row>
    <row r="127" spans="1:15" ht="15.75" customHeight="1" x14ac:dyDescent="0.25">
      <c r="A127" s="28"/>
      <c r="B127" s="28"/>
      <c r="C127" s="28"/>
      <c r="D127" s="28"/>
      <c r="E127" s="28"/>
      <c r="F127" s="28"/>
      <c r="G127" s="28"/>
      <c r="H127" s="28"/>
      <c r="I127" s="28"/>
      <c r="J127" s="28"/>
      <c r="K127" s="28"/>
      <c r="L127" s="28"/>
      <c r="M127" s="28"/>
      <c r="N127" s="28"/>
      <c r="O127" s="28"/>
    </row>
    <row r="128" spans="1:15" ht="15.75" customHeight="1" x14ac:dyDescent="0.25">
      <c r="A128" s="28"/>
      <c r="B128" s="28"/>
      <c r="C128" s="28"/>
      <c r="D128" s="28"/>
      <c r="E128" s="28"/>
      <c r="F128" s="28"/>
      <c r="G128" s="28"/>
      <c r="H128" s="28"/>
      <c r="I128" s="28"/>
      <c r="J128" s="28"/>
      <c r="K128" s="28"/>
      <c r="L128" s="28"/>
      <c r="M128" s="28"/>
      <c r="N128" s="28"/>
      <c r="O128" s="28"/>
    </row>
    <row r="129" spans="1:15" ht="15.75" customHeight="1" x14ac:dyDescent="0.25">
      <c r="A129" s="28"/>
      <c r="B129" s="28"/>
      <c r="C129" s="28"/>
      <c r="D129" s="28"/>
      <c r="E129" s="28"/>
      <c r="F129" s="28"/>
      <c r="G129" s="28"/>
      <c r="H129" s="28"/>
      <c r="I129" s="28"/>
      <c r="J129" s="28"/>
      <c r="K129" s="28"/>
      <c r="L129" s="28"/>
      <c r="M129" s="28"/>
      <c r="N129" s="28"/>
      <c r="O129" s="28"/>
    </row>
    <row r="130" spans="1:15" ht="15.75" customHeight="1" x14ac:dyDescent="0.25">
      <c r="A130" s="28"/>
      <c r="B130" s="28"/>
      <c r="C130" s="28"/>
      <c r="D130" s="28"/>
      <c r="E130" s="28"/>
      <c r="F130" s="28"/>
      <c r="G130" s="28"/>
      <c r="H130" s="28"/>
      <c r="I130" s="28"/>
      <c r="J130" s="28"/>
      <c r="K130" s="28"/>
      <c r="L130" s="28"/>
      <c r="M130" s="28"/>
      <c r="N130" s="28"/>
      <c r="O130" s="28"/>
    </row>
    <row r="131" spans="1:15" ht="15.75" customHeight="1" x14ac:dyDescent="0.25">
      <c r="A131" s="28"/>
      <c r="B131" s="28"/>
      <c r="C131" s="28"/>
      <c r="D131" s="28"/>
      <c r="E131" s="28"/>
      <c r="F131" s="28"/>
      <c r="G131" s="28"/>
      <c r="H131" s="28"/>
      <c r="I131" s="28"/>
      <c r="J131" s="28"/>
      <c r="K131" s="28"/>
      <c r="L131" s="28"/>
      <c r="M131" s="28"/>
      <c r="N131" s="28"/>
      <c r="O131" s="28"/>
    </row>
    <row r="132" spans="1:15" ht="15.75" customHeight="1" x14ac:dyDescent="0.25">
      <c r="A132" s="28"/>
      <c r="B132" s="28"/>
      <c r="C132" s="28"/>
      <c r="D132" s="28"/>
      <c r="E132" s="28"/>
      <c r="F132" s="28"/>
      <c r="G132" s="28"/>
      <c r="H132" s="28"/>
      <c r="I132" s="28"/>
      <c r="J132" s="28"/>
      <c r="K132" s="28"/>
      <c r="L132" s="28"/>
      <c r="M132" s="28"/>
      <c r="N132" s="28"/>
      <c r="O132" s="28"/>
    </row>
    <row r="133" spans="1:15" ht="15.75" customHeight="1" x14ac:dyDescent="0.25">
      <c r="A133" s="28"/>
      <c r="B133" s="28"/>
      <c r="C133" s="28"/>
      <c r="D133" s="28"/>
      <c r="E133" s="28"/>
      <c r="F133" s="28"/>
      <c r="G133" s="28"/>
      <c r="H133" s="28"/>
      <c r="I133" s="28"/>
      <c r="J133" s="28"/>
      <c r="K133" s="28"/>
      <c r="L133" s="28"/>
      <c r="M133" s="28"/>
      <c r="N133" s="28"/>
      <c r="O133" s="28"/>
    </row>
    <row r="134" spans="1:15" ht="15.75" customHeight="1" x14ac:dyDescent="0.25">
      <c r="A134" s="28"/>
      <c r="B134" s="28"/>
      <c r="C134" s="28"/>
      <c r="D134" s="28"/>
      <c r="E134" s="28"/>
      <c r="F134" s="28"/>
      <c r="G134" s="28"/>
      <c r="H134" s="28"/>
      <c r="I134" s="28"/>
      <c r="J134" s="28"/>
      <c r="K134" s="28"/>
      <c r="L134" s="28"/>
      <c r="M134" s="28"/>
      <c r="N134" s="28"/>
      <c r="O134" s="28"/>
    </row>
    <row r="135" spans="1:15" ht="15.75" customHeight="1" x14ac:dyDescent="0.25">
      <c r="A135" s="28"/>
      <c r="B135" s="28"/>
      <c r="C135" s="28"/>
      <c r="D135" s="28"/>
      <c r="E135" s="28"/>
      <c r="F135" s="28"/>
      <c r="G135" s="28"/>
      <c r="H135" s="28"/>
      <c r="I135" s="28"/>
      <c r="J135" s="28"/>
      <c r="K135" s="28"/>
      <c r="L135" s="28"/>
      <c r="M135" s="28"/>
      <c r="N135" s="28"/>
      <c r="O135" s="28"/>
    </row>
    <row r="136" spans="1:15" ht="15.75" customHeight="1" x14ac:dyDescent="0.25">
      <c r="A136" s="28"/>
      <c r="B136" s="28"/>
      <c r="C136" s="28"/>
      <c r="D136" s="28"/>
      <c r="E136" s="28"/>
      <c r="F136" s="28"/>
      <c r="G136" s="28"/>
      <c r="H136" s="28"/>
      <c r="I136" s="28"/>
      <c r="J136" s="28"/>
      <c r="K136" s="28"/>
      <c r="L136" s="28"/>
      <c r="M136" s="28"/>
      <c r="N136" s="28"/>
      <c r="O136" s="28"/>
    </row>
    <row r="137" spans="1:15" ht="15.75" customHeight="1" x14ac:dyDescent="0.25">
      <c r="A137" s="28"/>
      <c r="B137" s="28"/>
      <c r="C137" s="28"/>
      <c r="D137" s="28"/>
      <c r="E137" s="28"/>
      <c r="F137" s="28"/>
      <c r="G137" s="28"/>
      <c r="H137" s="28"/>
      <c r="I137" s="28"/>
      <c r="J137" s="28"/>
      <c r="K137" s="28"/>
      <c r="L137" s="28"/>
      <c r="M137" s="28"/>
      <c r="N137" s="28"/>
      <c r="O137" s="28"/>
    </row>
    <row r="138" spans="1:15" ht="15.75" customHeight="1" x14ac:dyDescent="0.25">
      <c r="A138" s="28"/>
      <c r="B138" s="28"/>
      <c r="C138" s="28"/>
      <c r="D138" s="28"/>
      <c r="E138" s="28"/>
      <c r="F138" s="28"/>
      <c r="G138" s="28"/>
      <c r="H138" s="28"/>
      <c r="I138" s="28"/>
      <c r="J138" s="28"/>
      <c r="K138" s="28"/>
      <c r="L138" s="28"/>
      <c r="M138" s="28"/>
      <c r="N138" s="28"/>
      <c r="O138" s="28"/>
    </row>
    <row r="139" spans="1:15" ht="15.75" customHeight="1" x14ac:dyDescent="0.25">
      <c r="A139" s="28"/>
      <c r="B139" s="28"/>
      <c r="C139" s="28"/>
      <c r="D139" s="28"/>
      <c r="E139" s="28"/>
      <c r="F139" s="28"/>
      <c r="G139" s="28"/>
      <c r="H139" s="28"/>
      <c r="I139" s="28"/>
      <c r="J139" s="28"/>
      <c r="K139" s="28"/>
      <c r="L139" s="28"/>
      <c r="M139" s="28"/>
      <c r="N139" s="28"/>
      <c r="O139" s="28"/>
    </row>
    <row r="140" spans="1:15" ht="15.75" customHeight="1" x14ac:dyDescent="0.25">
      <c r="A140" s="28"/>
      <c r="B140" s="28"/>
      <c r="C140" s="28"/>
      <c r="D140" s="28"/>
      <c r="E140" s="28"/>
      <c r="F140" s="28"/>
      <c r="G140" s="28"/>
      <c r="H140" s="28"/>
      <c r="I140" s="28"/>
      <c r="J140" s="28"/>
      <c r="K140" s="28"/>
      <c r="L140" s="28"/>
      <c r="M140" s="28"/>
      <c r="N140" s="28"/>
      <c r="O140" s="28"/>
    </row>
    <row r="141" spans="1:15" ht="15.75" customHeight="1" x14ac:dyDescent="0.25">
      <c r="A141" s="28"/>
      <c r="B141" s="28"/>
      <c r="C141" s="28"/>
      <c r="D141" s="28"/>
      <c r="E141" s="28"/>
      <c r="F141" s="28"/>
      <c r="G141" s="28"/>
      <c r="H141" s="28"/>
      <c r="I141" s="28"/>
      <c r="J141" s="28"/>
      <c r="K141" s="28"/>
      <c r="L141" s="28"/>
      <c r="M141" s="28"/>
      <c r="N141" s="28"/>
      <c r="O141" s="28"/>
    </row>
    <row r="142" spans="1:15" ht="15.75" customHeight="1" x14ac:dyDescent="0.25">
      <c r="A142" s="28"/>
      <c r="B142" s="28"/>
      <c r="C142" s="28"/>
      <c r="D142" s="28"/>
      <c r="E142" s="28"/>
      <c r="F142" s="28"/>
      <c r="G142" s="28"/>
      <c r="H142" s="28"/>
      <c r="I142" s="28"/>
      <c r="J142" s="28"/>
      <c r="K142" s="28"/>
      <c r="L142" s="28"/>
      <c r="M142" s="28"/>
      <c r="N142" s="28"/>
      <c r="O142" s="28"/>
    </row>
    <row r="143" spans="1:15" ht="15.75" customHeight="1" x14ac:dyDescent="0.25">
      <c r="A143" s="28"/>
      <c r="B143" s="28"/>
      <c r="C143" s="28"/>
      <c r="D143" s="28"/>
      <c r="E143" s="28"/>
      <c r="F143" s="28"/>
      <c r="G143" s="28"/>
      <c r="H143" s="28"/>
      <c r="I143" s="28"/>
      <c r="J143" s="28"/>
      <c r="K143" s="28"/>
      <c r="L143" s="28"/>
      <c r="M143" s="28"/>
      <c r="N143" s="28"/>
      <c r="O143" s="28"/>
    </row>
    <row r="144" spans="1:15" ht="15.75" customHeight="1" x14ac:dyDescent="0.25">
      <c r="A144" s="28"/>
      <c r="B144" s="28"/>
      <c r="C144" s="28"/>
      <c r="D144" s="28"/>
      <c r="E144" s="28"/>
      <c r="F144" s="28"/>
      <c r="G144" s="28"/>
      <c r="H144" s="28"/>
      <c r="I144" s="28"/>
      <c r="J144" s="28"/>
      <c r="K144" s="28"/>
      <c r="L144" s="28"/>
      <c r="M144" s="28"/>
      <c r="N144" s="28"/>
      <c r="O144" s="28"/>
    </row>
    <row r="145" spans="1:15" ht="15.75" customHeight="1" x14ac:dyDescent="0.25">
      <c r="A145" s="28"/>
      <c r="B145" s="28"/>
      <c r="C145" s="28"/>
      <c r="D145" s="28"/>
      <c r="E145" s="28"/>
      <c r="F145" s="28"/>
      <c r="G145" s="28"/>
      <c r="H145" s="28"/>
      <c r="I145" s="28"/>
      <c r="J145" s="28"/>
      <c r="K145" s="28"/>
      <c r="L145" s="28"/>
      <c r="M145" s="28"/>
      <c r="N145" s="28"/>
      <c r="O145" s="28"/>
    </row>
    <row r="146" spans="1:15" ht="15.75" customHeight="1" x14ac:dyDescent="0.25">
      <c r="A146" s="28"/>
      <c r="B146" s="28"/>
      <c r="C146" s="28"/>
      <c r="D146" s="28"/>
      <c r="E146" s="28"/>
      <c r="F146" s="28"/>
      <c r="G146" s="28"/>
      <c r="H146" s="28"/>
      <c r="I146" s="28"/>
      <c r="J146" s="28"/>
      <c r="K146" s="28"/>
      <c r="L146" s="28"/>
      <c r="M146" s="28"/>
      <c r="N146" s="28"/>
      <c r="O146" s="28"/>
    </row>
    <row r="147" spans="1:15" ht="15.75" customHeight="1" x14ac:dyDescent="0.25">
      <c r="A147" s="28"/>
      <c r="B147" s="28"/>
      <c r="C147" s="28"/>
      <c r="D147" s="28"/>
      <c r="E147" s="28"/>
      <c r="F147" s="28"/>
      <c r="G147" s="28"/>
      <c r="H147" s="28"/>
      <c r="I147" s="28"/>
      <c r="J147" s="28"/>
      <c r="K147" s="28"/>
      <c r="L147" s="28"/>
      <c r="M147" s="28"/>
      <c r="N147" s="28"/>
      <c r="O147" s="28"/>
    </row>
    <row r="148" spans="1:15" ht="15.75" customHeight="1" x14ac:dyDescent="0.25">
      <c r="A148" s="28"/>
      <c r="B148" s="28"/>
      <c r="C148" s="28"/>
      <c r="D148" s="28"/>
      <c r="E148" s="28"/>
      <c r="F148" s="28"/>
      <c r="G148" s="28"/>
      <c r="H148" s="28"/>
      <c r="I148" s="28"/>
      <c r="J148" s="28"/>
      <c r="K148" s="28"/>
      <c r="L148" s="28"/>
      <c r="M148" s="28"/>
      <c r="N148" s="28"/>
      <c r="O148" s="28"/>
    </row>
    <row r="149" spans="1:15" ht="15.75" customHeight="1" x14ac:dyDescent="0.25">
      <c r="A149" s="28"/>
      <c r="B149" s="28"/>
      <c r="C149" s="28"/>
      <c r="D149" s="28"/>
      <c r="E149" s="28"/>
      <c r="F149" s="28"/>
      <c r="G149" s="28"/>
      <c r="H149" s="28"/>
      <c r="I149" s="28"/>
      <c r="J149" s="28"/>
      <c r="K149" s="28"/>
      <c r="L149" s="28"/>
      <c r="M149" s="28"/>
      <c r="N149" s="28"/>
      <c r="O149" s="28"/>
    </row>
    <row r="150" spans="1:15" ht="15.75" customHeight="1" x14ac:dyDescent="0.25">
      <c r="A150" s="28"/>
      <c r="B150" s="28"/>
      <c r="C150" s="28"/>
      <c r="D150" s="28"/>
      <c r="E150" s="28"/>
      <c r="F150" s="28"/>
      <c r="G150" s="28"/>
      <c r="H150" s="28"/>
      <c r="I150" s="28"/>
      <c r="J150" s="28"/>
      <c r="K150" s="28"/>
      <c r="L150" s="28"/>
      <c r="M150" s="28"/>
      <c r="N150" s="28"/>
      <c r="O150" s="28"/>
    </row>
    <row r="151" spans="1:15" ht="15.75" customHeight="1" x14ac:dyDescent="0.25">
      <c r="A151" s="28"/>
      <c r="B151" s="28"/>
      <c r="C151" s="28"/>
      <c r="D151" s="28"/>
      <c r="E151" s="28"/>
      <c r="F151" s="28"/>
      <c r="G151" s="28"/>
      <c r="H151" s="28"/>
      <c r="I151" s="28"/>
      <c r="J151" s="28"/>
      <c r="K151" s="28"/>
      <c r="L151" s="28"/>
      <c r="M151" s="28"/>
      <c r="N151" s="28"/>
      <c r="O151" s="28"/>
    </row>
    <row r="152" spans="1:15" ht="15.75" customHeight="1" x14ac:dyDescent="0.25">
      <c r="A152" s="28"/>
      <c r="B152" s="28"/>
      <c r="C152" s="28"/>
      <c r="D152" s="28"/>
      <c r="E152" s="28"/>
      <c r="F152" s="28"/>
      <c r="G152" s="28"/>
      <c r="H152" s="28"/>
      <c r="I152" s="28"/>
      <c r="J152" s="28"/>
      <c r="K152" s="28"/>
      <c r="L152" s="28"/>
      <c r="M152" s="28"/>
      <c r="N152" s="28"/>
      <c r="O152" s="28"/>
    </row>
    <row r="153" spans="1:15" ht="15.75" customHeight="1" x14ac:dyDescent="0.25">
      <c r="A153" s="28"/>
      <c r="B153" s="28"/>
      <c r="C153" s="28"/>
      <c r="D153" s="28"/>
      <c r="E153" s="28"/>
      <c r="F153" s="28"/>
      <c r="G153" s="28"/>
      <c r="H153" s="28"/>
      <c r="I153" s="28"/>
      <c r="J153" s="28"/>
      <c r="K153" s="28"/>
      <c r="L153" s="28"/>
      <c r="M153" s="28"/>
      <c r="N153" s="28"/>
      <c r="O153" s="28"/>
    </row>
    <row r="154" spans="1:15" ht="15.75" customHeight="1" x14ac:dyDescent="0.25">
      <c r="A154" s="28"/>
      <c r="B154" s="28"/>
      <c r="C154" s="28"/>
      <c r="D154" s="28"/>
      <c r="E154" s="28"/>
      <c r="F154" s="28"/>
      <c r="G154" s="28"/>
      <c r="H154" s="28"/>
      <c r="I154" s="28"/>
      <c r="J154" s="28"/>
      <c r="K154" s="28"/>
      <c r="L154" s="28"/>
      <c r="M154" s="28"/>
      <c r="N154" s="28"/>
      <c r="O154" s="28"/>
    </row>
    <row r="155" spans="1:15" ht="15.75" customHeight="1" x14ac:dyDescent="0.25">
      <c r="A155" s="28"/>
      <c r="B155" s="28"/>
      <c r="C155" s="28"/>
      <c r="D155" s="28"/>
      <c r="E155" s="28"/>
      <c r="F155" s="28"/>
      <c r="G155" s="28"/>
      <c r="H155" s="28"/>
      <c r="I155" s="28"/>
      <c r="J155" s="28"/>
      <c r="K155" s="28"/>
      <c r="L155" s="28"/>
      <c r="M155" s="28"/>
      <c r="N155" s="28"/>
      <c r="O155" s="28"/>
    </row>
    <row r="156" spans="1:15" ht="15.75" customHeight="1" x14ac:dyDescent="0.25">
      <c r="A156" s="28"/>
      <c r="B156" s="28"/>
      <c r="C156" s="28"/>
      <c r="D156" s="28"/>
      <c r="E156" s="28"/>
      <c r="F156" s="28"/>
      <c r="G156" s="28"/>
      <c r="H156" s="28"/>
      <c r="I156" s="28"/>
      <c r="J156" s="28"/>
      <c r="K156" s="28"/>
      <c r="L156" s="28"/>
      <c r="M156" s="28"/>
      <c r="N156" s="28"/>
      <c r="O156" s="28"/>
    </row>
    <row r="157" spans="1:15" ht="15.75" customHeight="1" x14ac:dyDescent="0.25">
      <c r="A157" s="28"/>
      <c r="B157" s="28"/>
      <c r="C157" s="28"/>
      <c r="D157" s="28"/>
      <c r="E157" s="28"/>
      <c r="F157" s="28"/>
      <c r="G157" s="28"/>
      <c r="H157" s="28"/>
      <c r="I157" s="28"/>
      <c r="J157" s="28"/>
      <c r="K157" s="28"/>
      <c r="L157" s="28"/>
      <c r="M157" s="28"/>
      <c r="N157" s="28"/>
      <c r="O157" s="28"/>
    </row>
    <row r="158" spans="1:15" ht="15.75" customHeight="1" x14ac:dyDescent="0.25">
      <c r="A158" s="28"/>
      <c r="B158" s="28"/>
      <c r="C158" s="28"/>
      <c r="D158" s="28"/>
      <c r="E158" s="28"/>
      <c r="F158" s="28"/>
      <c r="G158" s="28"/>
      <c r="H158" s="28"/>
      <c r="I158" s="28"/>
      <c r="J158" s="28"/>
      <c r="K158" s="28"/>
      <c r="L158" s="28"/>
      <c r="M158" s="28"/>
      <c r="N158" s="28"/>
      <c r="O158" s="28"/>
    </row>
    <row r="159" spans="1:15" ht="15.75" customHeight="1" x14ac:dyDescent="0.25">
      <c r="A159" s="28"/>
      <c r="B159" s="28"/>
      <c r="C159" s="28"/>
      <c r="D159" s="28"/>
      <c r="E159" s="28"/>
      <c r="F159" s="28"/>
      <c r="G159" s="28"/>
      <c r="H159" s="28"/>
      <c r="I159" s="28"/>
      <c r="J159" s="28"/>
      <c r="K159" s="28"/>
      <c r="L159" s="28"/>
      <c r="M159" s="28"/>
      <c r="N159" s="28"/>
      <c r="O159" s="28"/>
    </row>
    <row r="160" spans="1:15" ht="15.75" customHeight="1" x14ac:dyDescent="0.25">
      <c r="A160" s="28"/>
      <c r="B160" s="28"/>
      <c r="C160" s="28"/>
      <c r="D160" s="28"/>
      <c r="E160" s="28"/>
      <c r="F160" s="28"/>
      <c r="G160" s="28"/>
      <c r="H160" s="28"/>
      <c r="I160" s="28"/>
      <c r="J160" s="28"/>
      <c r="K160" s="28"/>
      <c r="L160" s="28"/>
      <c r="M160" s="28"/>
      <c r="N160" s="28"/>
      <c r="O160" s="28"/>
    </row>
    <row r="161" spans="1:15" ht="15.75" customHeight="1" x14ac:dyDescent="0.25">
      <c r="A161" s="28"/>
      <c r="B161" s="28"/>
      <c r="C161" s="28"/>
      <c r="D161" s="28"/>
      <c r="E161" s="28"/>
      <c r="F161" s="28"/>
      <c r="G161" s="28"/>
      <c r="H161" s="28"/>
      <c r="I161" s="28"/>
      <c r="J161" s="28"/>
      <c r="K161" s="28"/>
      <c r="L161" s="28"/>
      <c r="M161" s="28"/>
      <c r="N161" s="28"/>
      <c r="O161" s="28"/>
    </row>
    <row r="162" spans="1:15" ht="15.75" customHeight="1" x14ac:dyDescent="0.25">
      <c r="A162" s="28"/>
      <c r="B162" s="28"/>
      <c r="C162" s="28"/>
      <c r="D162" s="28"/>
      <c r="E162" s="28"/>
      <c r="F162" s="28"/>
      <c r="G162" s="28"/>
      <c r="H162" s="28"/>
      <c r="I162" s="28"/>
      <c r="J162" s="28"/>
      <c r="K162" s="28"/>
      <c r="L162" s="28"/>
      <c r="M162" s="28"/>
      <c r="N162" s="28"/>
      <c r="O162" s="28"/>
    </row>
    <row r="163" spans="1:15" ht="15.75" customHeight="1" x14ac:dyDescent="0.25">
      <c r="A163" s="28"/>
      <c r="B163" s="28"/>
      <c r="C163" s="28"/>
      <c r="D163" s="28"/>
      <c r="E163" s="28"/>
      <c r="F163" s="28"/>
      <c r="G163" s="28"/>
      <c r="H163" s="28"/>
      <c r="I163" s="28"/>
      <c r="J163" s="28"/>
      <c r="K163" s="28"/>
      <c r="L163" s="28"/>
      <c r="M163" s="28"/>
      <c r="N163" s="28"/>
      <c r="O163" s="28"/>
    </row>
    <row r="164" spans="1:15" ht="15.75" customHeight="1" x14ac:dyDescent="0.25">
      <c r="A164" s="28"/>
      <c r="B164" s="28"/>
      <c r="C164" s="28"/>
      <c r="D164" s="28"/>
      <c r="E164" s="28"/>
      <c r="F164" s="28"/>
      <c r="G164" s="28"/>
      <c r="H164" s="28"/>
      <c r="I164" s="28"/>
      <c r="J164" s="28"/>
      <c r="K164" s="28"/>
      <c r="L164" s="28"/>
      <c r="M164" s="28"/>
      <c r="N164" s="28"/>
      <c r="O164" s="28"/>
    </row>
    <row r="165" spans="1:15" ht="15.75" customHeight="1" x14ac:dyDescent="0.25">
      <c r="A165" s="28"/>
      <c r="B165" s="28"/>
      <c r="C165" s="28"/>
      <c r="D165" s="28"/>
      <c r="E165" s="28"/>
      <c r="F165" s="28"/>
      <c r="G165" s="28"/>
      <c r="H165" s="28"/>
      <c r="I165" s="28"/>
      <c r="J165" s="28"/>
      <c r="K165" s="28"/>
      <c r="L165" s="28"/>
      <c r="M165" s="28"/>
      <c r="N165" s="28"/>
      <c r="O165" s="28"/>
    </row>
    <row r="166" spans="1:15" ht="15.75" customHeight="1" x14ac:dyDescent="0.25">
      <c r="A166" s="28"/>
      <c r="B166" s="28"/>
      <c r="C166" s="28"/>
      <c r="D166" s="28"/>
      <c r="E166" s="28"/>
      <c r="F166" s="28"/>
      <c r="G166" s="28"/>
      <c r="H166" s="28"/>
      <c r="I166" s="28"/>
      <c r="J166" s="28"/>
      <c r="K166" s="28"/>
      <c r="L166" s="28"/>
      <c r="M166" s="28"/>
      <c r="N166" s="28"/>
      <c r="O166" s="28"/>
    </row>
    <row r="167" spans="1:15" ht="15.75" customHeight="1" x14ac:dyDescent="0.25">
      <c r="A167" s="28"/>
      <c r="B167" s="28"/>
      <c r="C167" s="28"/>
      <c r="D167" s="28"/>
      <c r="E167" s="28"/>
      <c r="F167" s="28"/>
      <c r="G167" s="28"/>
      <c r="H167" s="28"/>
      <c r="I167" s="28"/>
      <c r="J167" s="28"/>
      <c r="K167" s="28"/>
      <c r="L167" s="28"/>
      <c r="M167" s="28"/>
      <c r="N167" s="28"/>
      <c r="O167" s="28"/>
    </row>
    <row r="168" spans="1:15" ht="15.75" customHeight="1" x14ac:dyDescent="0.25">
      <c r="A168" s="28"/>
      <c r="B168" s="28"/>
      <c r="C168" s="28"/>
      <c r="D168" s="28"/>
      <c r="E168" s="28"/>
      <c r="F168" s="28"/>
      <c r="G168" s="28"/>
      <c r="H168" s="28"/>
      <c r="I168" s="28"/>
      <c r="J168" s="28"/>
      <c r="K168" s="28"/>
      <c r="L168" s="28"/>
      <c r="M168" s="28"/>
      <c r="N168" s="28"/>
      <c r="O168" s="28"/>
    </row>
    <row r="169" spans="1:15" ht="15.75" customHeight="1" x14ac:dyDescent="0.25">
      <c r="A169" s="28"/>
      <c r="B169" s="28"/>
      <c r="C169" s="28"/>
      <c r="D169" s="28"/>
      <c r="E169" s="28"/>
      <c r="F169" s="28"/>
      <c r="G169" s="28"/>
      <c r="H169" s="28"/>
      <c r="I169" s="28"/>
      <c r="J169" s="28"/>
      <c r="K169" s="28"/>
      <c r="L169" s="28"/>
      <c r="M169" s="28"/>
      <c r="N169" s="28"/>
      <c r="O169" s="28"/>
    </row>
    <row r="170" spans="1:15" ht="15.75" customHeight="1" x14ac:dyDescent="0.25">
      <c r="A170" s="28"/>
      <c r="B170" s="28"/>
      <c r="C170" s="28"/>
      <c r="D170" s="28"/>
      <c r="E170" s="28"/>
      <c r="F170" s="28"/>
      <c r="G170" s="28"/>
      <c r="H170" s="28"/>
      <c r="I170" s="28"/>
      <c r="J170" s="28"/>
      <c r="K170" s="28"/>
      <c r="L170" s="28"/>
      <c r="M170" s="28"/>
      <c r="N170" s="28"/>
      <c r="O170" s="28"/>
    </row>
    <row r="171" spans="1:15" ht="15.75" customHeight="1" x14ac:dyDescent="0.25">
      <c r="A171" s="28"/>
      <c r="B171" s="28"/>
      <c r="C171" s="28"/>
      <c r="D171" s="28"/>
      <c r="E171" s="28"/>
      <c r="F171" s="28"/>
      <c r="G171" s="28"/>
      <c r="H171" s="28"/>
      <c r="I171" s="28"/>
      <c r="J171" s="28"/>
      <c r="K171" s="28"/>
      <c r="L171" s="28"/>
      <c r="M171" s="28"/>
      <c r="N171" s="28"/>
      <c r="O171" s="28"/>
    </row>
    <row r="172" spans="1:15" ht="15.75" customHeight="1" x14ac:dyDescent="0.25">
      <c r="A172" s="28"/>
      <c r="B172" s="28"/>
      <c r="C172" s="28"/>
      <c r="D172" s="28"/>
      <c r="E172" s="28"/>
      <c r="F172" s="28"/>
      <c r="G172" s="28"/>
      <c r="H172" s="28"/>
      <c r="I172" s="28"/>
      <c r="J172" s="28"/>
      <c r="K172" s="28"/>
      <c r="L172" s="28"/>
      <c r="M172" s="28"/>
      <c r="N172" s="28"/>
      <c r="O172" s="28"/>
    </row>
    <row r="173" spans="1:15" ht="15.75" customHeight="1" x14ac:dyDescent="0.25">
      <c r="A173" s="28"/>
      <c r="B173" s="28"/>
      <c r="C173" s="28"/>
      <c r="D173" s="28"/>
      <c r="E173" s="28"/>
      <c r="F173" s="28"/>
      <c r="G173" s="28"/>
      <c r="H173" s="28"/>
      <c r="I173" s="28"/>
      <c r="J173" s="28"/>
      <c r="K173" s="28"/>
      <c r="L173" s="28"/>
      <c r="M173" s="28"/>
      <c r="N173" s="28"/>
      <c r="O173" s="28"/>
    </row>
    <row r="174" spans="1:15" ht="15.75" customHeight="1" x14ac:dyDescent="0.25">
      <c r="A174" s="28"/>
      <c r="B174" s="28"/>
      <c r="C174" s="28"/>
      <c r="D174" s="28"/>
      <c r="E174" s="28"/>
      <c r="F174" s="28"/>
      <c r="G174" s="28"/>
      <c r="H174" s="28"/>
      <c r="I174" s="28"/>
      <c r="J174" s="28"/>
      <c r="K174" s="28"/>
      <c r="L174" s="28"/>
      <c r="M174" s="28"/>
      <c r="N174" s="28"/>
      <c r="O174" s="28"/>
    </row>
    <row r="175" spans="1:15" ht="15.75" customHeight="1" x14ac:dyDescent="0.25">
      <c r="A175" s="28"/>
      <c r="B175" s="28"/>
      <c r="C175" s="28"/>
      <c r="D175" s="28"/>
      <c r="E175" s="28"/>
      <c r="F175" s="28"/>
      <c r="G175" s="28"/>
      <c r="H175" s="28"/>
      <c r="I175" s="28"/>
      <c r="J175" s="28"/>
      <c r="K175" s="28"/>
      <c r="L175" s="28"/>
      <c r="M175" s="28"/>
      <c r="N175" s="28"/>
      <c r="O175" s="28"/>
    </row>
    <row r="176" spans="1:15" ht="15.75" customHeight="1" x14ac:dyDescent="0.25">
      <c r="A176" s="28"/>
      <c r="B176" s="28"/>
      <c r="C176" s="28"/>
      <c r="D176" s="28"/>
      <c r="E176" s="28"/>
      <c r="F176" s="28"/>
      <c r="G176" s="28"/>
      <c r="H176" s="28"/>
      <c r="I176" s="28"/>
      <c r="J176" s="28"/>
      <c r="K176" s="28"/>
      <c r="L176" s="28"/>
      <c r="M176" s="28"/>
      <c r="N176" s="28"/>
      <c r="O176" s="28"/>
    </row>
    <row r="177" spans="1:15" ht="15.75" customHeight="1" x14ac:dyDescent="0.25">
      <c r="A177" s="28"/>
      <c r="B177" s="28"/>
      <c r="C177" s="28"/>
      <c r="D177" s="28"/>
      <c r="E177" s="28"/>
      <c r="F177" s="28"/>
      <c r="G177" s="28"/>
      <c r="H177" s="28"/>
      <c r="I177" s="28"/>
      <c r="J177" s="28"/>
      <c r="K177" s="28"/>
      <c r="L177" s="28"/>
      <c r="M177" s="28"/>
      <c r="N177" s="28"/>
      <c r="O177" s="28"/>
    </row>
    <row r="178" spans="1:15" ht="15.75" customHeight="1" x14ac:dyDescent="0.25">
      <c r="A178" s="28"/>
      <c r="B178" s="28"/>
      <c r="C178" s="28"/>
      <c r="D178" s="28"/>
      <c r="E178" s="28"/>
      <c r="F178" s="28"/>
      <c r="G178" s="28"/>
      <c r="H178" s="28"/>
      <c r="I178" s="28"/>
      <c r="J178" s="28"/>
      <c r="K178" s="28"/>
      <c r="L178" s="28"/>
      <c r="M178" s="28"/>
      <c r="N178" s="28"/>
      <c r="O178" s="28"/>
    </row>
    <row r="179" spans="1:15" ht="15.75" customHeight="1" x14ac:dyDescent="0.25">
      <c r="A179" s="28"/>
      <c r="B179" s="28"/>
      <c r="C179" s="28"/>
      <c r="D179" s="28"/>
      <c r="E179" s="28"/>
      <c r="F179" s="28"/>
      <c r="G179" s="28"/>
      <c r="H179" s="28"/>
      <c r="I179" s="28"/>
      <c r="J179" s="28"/>
      <c r="K179" s="28"/>
      <c r="L179" s="28"/>
      <c r="M179" s="28"/>
      <c r="N179" s="28"/>
      <c r="O179" s="28"/>
    </row>
    <row r="180" spans="1:15" ht="15.75" customHeight="1" x14ac:dyDescent="0.25">
      <c r="A180" s="28"/>
      <c r="B180" s="28"/>
      <c r="C180" s="28"/>
      <c r="D180" s="28"/>
      <c r="E180" s="28"/>
      <c r="F180" s="28"/>
      <c r="G180" s="28"/>
      <c r="H180" s="28"/>
      <c r="I180" s="28"/>
      <c r="J180" s="28"/>
      <c r="K180" s="28"/>
      <c r="L180" s="28"/>
      <c r="M180" s="28"/>
      <c r="N180" s="28"/>
      <c r="O180" s="28"/>
    </row>
    <row r="181" spans="1:15" ht="15.75" customHeight="1" x14ac:dyDescent="0.25">
      <c r="A181" s="28"/>
      <c r="B181" s="28"/>
      <c r="C181" s="28"/>
      <c r="D181" s="28"/>
      <c r="E181" s="28"/>
      <c r="F181" s="28"/>
      <c r="G181" s="28"/>
      <c r="H181" s="28"/>
      <c r="I181" s="28"/>
      <c r="J181" s="28"/>
      <c r="K181" s="28"/>
      <c r="L181" s="28"/>
      <c r="M181" s="28"/>
      <c r="N181" s="28"/>
      <c r="O181" s="28"/>
    </row>
    <row r="182" spans="1:15" ht="15.75" customHeight="1" x14ac:dyDescent="0.25">
      <c r="A182" s="28"/>
      <c r="B182" s="28"/>
      <c r="C182" s="28"/>
      <c r="D182" s="28"/>
      <c r="E182" s="28"/>
      <c r="F182" s="28"/>
      <c r="G182" s="28"/>
      <c r="H182" s="28"/>
      <c r="I182" s="28"/>
      <c r="J182" s="28"/>
      <c r="K182" s="28"/>
      <c r="L182" s="28"/>
      <c r="M182" s="28"/>
      <c r="N182" s="28"/>
      <c r="O182" s="28"/>
    </row>
    <row r="183" spans="1:15" ht="15.75" customHeight="1" x14ac:dyDescent="0.25">
      <c r="A183" s="28"/>
      <c r="B183" s="28"/>
      <c r="C183" s="28"/>
      <c r="D183" s="28"/>
      <c r="E183" s="28"/>
      <c r="F183" s="28"/>
      <c r="G183" s="28"/>
      <c r="H183" s="28"/>
      <c r="I183" s="28"/>
      <c r="J183" s="28"/>
      <c r="K183" s="28"/>
      <c r="L183" s="28"/>
      <c r="M183" s="28"/>
      <c r="N183" s="28"/>
      <c r="O183" s="28"/>
    </row>
    <row r="184" spans="1:15" ht="15.75" customHeight="1" x14ac:dyDescent="0.25">
      <c r="A184" s="28"/>
      <c r="B184" s="28"/>
      <c r="C184" s="28"/>
      <c r="D184" s="28"/>
      <c r="E184" s="28"/>
      <c r="F184" s="28"/>
      <c r="G184" s="28"/>
      <c r="H184" s="28"/>
      <c r="I184" s="28"/>
      <c r="J184" s="28"/>
      <c r="K184" s="28"/>
      <c r="L184" s="28"/>
      <c r="M184" s="28"/>
      <c r="N184" s="28"/>
      <c r="O184" s="28"/>
    </row>
    <row r="185" spans="1:15" ht="15.75" customHeight="1" x14ac:dyDescent="0.25">
      <c r="A185" s="28"/>
      <c r="B185" s="28"/>
      <c r="C185" s="28"/>
      <c r="D185" s="28"/>
      <c r="E185" s="28"/>
      <c r="F185" s="28"/>
      <c r="G185" s="28"/>
      <c r="H185" s="28"/>
      <c r="I185" s="28"/>
      <c r="J185" s="28"/>
      <c r="K185" s="28"/>
      <c r="L185" s="28"/>
      <c r="M185" s="28"/>
      <c r="N185" s="28"/>
      <c r="O185" s="28"/>
    </row>
    <row r="186" spans="1:15" ht="15.75" customHeight="1" x14ac:dyDescent="0.25">
      <c r="A186" s="28"/>
      <c r="B186" s="28"/>
      <c r="C186" s="28"/>
      <c r="D186" s="28"/>
      <c r="E186" s="28"/>
      <c r="F186" s="28"/>
      <c r="G186" s="28"/>
      <c r="H186" s="28"/>
      <c r="I186" s="28"/>
      <c r="J186" s="28"/>
      <c r="K186" s="28"/>
      <c r="L186" s="28"/>
      <c r="M186" s="28"/>
      <c r="N186" s="28"/>
      <c r="O186" s="28"/>
    </row>
    <row r="187" spans="1:15" ht="15.75" customHeight="1" x14ac:dyDescent="0.25">
      <c r="A187" s="28"/>
      <c r="B187" s="28"/>
      <c r="C187" s="28"/>
      <c r="D187" s="28"/>
      <c r="E187" s="28"/>
      <c r="F187" s="28"/>
      <c r="G187" s="28"/>
      <c r="H187" s="28"/>
      <c r="I187" s="28"/>
      <c r="J187" s="28"/>
      <c r="K187" s="28"/>
      <c r="L187" s="28"/>
      <c r="M187" s="28"/>
      <c r="N187" s="28"/>
      <c r="O187" s="28"/>
    </row>
    <row r="188" spans="1:15" ht="15.75" customHeight="1" x14ac:dyDescent="0.25">
      <c r="A188" s="28"/>
      <c r="B188" s="28"/>
      <c r="C188" s="28"/>
      <c r="D188" s="28"/>
      <c r="E188" s="28"/>
      <c r="F188" s="28"/>
      <c r="G188" s="28"/>
      <c r="H188" s="28"/>
      <c r="I188" s="28"/>
      <c r="J188" s="28"/>
      <c r="K188" s="28"/>
      <c r="L188" s="28"/>
      <c r="M188" s="28"/>
      <c r="N188" s="28"/>
      <c r="O188" s="28"/>
    </row>
    <row r="189" spans="1:15" ht="15.75" customHeight="1" x14ac:dyDescent="0.25">
      <c r="A189" s="28"/>
      <c r="B189" s="28"/>
      <c r="C189" s="28"/>
      <c r="D189" s="28"/>
      <c r="E189" s="28"/>
      <c r="F189" s="28"/>
      <c r="G189" s="28"/>
      <c r="H189" s="28"/>
      <c r="I189" s="28"/>
      <c r="J189" s="28"/>
      <c r="K189" s="28"/>
      <c r="L189" s="28"/>
      <c r="M189" s="28"/>
      <c r="N189" s="28"/>
      <c r="O189" s="28"/>
    </row>
    <row r="190" spans="1:15" ht="15.75" customHeight="1" x14ac:dyDescent="0.25">
      <c r="A190" s="28"/>
      <c r="B190" s="28"/>
      <c r="C190" s="28"/>
      <c r="D190" s="28"/>
      <c r="E190" s="28"/>
      <c r="F190" s="28"/>
      <c r="G190" s="28"/>
      <c r="H190" s="28"/>
      <c r="I190" s="28"/>
      <c r="J190" s="28"/>
      <c r="K190" s="28"/>
      <c r="L190" s="28"/>
      <c r="M190" s="28"/>
      <c r="N190" s="28"/>
      <c r="O190" s="28"/>
    </row>
    <row r="191" spans="1:15" ht="15.75" customHeight="1" x14ac:dyDescent="0.25">
      <c r="A191" s="28"/>
      <c r="B191" s="28"/>
      <c r="C191" s="28"/>
      <c r="D191" s="28"/>
      <c r="E191" s="28"/>
      <c r="F191" s="28"/>
      <c r="G191" s="28"/>
      <c r="H191" s="28"/>
      <c r="I191" s="28"/>
      <c r="J191" s="28"/>
      <c r="K191" s="28"/>
      <c r="L191" s="28"/>
      <c r="M191" s="28"/>
      <c r="N191" s="28"/>
      <c r="O191" s="28"/>
    </row>
    <row r="192" spans="1:15" ht="15.75" customHeight="1" x14ac:dyDescent="0.25">
      <c r="A192" s="28"/>
      <c r="B192" s="28"/>
      <c r="C192" s="28"/>
      <c r="D192" s="28"/>
      <c r="E192" s="28"/>
      <c r="F192" s="28"/>
      <c r="G192" s="28"/>
      <c r="H192" s="28"/>
      <c r="I192" s="28"/>
      <c r="J192" s="28"/>
      <c r="K192" s="28"/>
      <c r="L192" s="28"/>
      <c r="M192" s="28"/>
      <c r="N192" s="28"/>
      <c r="O192" s="28"/>
    </row>
    <row r="193" spans="1:15" ht="15.75" customHeight="1" x14ac:dyDescent="0.25">
      <c r="A193" s="28"/>
      <c r="B193" s="28"/>
      <c r="C193" s="28"/>
      <c r="D193" s="28"/>
      <c r="E193" s="28"/>
      <c r="F193" s="28"/>
      <c r="G193" s="28"/>
      <c r="H193" s="28"/>
      <c r="I193" s="28"/>
      <c r="J193" s="28"/>
      <c r="K193" s="28"/>
      <c r="L193" s="28"/>
      <c r="M193" s="28"/>
      <c r="N193" s="28"/>
      <c r="O193" s="28"/>
    </row>
    <row r="194" spans="1:15" ht="15.75" customHeight="1" x14ac:dyDescent="0.25">
      <c r="A194" s="28"/>
      <c r="B194" s="28"/>
      <c r="C194" s="28"/>
      <c r="D194" s="28"/>
      <c r="E194" s="28"/>
      <c r="F194" s="28"/>
      <c r="G194" s="28"/>
      <c r="H194" s="28"/>
      <c r="I194" s="28"/>
      <c r="J194" s="28"/>
      <c r="K194" s="28"/>
      <c r="L194" s="28"/>
      <c r="M194" s="28"/>
      <c r="N194" s="28"/>
      <c r="O194" s="28"/>
    </row>
    <row r="195" spans="1:15" ht="15.75" customHeight="1" x14ac:dyDescent="0.25">
      <c r="A195" s="28"/>
      <c r="B195" s="28"/>
      <c r="C195" s="28"/>
      <c r="D195" s="28"/>
      <c r="E195" s="28"/>
      <c r="F195" s="28"/>
      <c r="G195" s="28"/>
      <c r="H195" s="28"/>
      <c r="I195" s="28"/>
      <c r="J195" s="28"/>
      <c r="K195" s="28"/>
      <c r="L195" s="28"/>
      <c r="M195" s="28"/>
      <c r="N195" s="28"/>
      <c r="O195" s="28"/>
    </row>
    <row r="196" spans="1:15" ht="15.75" customHeight="1" x14ac:dyDescent="0.25">
      <c r="A196" s="28"/>
      <c r="B196" s="28"/>
      <c r="C196" s="28"/>
      <c r="D196" s="28"/>
      <c r="E196" s="28"/>
      <c r="F196" s="28"/>
      <c r="G196" s="28"/>
      <c r="H196" s="28"/>
      <c r="I196" s="28"/>
      <c r="J196" s="28"/>
      <c r="K196" s="28"/>
      <c r="L196" s="28"/>
      <c r="M196" s="28"/>
      <c r="N196" s="28"/>
      <c r="O196" s="28"/>
    </row>
    <row r="197" spans="1:15" ht="15.75" customHeight="1" x14ac:dyDescent="0.25">
      <c r="A197" s="28"/>
      <c r="B197" s="28"/>
      <c r="C197" s="28"/>
      <c r="D197" s="28"/>
      <c r="E197" s="28"/>
      <c r="F197" s="28"/>
      <c r="G197" s="28"/>
      <c r="H197" s="28"/>
      <c r="I197" s="28"/>
      <c r="J197" s="28"/>
      <c r="K197" s="28"/>
      <c r="L197" s="28"/>
      <c r="M197" s="28"/>
      <c r="N197" s="28"/>
      <c r="O197" s="28"/>
    </row>
    <row r="198" spans="1:15" ht="15.75" customHeight="1" x14ac:dyDescent="0.25">
      <c r="A198" s="28"/>
      <c r="B198" s="28"/>
      <c r="C198" s="28"/>
      <c r="D198" s="28"/>
      <c r="E198" s="28"/>
      <c r="F198" s="28"/>
      <c r="G198" s="28"/>
      <c r="H198" s="28"/>
      <c r="I198" s="28"/>
      <c r="J198" s="28"/>
      <c r="K198" s="28"/>
      <c r="L198" s="28"/>
      <c r="M198" s="28"/>
      <c r="N198" s="28"/>
      <c r="O198" s="28"/>
    </row>
    <row r="199" spans="1:15" ht="15.75" customHeight="1" x14ac:dyDescent="0.25">
      <c r="A199" s="28"/>
      <c r="B199" s="28"/>
      <c r="C199" s="28"/>
      <c r="D199" s="28"/>
      <c r="E199" s="28"/>
      <c r="F199" s="28"/>
      <c r="G199" s="28"/>
      <c r="H199" s="28"/>
      <c r="I199" s="28"/>
      <c r="J199" s="28"/>
      <c r="K199" s="28"/>
      <c r="L199" s="28"/>
      <c r="M199" s="28"/>
      <c r="N199" s="28"/>
      <c r="O199" s="28"/>
    </row>
    <row r="200" spans="1:15" ht="15.75" customHeight="1" x14ac:dyDescent="0.25">
      <c r="A200" s="28"/>
      <c r="B200" s="28"/>
      <c r="C200" s="28"/>
      <c r="D200" s="28"/>
      <c r="E200" s="28"/>
      <c r="F200" s="28"/>
      <c r="G200" s="28"/>
      <c r="H200" s="28"/>
      <c r="I200" s="28"/>
      <c r="J200" s="28"/>
      <c r="K200" s="28"/>
      <c r="L200" s="28"/>
      <c r="M200" s="28"/>
      <c r="N200" s="28"/>
      <c r="O200" s="28"/>
    </row>
    <row r="201" spans="1:15" ht="15.75" customHeight="1" x14ac:dyDescent="0.25">
      <c r="A201" s="28"/>
      <c r="B201" s="28"/>
      <c r="C201" s="28"/>
      <c r="D201" s="28"/>
      <c r="E201" s="28"/>
      <c r="F201" s="28"/>
      <c r="G201" s="28"/>
      <c r="H201" s="28"/>
      <c r="I201" s="28"/>
      <c r="J201" s="28"/>
      <c r="K201" s="28"/>
      <c r="L201" s="28"/>
      <c r="M201" s="28"/>
      <c r="N201" s="28"/>
      <c r="O201" s="28"/>
    </row>
    <row r="202" spans="1:15" ht="15.75" customHeight="1" x14ac:dyDescent="0.25">
      <c r="A202" s="28"/>
      <c r="B202" s="28"/>
      <c r="C202" s="28"/>
      <c r="D202" s="28"/>
      <c r="E202" s="28"/>
      <c r="F202" s="28"/>
      <c r="G202" s="28"/>
      <c r="H202" s="28"/>
      <c r="I202" s="28"/>
      <c r="J202" s="28"/>
      <c r="K202" s="28"/>
      <c r="L202" s="28"/>
      <c r="M202" s="28"/>
      <c r="N202" s="28"/>
      <c r="O202" s="28"/>
    </row>
    <row r="203" spans="1:15" ht="15.75" customHeight="1" x14ac:dyDescent="0.25">
      <c r="A203" s="28"/>
      <c r="B203" s="28"/>
      <c r="C203" s="28"/>
      <c r="D203" s="28"/>
      <c r="E203" s="28"/>
      <c r="F203" s="28"/>
      <c r="G203" s="28"/>
      <c r="H203" s="28"/>
      <c r="I203" s="28"/>
      <c r="J203" s="28"/>
      <c r="K203" s="28"/>
      <c r="L203" s="28"/>
      <c r="M203" s="28"/>
      <c r="N203" s="28"/>
      <c r="O203" s="28"/>
    </row>
    <row r="204" spans="1:15" ht="15.75" customHeight="1" x14ac:dyDescent="0.25">
      <c r="A204" s="28"/>
      <c r="B204" s="28"/>
      <c r="C204" s="28"/>
      <c r="D204" s="28"/>
      <c r="E204" s="28"/>
      <c r="F204" s="28"/>
      <c r="G204" s="28"/>
      <c r="H204" s="28"/>
      <c r="I204" s="28"/>
      <c r="J204" s="28"/>
      <c r="K204" s="28"/>
      <c r="L204" s="28"/>
      <c r="M204" s="28"/>
      <c r="N204" s="28"/>
      <c r="O204" s="28"/>
    </row>
    <row r="205" spans="1:15" ht="15.75" customHeight="1" x14ac:dyDescent="0.25">
      <c r="A205" s="28"/>
      <c r="B205" s="28"/>
      <c r="C205" s="28"/>
      <c r="D205" s="28"/>
      <c r="E205" s="28"/>
      <c r="F205" s="28"/>
      <c r="G205" s="28"/>
      <c r="H205" s="28"/>
      <c r="I205" s="28"/>
      <c r="J205" s="28"/>
      <c r="K205" s="28"/>
      <c r="L205" s="28"/>
      <c r="M205" s="28"/>
      <c r="N205" s="28"/>
      <c r="O205" s="28"/>
    </row>
    <row r="206" spans="1:15" ht="15.75" customHeight="1" x14ac:dyDescent="0.25">
      <c r="A206" s="28"/>
      <c r="B206" s="28"/>
      <c r="C206" s="28"/>
      <c r="D206" s="28"/>
      <c r="E206" s="28"/>
      <c r="F206" s="28"/>
      <c r="G206" s="28"/>
      <c r="H206" s="28"/>
      <c r="I206" s="28"/>
      <c r="J206" s="28"/>
      <c r="K206" s="28"/>
      <c r="L206" s="28"/>
      <c r="M206" s="28"/>
      <c r="N206" s="28"/>
      <c r="O206" s="28"/>
    </row>
    <row r="207" spans="1:15" ht="15.75" customHeight="1" x14ac:dyDescent="0.25">
      <c r="A207" s="28"/>
      <c r="B207" s="28"/>
      <c r="C207" s="28"/>
      <c r="D207" s="28"/>
      <c r="E207" s="28"/>
      <c r="F207" s="28"/>
      <c r="G207" s="28"/>
      <c r="H207" s="28"/>
      <c r="I207" s="28"/>
      <c r="J207" s="28"/>
      <c r="K207" s="28"/>
      <c r="L207" s="28"/>
      <c r="M207" s="28"/>
      <c r="N207" s="28"/>
      <c r="O207" s="28"/>
    </row>
    <row r="208" spans="1:15" ht="15.75" customHeight="1" x14ac:dyDescent="0.25">
      <c r="A208" s="28"/>
      <c r="B208" s="28"/>
      <c r="C208" s="28"/>
      <c r="D208" s="28"/>
      <c r="E208" s="28"/>
      <c r="F208" s="28"/>
      <c r="G208" s="28"/>
      <c r="H208" s="28"/>
      <c r="I208" s="28"/>
      <c r="J208" s="28"/>
      <c r="K208" s="28"/>
      <c r="L208" s="28"/>
      <c r="M208" s="28"/>
      <c r="N208" s="28"/>
      <c r="O208" s="28"/>
    </row>
    <row r="209" spans="1:15" ht="15.75" customHeight="1" x14ac:dyDescent="0.25">
      <c r="A209" s="28"/>
      <c r="B209" s="28"/>
      <c r="C209" s="28"/>
      <c r="D209" s="28"/>
      <c r="E209" s="28"/>
      <c r="F209" s="28"/>
      <c r="G209" s="28"/>
      <c r="H209" s="28"/>
      <c r="I209" s="28"/>
      <c r="J209" s="28"/>
      <c r="K209" s="28"/>
      <c r="L209" s="28"/>
      <c r="M209" s="28"/>
      <c r="N209" s="28"/>
      <c r="O209" s="28"/>
    </row>
    <row r="210" spans="1:15" ht="15.75" customHeight="1" x14ac:dyDescent="0.25">
      <c r="A210" s="28"/>
      <c r="B210" s="28"/>
      <c r="C210" s="28"/>
      <c r="D210" s="28"/>
      <c r="E210" s="28"/>
      <c r="F210" s="28"/>
      <c r="G210" s="28"/>
      <c r="H210" s="28"/>
      <c r="I210" s="28"/>
      <c r="J210" s="28"/>
      <c r="K210" s="28"/>
      <c r="L210" s="28"/>
      <c r="M210" s="28"/>
      <c r="N210" s="28"/>
      <c r="O210" s="28"/>
    </row>
    <row r="211" spans="1:15" ht="15.75" customHeight="1" x14ac:dyDescent="0.25">
      <c r="A211" s="28"/>
      <c r="B211" s="28"/>
      <c r="C211" s="28"/>
      <c r="D211" s="28"/>
      <c r="E211" s="28"/>
      <c r="F211" s="28"/>
      <c r="G211" s="28"/>
      <c r="H211" s="28"/>
      <c r="I211" s="28"/>
      <c r="J211" s="28"/>
      <c r="K211" s="28"/>
      <c r="L211" s="28"/>
      <c r="M211" s="28"/>
      <c r="N211" s="28"/>
      <c r="O211" s="28"/>
    </row>
    <row r="212" spans="1:15" ht="15.75" customHeight="1" x14ac:dyDescent="0.25">
      <c r="A212" s="28"/>
      <c r="B212" s="28"/>
      <c r="C212" s="28"/>
      <c r="D212" s="28"/>
      <c r="E212" s="28"/>
      <c r="F212" s="28"/>
      <c r="G212" s="28"/>
      <c r="H212" s="28"/>
      <c r="I212" s="28"/>
      <c r="J212" s="28"/>
      <c r="K212" s="28"/>
      <c r="L212" s="28"/>
      <c r="M212" s="28"/>
      <c r="N212" s="28"/>
      <c r="O212" s="28"/>
    </row>
    <row r="213" spans="1:15" ht="15.75" customHeight="1" x14ac:dyDescent="0.25">
      <c r="A213" s="28"/>
      <c r="B213" s="28"/>
      <c r="C213" s="28"/>
      <c r="D213" s="28"/>
      <c r="E213" s="28"/>
      <c r="F213" s="28"/>
      <c r="G213" s="28"/>
      <c r="H213" s="28"/>
      <c r="I213" s="28"/>
      <c r="J213" s="28"/>
      <c r="K213" s="28"/>
      <c r="L213" s="28"/>
      <c r="M213" s="28"/>
      <c r="N213" s="28"/>
      <c r="O213" s="28"/>
    </row>
    <row r="214" spans="1:15" ht="15.75" customHeight="1" x14ac:dyDescent="0.25">
      <c r="A214" s="28"/>
      <c r="B214" s="28"/>
      <c r="C214" s="28"/>
      <c r="D214" s="28"/>
      <c r="E214" s="28"/>
      <c r="F214" s="28"/>
      <c r="G214" s="28"/>
      <c r="H214" s="28"/>
      <c r="I214" s="28"/>
      <c r="J214" s="28"/>
      <c r="K214" s="28"/>
      <c r="L214" s="28"/>
      <c r="M214" s="28"/>
      <c r="N214" s="28"/>
      <c r="O214" s="28"/>
    </row>
    <row r="215" spans="1:15" ht="15.75" customHeight="1" x14ac:dyDescent="0.25">
      <c r="A215" s="28"/>
      <c r="B215" s="28"/>
      <c r="C215" s="28"/>
      <c r="D215" s="28"/>
      <c r="E215" s="28"/>
      <c r="F215" s="28"/>
      <c r="G215" s="28"/>
      <c r="H215" s="28"/>
      <c r="I215" s="28"/>
      <c r="J215" s="28"/>
      <c r="K215" s="28"/>
      <c r="L215" s="28"/>
      <c r="M215" s="28"/>
      <c r="N215" s="28"/>
      <c r="O215" s="28"/>
    </row>
    <row r="216" spans="1:15" ht="15.75" customHeight="1" x14ac:dyDescent="0.25">
      <c r="A216" s="28"/>
      <c r="B216" s="28"/>
      <c r="C216" s="28"/>
      <c r="D216" s="28"/>
      <c r="E216" s="28"/>
      <c r="F216" s="28"/>
      <c r="G216" s="28"/>
      <c r="H216" s="28"/>
      <c r="I216" s="28"/>
      <c r="J216" s="28"/>
      <c r="K216" s="28"/>
      <c r="L216" s="28"/>
      <c r="M216" s="28"/>
      <c r="N216" s="28"/>
      <c r="O216" s="28"/>
    </row>
    <row r="217" spans="1:15" ht="15.75" customHeight="1" x14ac:dyDescent="0.25">
      <c r="A217" s="28"/>
      <c r="B217" s="28"/>
      <c r="C217" s="28"/>
      <c r="D217" s="28"/>
      <c r="E217" s="28"/>
      <c r="F217" s="28"/>
      <c r="G217" s="28"/>
      <c r="H217" s="28"/>
      <c r="I217" s="28"/>
      <c r="J217" s="28"/>
      <c r="K217" s="28"/>
      <c r="L217" s="28"/>
      <c r="M217" s="28"/>
      <c r="N217" s="28"/>
      <c r="O217" s="28"/>
    </row>
    <row r="218" spans="1:15" ht="15.75" customHeight="1" x14ac:dyDescent="0.25">
      <c r="A218" s="28"/>
      <c r="B218" s="28"/>
      <c r="C218" s="28"/>
      <c r="D218" s="28"/>
      <c r="E218" s="28"/>
      <c r="F218" s="28"/>
      <c r="G218" s="28"/>
      <c r="H218" s="28"/>
      <c r="I218" s="28"/>
      <c r="J218" s="28"/>
      <c r="K218" s="28"/>
      <c r="L218" s="28"/>
      <c r="M218" s="28"/>
      <c r="N218" s="28"/>
      <c r="O218" s="28"/>
    </row>
    <row r="219" spans="1:15" ht="15.75" customHeight="1" x14ac:dyDescent="0.25">
      <c r="A219" s="28"/>
      <c r="B219" s="28"/>
      <c r="C219" s="28"/>
      <c r="D219" s="28"/>
      <c r="E219" s="28"/>
      <c r="F219" s="28"/>
      <c r="G219" s="28"/>
      <c r="H219" s="28"/>
      <c r="I219" s="28"/>
      <c r="J219" s="28"/>
      <c r="K219" s="28"/>
      <c r="L219" s="28"/>
      <c r="M219" s="28"/>
      <c r="N219" s="28"/>
      <c r="O219" s="28"/>
    </row>
    <row r="220" spans="1:15" ht="15.75" customHeight="1" x14ac:dyDescent="0.25">
      <c r="A220" s="28"/>
      <c r="B220" s="28"/>
      <c r="C220" s="28"/>
      <c r="D220" s="28"/>
      <c r="E220" s="28"/>
      <c r="F220" s="28"/>
      <c r="G220" s="28"/>
      <c r="H220" s="28"/>
      <c r="I220" s="28"/>
      <c r="J220" s="28"/>
      <c r="K220" s="28"/>
      <c r="L220" s="28"/>
      <c r="M220" s="28"/>
      <c r="N220" s="28"/>
      <c r="O220" s="28"/>
    </row>
    <row r="221" spans="1:15" ht="15.75" customHeight="1" x14ac:dyDescent="0.25">
      <c r="A221" s="28"/>
      <c r="B221" s="28"/>
      <c r="C221" s="28"/>
      <c r="D221" s="28"/>
      <c r="E221" s="28"/>
      <c r="F221" s="28"/>
      <c r="G221" s="28"/>
      <c r="H221" s="28"/>
      <c r="I221" s="28"/>
      <c r="J221" s="28"/>
      <c r="K221" s="28"/>
      <c r="L221" s="28"/>
      <c r="M221" s="28"/>
      <c r="N221" s="28"/>
      <c r="O221" s="28"/>
    </row>
    <row r="222" spans="1:15" ht="15.75" customHeight="1" x14ac:dyDescent="0.25">
      <c r="A222" s="28"/>
      <c r="B222" s="28"/>
      <c r="C222" s="28"/>
      <c r="D222" s="28"/>
      <c r="E222" s="28"/>
      <c r="F222" s="28"/>
      <c r="G222" s="28"/>
      <c r="H222" s="28"/>
      <c r="I222" s="28"/>
      <c r="J222" s="28"/>
      <c r="K222" s="28"/>
      <c r="L222" s="28"/>
      <c r="M222" s="28"/>
      <c r="N222" s="28"/>
      <c r="O222" s="28"/>
    </row>
    <row r="223" spans="1:15" ht="15.75" customHeight="1" x14ac:dyDescent="0.25">
      <c r="A223" s="28"/>
      <c r="B223" s="28"/>
      <c r="C223" s="28"/>
      <c r="D223" s="28"/>
      <c r="E223" s="28"/>
      <c r="F223" s="28"/>
      <c r="G223" s="28"/>
      <c r="H223" s="28"/>
      <c r="I223" s="28"/>
      <c r="J223" s="28"/>
      <c r="K223" s="28"/>
      <c r="L223" s="28"/>
      <c r="M223" s="28"/>
      <c r="N223" s="28"/>
      <c r="O223" s="28"/>
    </row>
    <row r="224" spans="1:15" ht="15.75" customHeight="1" x14ac:dyDescent="0.25">
      <c r="A224" s="28"/>
      <c r="B224" s="28"/>
      <c r="C224" s="28"/>
      <c r="D224" s="28"/>
      <c r="E224" s="28"/>
      <c r="F224" s="28"/>
      <c r="G224" s="28"/>
      <c r="H224" s="28"/>
      <c r="I224" s="28"/>
      <c r="J224" s="28"/>
      <c r="K224" s="28"/>
      <c r="L224" s="28"/>
      <c r="M224" s="28"/>
      <c r="N224" s="28"/>
      <c r="O224" s="28"/>
    </row>
    <row r="225" spans="1:15" ht="15.75" customHeight="1" x14ac:dyDescent="0.25">
      <c r="A225" s="28"/>
      <c r="B225" s="28"/>
      <c r="C225" s="28"/>
      <c r="D225" s="28"/>
      <c r="E225" s="28"/>
      <c r="F225" s="28"/>
      <c r="G225" s="28"/>
      <c r="H225" s="28"/>
      <c r="I225" s="28"/>
      <c r="J225" s="28"/>
      <c r="K225" s="28"/>
      <c r="L225" s="28"/>
      <c r="M225" s="28"/>
      <c r="N225" s="28"/>
      <c r="O225" s="28"/>
    </row>
    <row r="226" spans="1:15" ht="15.75" customHeight="1" x14ac:dyDescent="0.25">
      <c r="A226" s="28"/>
      <c r="B226" s="28"/>
      <c r="C226" s="28"/>
      <c r="D226" s="28"/>
      <c r="E226" s="28"/>
      <c r="F226" s="28"/>
      <c r="G226" s="28"/>
      <c r="H226" s="28"/>
      <c r="I226" s="28"/>
      <c r="J226" s="28"/>
      <c r="K226" s="28"/>
      <c r="L226" s="28"/>
      <c r="M226" s="28"/>
      <c r="N226" s="28"/>
      <c r="O226" s="28"/>
    </row>
    <row r="227" spans="1:15" ht="15.75" customHeight="1" x14ac:dyDescent="0.25">
      <c r="A227" s="28"/>
      <c r="B227" s="28"/>
      <c r="C227" s="28"/>
      <c r="D227" s="28"/>
      <c r="E227" s="28"/>
      <c r="F227" s="28"/>
      <c r="G227" s="28"/>
      <c r="H227" s="28"/>
      <c r="I227" s="28"/>
      <c r="J227" s="28"/>
      <c r="K227" s="28"/>
      <c r="L227" s="28"/>
      <c r="M227" s="28"/>
      <c r="N227" s="28"/>
      <c r="O227" s="28"/>
    </row>
    <row r="228" spans="1:15" ht="15.75" customHeight="1" x14ac:dyDescent="0.25">
      <c r="A228" s="28"/>
      <c r="B228" s="28"/>
      <c r="C228" s="28"/>
      <c r="D228" s="28"/>
      <c r="E228" s="28"/>
      <c r="F228" s="28"/>
      <c r="G228" s="28"/>
      <c r="H228" s="28"/>
      <c r="I228" s="28"/>
      <c r="J228" s="28"/>
      <c r="K228" s="28"/>
      <c r="L228" s="28"/>
      <c r="M228" s="28"/>
      <c r="N228" s="28"/>
      <c r="O228" s="28"/>
    </row>
    <row r="229" spans="1:15" ht="15.75" customHeight="1" x14ac:dyDescent="0.25">
      <c r="A229" s="28"/>
      <c r="B229" s="28"/>
      <c r="C229" s="28"/>
      <c r="D229" s="28"/>
      <c r="E229" s="28"/>
      <c r="F229" s="28"/>
      <c r="G229" s="28"/>
      <c r="H229" s="28"/>
      <c r="I229" s="28"/>
      <c r="J229" s="28"/>
      <c r="K229" s="28"/>
      <c r="L229" s="28"/>
      <c r="M229" s="28"/>
      <c r="N229" s="28"/>
      <c r="O229" s="28"/>
    </row>
    <row r="230" spans="1:15" ht="15.75" customHeight="1" x14ac:dyDescent="0.25">
      <c r="A230" s="28"/>
      <c r="B230" s="28"/>
      <c r="C230" s="28"/>
      <c r="D230" s="28"/>
      <c r="E230" s="28"/>
      <c r="F230" s="28"/>
      <c r="G230" s="28"/>
      <c r="H230" s="28"/>
      <c r="I230" s="28"/>
      <c r="J230" s="28"/>
      <c r="K230" s="28"/>
      <c r="L230" s="28"/>
      <c r="M230" s="28"/>
      <c r="N230" s="28"/>
      <c r="O230" s="28"/>
    </row>
    <row r="231" spans="1:15" ht="15.75" customHeight="1" x14ac:dyDescent="0.25">
      <c r="A231" s="28"/>
      <c r="B231" s="28"/>
      <c r="C231" s="28"/>
      <c r="D231" s="28"/>
      <c r="E231" s="28"/>
      <c r="F231" s="28"/>
      <c r="G231" s="28"/>
      <c r="H231" s="28"/>
      <c r="I231" s="28"/>
      <c r="J231" s="28"/>
      <c r="K231" s="28"/>
      <c r="L231" s="28"/>
      <c r="M231" s="28"/>
      <c r="N231" s="28"/>
      <c r="O231" s="28"/>
    </row>
    <row r="232" spans="1:15" ht="15.75" customHeight="1" x14ac:dyDescent="0.25">
      <c r="A232" s="28"/>
      <c r="B232" s="28"/>
      <c r="C232" s="28"/>
      <c r="D232" s="28"/>
      <c r="E232" s="28"/>
      <c r="F232" s="28"/>
      <c r="G232" s="28"/>
      <c r="H232" s="28"/>
      <c r="I232" s="28"/>
      <c r="J232" s="28"/>
      <c r="K232" s="28"/>
      <c r="L232" s="28"/>
      <c r="M232" s="28"/>
      <c r="N232" s="28"/>
      <c r="O232" s="28"/>
    </row>
    <row r="233" spans="1:15" ht="15.75" customHeight="1" x14ac:dyDescent="0.25">
      <c r="A233" s="28"/>
      <c r="B233" s="28"/>
      <c r="C233" s="28"/>
      <c r="D233" s="28"/>
      <c r="E233" s="28"/>
      <c r="F233" s="28"/>
      <c r="G233" s="28"/>
      <c r="H233" s="28"/>
      <c r="I233" s="28"/>
      <c r="J233" s="28"/>
      <c r="K233" s="28"/>
      <c r="L233" s="28"/>
      <c r="M233" s="28"/>
      <c r="N233" s="28"/>
      <c r="O233" s="28"/>
    </row>
    <row r="234" spans="1:15" ht="15.75" customHeight="1" x14ac:dyDescent="0.25">
      <c r="A234" s="28"/>
      <c r="B234" s="28"/>
      <c r="C234" s="28"/>
      <c r="D234" s="28"/>
      <c r="E234" s="28"/>
      <c r="F234" s="28"/>
      <c r="G234" s="28"/>
      <c r="H234" s="28"/>
      <c r="I234" s="28"/>
      <c r="J234" s="28"/>
      <c r="K234" s="28"/>
      <c r="L234" s="28"/>
      <c r="M234" s="28"/>
      <c r="N234" s="28"/>
      <c r="O234" s="28"/>
    </row>
    <row r="235" spans="1:15" ht="15.75" customHeight="1" x14ac:dyDescent="0.25">
      <c r="A235" s="28"/>
      <c r="B235" s="28"/>
      <c r="C235" s="28"/>
      <c r="D235" s="28"/>
      <c r="E235" s="28"/>
      <c r="F235" s="28"/>
      <c r="G235" s="28"/>
      <c r="H235" s="28"/>
      <c r="I235" s="28"/>
      <c r="J235" s="28"/>
      <c r="K235" s="28"/>
      <c r="L235" s="28"/>
      <c r="M235" s="28"/>
      <c r="N235" s="28"/>
      <c r="O235" s="28"/>
    </row>
    <row r="236" spans="1:15" ht="15.75" customHeight="1" x14ac:dyDescent="0.25">
      <c r="A236" s="28"/>
      <c r="B236" s="28"/>
      <c r="C236" s="28"/>
      <c r="D236" s="28"/>
      <c r="E236" s="28"/>
      <c r="F236" s="28"/>
      <c r="G236" s="28"/>
      <c r="H236" s="28"/>
      <c r="I236" s="28"/>
      <c r="J236" s="28"/>
      <c r="K236" s="28"/>
      <c r="L236" s="28"/>
      <c r="M236" s="28"/>
      <c r="N236" s="28"/>
      <c r="O236" s="28"/>
    </row>
    <row r="237" spans="1:15" ht="15.75" customHeight="1" x14ac:dyDescent="0.25">
      <c r="A237" s="28"/>
      <c r="B237" s="28"/>
      <c r="C237" s="28"/>
      <c r="D237" s="28"/>
      <c r="E237" s="28"/>
      <c r="F237" s="28"/>
      <c r="G237" s="28"/>
      <c r="H237" s="28"/>
      <c r="I237" s="28"/>
      <c r="J237" s="28"/>
      <c r="K237" s="28"/>
      <c r="L237" s="28"/>
      <c r="M237" s="28"/>
      <c r="N237" s="28"/>
      <c r="O237" s="28"/>
    </row>
    <row r="238" spans="1:15" ht="15.75" customHeight="1" x14ac:dyDescent="0.25">
      <c r="A238" s="28"/>
      <c r="B238" s="28"/>
      <c r="C238" s="28"/>
      <c r="D238" s="28"/>
      <c r="E238" s="28"/>
      <c r="F238" s="28"/>
      <c r="G238" s="28"/>
      <c r="H238" s="28"/>
      <c r="I238" s="28"/>
      <c r="J238" s="28"/>
      <c r="K238" s="28"/>
      <c r="L238" s="28"/>
      <c r="M238" s="28"/>
      <c r="N238" s="28"/>
      <c r="O238" s="28"/>
    </row>
    <row r="239" spans="1:15" ht="15.75" customHeight="1" x14ac:dyDescent="0.25">
      <c r="A239" s="28"/>
      <c r="B239" s="28"/>
      <c r="C239" s="28"/>
      <c r="D239" s="28"/>
      <c r="E239" s="28"/>
      <c r="F239" s="28"/>
      <c r="G239" s="28"/>
      <c r="H239" s="28"/>
      <c r="I239" s="28"/>
      <c r="J239" s="28"/>
      <c r="K239" s="28"/>
      <c r="L239" s="28"/>
      <c r="M239" s="28"/>
      <c r="N239" s="28"/>
      <c r="O239" s="28"/>
    </row>
    <row r="240" spans="1:15" ht="15.75" customHeight="1" x14ac:dyDescent="0.25">
      <c r="A240" s="28"/>
      <c r="B240" s="28"/>
      <c r="C240" s="28"/>
      <c r="D240" s="28"/>
      <c r="E240" s="28"/>
      <c r="F240" s="28"/>
      <c r="G240" s="28"/>
      <c r="H240" s="28"/>
      <c r="I240" s="28"/>
      <c r="J240" s="28"/>
      <c r="K240" s="28"/>
      <c r="L240" s="28"/>
      <c r="M240" s="28"/>
      <c r="N240" s="28"/>
      <c r="O240" s="28"/>
    </row>
    <row r="241" spans="1:15" ht="15.75" customHeight="1" x14ac:dyDescent="0.25">
      <c r="A241" s="28"/>
      <c r="B241" s="28"/>
      <c r="C241" s="28"/>
      <c r="D241" s="28"/>
      <c r="E241" s="28"/>
      <c r="F241" s="28"/>
      <c r="G241" s="28"/>
      <c r="H241" s="28"/>
      <c r="I241" s="28"/>
      <c r="J241" s="28"/>
      <c r="K241" s="28"/>
      <c r="L241" s="28"/>
      <c r="M241" s="28"/>
      <c r="N241" s="28"/>
      <c r="O241" s="28"/>
    </row>
    <row r="242" spans="1:15" ht="15.75" customHeight="1" x14ac:dyDescent="0.25">
      <c r="A242" s="28"/>
      <c r="B242" s="28"/>
      <c r="C242" s="28"/>
      <c r="D242" s="28"/>
      <c r="E242" s="28"/>
      <c r="F242" s="28"/>
      <c r="G242" s="28"/>
      <c r="H242" s="28"/>
      <c r="I242" s="28"/>
      <c r="J242" s="28"/>
      <c r="K242" s="28"/>
      <c r="L242" s="28"/>
      <c r="M242" s="28"/>
      <c r="N242" s="28"/>
      <c r="O242" s="28"/>
    </row>
    <row r="243" spans="1:15" ht="15.75" customHeight="1" x14ac:dyDescent="0.25">
      <c r="A243" s="28"/>
      <c r="B243" s="28"/>
      <c r="C243" s="28"/>
      <c r="D243" s="28"/>
      <c r="E243" s="28"/>
      <c r="F243" s="28"/>
      <c r="G243" s="28"/>
      <c r="H243" s="28"/>
      <c r="I243" s="28"/>
      <c r="J243" s="28"/>
      <c r="K243" s="28"/>
      <c r="L243" s="28"/>
      <c r="M243" s="28"/>
      <c r="N243" s="28"/>
      <c r="O243" s="28"/>
    </row>
    <row r="244" spans="1:15" ht="15.75" customHeight="1" x14ac:dyDescent="0.25">
      <c r="A244" s="28"/>
      <c r="B244" s="28"/>
      <c r="C244" s="28"/>
      <c r="D244" s="28"/>
      <c r="E244" s="28"/>
      <c r="F244" s="28"/>
      <c r="G244" s="28"/>
      <c r="H244" s="28"/>
      <c r="I244" s="28"/>
      <c r="J244" s="28"/>
      <c r="K244" s="28"/>
      <c r="L244" s="28"/>
      <c r="M244" s="28"/>
      <c r="N244" s="28"/>
      <c r="O244" s="28"/>
    </row>
    <row r="245" spans="1:15" ht="15.75" customHeight="1" x14ac:dyDescent="0.25">
      <c r="A245" s="28"/>
      <c r="B245" s="28"/>
      <c r="C245" s="28"/>
      <c r="D245" s="28"/>
      <c r="E245" s="28"/>
      <c r="F245" s="28"/>
      <c r="G245" s="28"/>
      <c r="H245" s="28"/>
      <c r="I245" s="28"/>
      <c r="J245" s="28"/>
      <c r="K245" s="28"/>
      <c r="L245" s="28"/>
      <c r="M245" s="28"/>
      <c r="N245" s="28"/>
      <c r="O245" s="28"/>
    </row>
    <row r="246" spans="1:15" ht="15.75" customHeight="1" x14ac:dyDescent="0.25">
      <c r="A246" s="28"/>
      <c r="B246" s="28"/>
      <c r="C246" s="28"/>
      <c r="D246" s="28"/>
      <c r="E246" s="28"/>
      <c r="F246" s="28"/>
      <c r="G246" s="28"/>
      <c r="H246" s="28"/>
      <c r="I246" s="28"/>
      <c r="J246" s="28"/>
      <c r="K246" s="28"/>
      <c r="L246" s="28"/>
      <c r="M246" s="28"/>
      <c r="N246" s="28"/>
      <c r="O246" s="28"/>
    </row>
    <row r="247" spans="1:15" ht="15.75" customHeight="1" x14ac:dyDescent="0.25">
      <c r="A247" s="28"/>
      <c r="B247" s="28"/>
      <c r="C247" s="28"/>
      <c r="D247" s="28"/>
      <c r="E247" s="28"/>
      <c r="F247" s="28"/>
      <c r="G247" s="28"/>
      <c r="H247" s="28"/>
      <c r="I247" s="28"/>
      <c r="J247" s="28"/>
      <c r="K247" s="28"/>
      <c r="L247" s="28"/>
      <c r="M247" s="28"/>
      <c r="N247" s="28"/>
      <c r="O247" s="28"/>
    </row>
    <row r="248" spans="1:15" ht="15.75" customHeight="1" x14ac:dyDescent="0.25">
      <c r="A248" s="28"/>
      <c r="B248" s="28"/>
      <c r="C248" s="28"/>
      <c r="D248" s="28"/>
      <c r="E248" s="28"/>
      <c r="F248" s="28"/>
      <c r="G248" s="28"/>
      <c r="H248" s="28"/>
      <c r="I248" s="28"/>
      <c r="J248" s="28"/>
      <c r="K248" s="28"/>
      <c r="L248" s="28"/>
      <c r="M248" s="28"/>
      <c r="N248" s="28"/>
      <c r="O248" s="28"/>
    </row>
    <row r="249" spans="1:15" ht="15.75" customHeight="1" x14ac:dyDescent="0.25">
      <c r="A249" s="28"/>
      <c r="B249" s="28"/>
      <c r="C249" s="28"/>
      <c r="D249" s="28"/>
      <c r="E249" s="28"/>
      <c r="F249" s="28"/>
      <c r="G249" s="28"/>
      <c r="H249" s="28"/>
      <c r="I249" s="28"/>
      <c r="J249" s="28"/>
      <c r="K249" s="28"/>
      <c r="L249" s="28"/>
      <c r="M249" s="28"/>
      <c r="N249" s="28"/>
      <c r="O249" s="28"/>
    </row>
    <row r="250" spans="1:15" ht="15.75" customHeight="1" x14ac:dyDescent="0.25">
      <c r="A250" s="28"/>
      <c r="B250" s="28"/>
      <c r="C250" s="28"/>
      <c r="D250" s="28"/>
      <c r="E250" s="28"/>
      <c r="F250" s="28"/>
      <c r="G250" s="28"/>
      <c r="H250" s="28"/>
      <c r="I250" s="28"/>
      <c r="J250" s="28"/>
      <c r="K250" s="28"/>
      <c r="L250" s="28"/>
      <c r="M250" s="28"/>
      <c r="N250" s="28"/>
      <c r="O250" s="28"/>
    </row>
    <row r="251" spans="1:15" ht="15.75" customHeight="1" x14ac:dyDescent="0.25">
      <c r="A251" s="28"/>
      <c r="B251" s="28"/>
      <c r="C251" s="28"/>
      <c r="D251" s="28"/>
      <c r="E251" s="28"/>
      <c r="F251" s="28"/>
      <c r="G251" s="28"/>
      <c r="H251" s="28"/>
      <c r="I251" s="28"/>
      <c r="J251" s="28"/>
      <c r="K251" s="28"/>
      <c r="L251" s="28"/>
      <c r="M251" s="28"/>
      <c r="N251" s="28"/>
      <c r="O251" s="28"/>
    </row>
    <row r="252" spans="1:15" ht="15.75" customHeight="1" x14ac:dyDescent="0.25">
      <c r="A252" s="28"/>
      <c r="B252" s="28"/>
      <c r="C252" s="28"/>
      <c r="D252" s="28"/>
      <c r="E252" s="28"/>
      <c r="F252" s="28"/>
      <c r="G252" s="28"/>
      <c r="H252" s="28"/>
      <c r="I252" s="28"/>
      <c r="J252" s="28"/>
      <c r="K252" s="28"/>
      <c r="L252" s="28"/>
      <c r="M252" s="28"/>
      <c r="N252" s="28"/>
      <c r="O252" s="28"/>
    </row>
    <row r="253" spans="1:15" ht="15.75" customHeight="1" x14ac:dyDescent="0.25">
      <c r="A253" s="28"/>
      <c r="B253" s="28"/>
      <c r="C253" s="28"/>
      <c r="D253" s="28"/>
      <c r="E253" s="28"/>
      <c r="F253" s="28"/>
      <c r="G253" s="28"/>
      <c r="H253" s="28"/>
      <c r="I253" s="28"/>
      <c r="J253" s="28"/>
      <c r="K253" s="28"/>
      <c r="L253" s="28"/>
      <c r="M253" s="28"/>
      <c r="N253" s="28"/>
      <c r="O253" s="28"/>
    </row>
    <row r="254" spans="1:15" ht="15.75" customHeight="1" x14ac:dyDescent="0.25">
      <c r="A254" s="28"/>
      <c r="B254" s="28"/>
      <c r="C254" s="28"/>
      <c r="D254" s="28"/>
      <c r="E254" s="28"/>
      <c r="F254" s="28"/>
      <c r="G254" s="28"/>
      <c r="H254" s="28"/>
      <c r="I254" s="28"/>
      <c r="J254" s="28"/>
      <c r="K254" s="28"/>
      <c r="L254" s="28"/>
      <c r="M254" s="28"/>
      <c r="N254" s="28"/>
      <c r="O254" s="28"/>
    </row>
    <row r="255" spans="1:15" ht="15.75" customHeight="1" x14ac:dyDescent="0.25">
      <c r="A255" s="28"/>
      <c r="B255" s="28"/>
      <c r="C255" s="28"/>
      <c r="D255" s="28"/>
      <c r="E255" s="28"/>
      <c r="F255" s="28"/>
      <c r="G255" s="28"/>
      <c r="H255" s="28"/>
      <c r="I255" s="28"/>
      <c r="J255" s="28"/>
      <c r="K255" s="28"/>
      <c r="L255" s="28"/>
      <c r="M255" s="28"/>
      <c r="N255" s="28"/>
      <c r="O255" s="28"/>
    </row>
    <row r="256" spans="1:15" ht="15.75" customHeight="1" x14ac:dyDescent="0.25">
      <c r="A256" s="28"/>
      <c r="B256" s="28"/>
      <c r="C256" s="28"/>
      <c r="D256" s="28"/>
      <c r="E256" s="28"/>
      <c r="F256" s="28"/>
      <c r="G256" s="28"/>
      <c r="H256" s="28"/>
      <c r="I256" s="28"/>
      <c r="J256" s="28"/>
      <c r="K256" s="28"/>
      <c r="L256" s="28"/>
      <c r="M256" s="28"/>
      <c r="N256" s="28"/>
      <c r="O256" s="28"/>
    </row>
    <row r="257" spans="1:15" ht="15.75" customHeight="1" x14ac:dyDescent="0.25">
      <c r="A257" s="28"/>
      <c r="B257" s="28"/>
      <c r="C257" s="28"/>
      <c r="D257" s="28"/>
      <c r="E257" s="28"/>
      <c r="F257" s="28"/>
      <c r="G257" s="28"/>
      <c r="H257" s="28"/>
      <c r="I257" s="28"/>
      <c r="J257" s="28"/>
      <c r="K257" s="28"/>
      <c r="L257" s="28"/>
      <c r="M257" s="28"/>
      <c r="N257" s="28"/>
      <c r="O257" s="28"/>
    </row>
    <row r="258" spans="1:15" ht="15.75" customHeight="1" x14ac:dyDescent="0.25">
      <c r="A258" s="28"/>
      <c r="B258" s="28"/>
      <c r="C258" s="28"/>
      <c r="D258" s="28"/>
      <c r="E258" s="28"/>
      <c r="F258" s="28"/>
      <c r="G258" s="28"/>
      <c r="H258" s="28"/>
      <c r="I258" s="28"/>
      <c r="J258" s="28"/>
      <c r="K258" s="28"/>
      <c r="L258" s="28"/>
      <c r="M258" s="28"/>
      <c r="N258" s="28"/>
      <c r="O258" s="28"/>
    </row>
    <row r="259" spans="1:15" ht="15.75" customHeight="1" x14ac:dyDescent="0.25">
      <c r="A259" s="28"/>
      <c r="B259" s="28"/>
      <c r="C259" s="28"/>
      <c r="D259" s="28"/>
      <c r="E259" s="28"/>
      <c r="F259" s="28"/>
      <c r="G259" s="28"/>
      <c r="H259" s="28"/>
      <c r="I259" s="28"/>
      <c r="J259" s="28"/>
      <c r="K259" s="28"/>
      <c r="L259" s="28"/>
      <c r="M259" s="28"/>
      <c r="N259" s="28"/>
      <c r="O259" s="28"/>
    </row>
    <row r="260" spans="1:15" ht="15.75" customHeight="1" x14ac:dyDescent="0.25">
      <c r="A260" s="28"/>
      <c r="B260" s="28"/>
      <c r="C260" s="28"/>
      <c r="D260" s="28"/>
      <c r="E260" s="28"/>
      <c r="F260" s="28"/>
      <c r="G260" s="28"/>
      <c r="H260" s="28"/>
      <c r="I260" s="28"/>
      <c r="J260" s="28"/>
      <c r="K260" s="28"/>
      <c r="L260" s="28"/>
      <c r="M260" s="28"/>
      <c r="N260" s="28"/>
      <c r="O260" s="28"/>
    </row>
    <row r="261" spans="1:15" ht="15.75" customHeight="1" x14ac:dyDescent="0.25">
      <c r="A261" s="28"/>
      <c r="B261" s="28"/>
      <c r="C261" s="28"/>
      <c r="D261" s="28"/>
      <c r="E261" s="28"/>
      <c r="F261" s="28"/>
      <c r="G261" s="28"/>
      <c r="H261" s="28"/>
      <c r="I261" s="28"/>
      <c r="J261" s="28"/>
      <c r="K261" s="28"/>
      <c r="L261" s="28"/>
      <c r="M261" s="28"/>
      <c r="N261" s="28"/>
      <c r="O261" s="28"/>
    </row>
    <row r="262" spans="1:15" ht="15.75" customHeight="1" x14ac:dyDescent="0.25">
      <c r="A262" s="28"/>
      <c r="B262" s="28"/>
      <c r="C262" s="28"/>
      <c r="D262" s="28"/>
      <c r="E262" s="28"/>
      <c r="F262" s="28"/>
      <c r="G262" s="28"/>
      <c r="H262" s="28"/>
      <c r="I262" s="28"/>
      <c r="J262" s="28"/>
      <c r="K262" s="28"/>
      <c r="L262" s="28"/>
      <c r="M262" s="28"/>
      <c r="N262" s="28"/>
      <c r="O262" s="28"/>
    </row>
    <row r="263" spans="1:15" ht="15.75" customHeight="1" x14ac:dyDescent="0.25">
      <c r="A263" s="28"/>
      <c r="B263" s="28"/>
      <c r="C263" s="28"/>
      <c r="D263" s="28"/>
      <c r="E263" s="28"/>
      <c r="F263" s="28"/>
      <c r="G263" s="28"/>
      <c r="H263" s="28"/>
      <c r="I263" s="28"/>
      <c r="J263" s="28"/>
      <c r="K263" s="28"/>
      <c r="L263" s="28"/>
      <c r="M263" s="28"/>
      <c r="N263" s="28"/>
      <c r="O263" s="28"/>
    </row>
    <row r="264" spans="1:15" ht="15.75" customHeight="1" x14ac:dyDescent="0.25">
      <c r="A264" s="28"/>
      <c r="B264" s="28"/>
      <c r="C264" s="28"/>
      <c r="D264" s="28"/>
      <c r="E264" s="28"/>
      <c r="F264" s="28"/>
      <c r="G264" s="28"/>
      <c r="H264" s="28"/>
      <c r="I264" s="28"/>
      <c r="J264" s="28"/>
      <c r="K264" s="28"/>
      <c r="L264" s="28"/>
      <c r="M264" s="28"/>
      <c r="N264" s="28"/>
      <c r="O264" s="28"/>
    </row>
    <row r="265" spans="1:15" ht="15.75" customHeight="1" x14ac:dyDescent="0.25">
      <c r="A265" s="28"/>
      <c r="B265" s="28"/>
      <c r="C265" s="28"/>
      <c r="D265" s="28"/>
      <c r="E265" s="28"/>
      <c r="F265" s="28"/>
      <c r="G265" s="28"/>
      <c r="H265" s="28"/>
      <c r="I265" s="28"/>
      <c r="J265" s="28"/>
      <c r="K265" s="28"/>
      <c r="L265" s="28"/>
      <c r="M265" s="28"/>
      <c r="N265" s="28"/>
      <c r="O265" s="28"/>
    </row>
    <row r="266" spans="1:15" ht="15.75" customHeight="1" x14ac:dyDescent="0.25">
      <c r="A266" s="28"/>
      <c r="B266" s="28"/>
      <c r="C266" s="28"/>
      <c r="D266" s="28"/>
      <c r="E266" s="28"/>
      <c r="F266" s="28"/>
      <c r="G266" s="28"/>
      <c r="H266" s="28"/>
      <c r="I266" s="28"/>
      <c r="J266" s="28"/>
      <c r="K266" s="28"/>
      <c r="L266" s="28"/>
      <c r="M266" s="28"/>
      <c r="N266" s="28"/>
      <c r="O266" s="28"/>
    </row>
    <row r="267" spans="1:15" ht="15.75" customHeight="1" x14ac:dyDescent="0.25">
      <c r="A267" s="28"/>
      <c r="B267" s="28"/>
      <c r="C267" s="28"/>
      <c r="D267" s="28"/>
      <c r="E267" s="28"/>
      <c r="F267" s="28"/>
      <c r="G267" s="28"/>
      <c r="H267" s="28"/>
      <c r="I267" s="28"/>
      <c r="J267" s="28"/>
      <c r="K267" s="28"/>
      <c r="L267" s="28"/>
      <c r="M267" s="28"/>
      <c r="N267" s="28"/>
      <c r="O267" s="28"/>
    </row>
    <row r="268" spans="1:15" ht="15.75" customHeight="1" x14ac:dyDescent="0.25">
      <c r="A268" s="28"/>
      <c r="B268" s="28"/>
      <c r="C268" s="28"/>
      <c r="D268" s="28"/>
      <c r="E268" s="28"/>
      <c r="F268" s="28"/>
      <c r="G268" s="28"/>
      <c r="H268" s="28"/>
      <c r="I268" s="28"/>
      <c r="J268" s="28"/>
      <c r="K268" s="28"/>
      <c r="L268" s="28"/>
      <c r="M268" s="28"/>
      <c r="N268" s="28"/>
      <c r="O268" s="28"/>
    </row>
    <row r="269" spans="1:15" ht="15.75" customHeight="1" x14ac:dyDescent="0.25">
      <c r="A269" s="28"/>
      <c r="B269" s="28"/>
      <c r="C269" s="28"/>
      <c r="D269" s="28"/>
      <c r="E269" s="28"/>
      <c r="F269" s="28"/>
      <c r="G269" s="28"/>
      <c r="H269" s="28"/>
      <c r="I269" s="28"/>
      <c r="J269" s="28"/>
      <c r="K269" s="28"/>
      <c r="L269" s="28"/>
      <c r="M269" s="28"/>
      <c r="N269" s="28"/>
      <c r="O269" s="28"/>
    </row>
    <row r="270" spans="1:15" ht="15.75" customHeight="1" x14ac:dyDescent="0.25">
      <c r="A270" s="28"/>
      <c r="B270" s="28"/>
      <c r="C270" s="28"/>
      <c r="D270" s="28"/>
      <c r="E270" s="28"/>
      <c r="F270" s="28"/>
      <c r="G270" s="28"/>
      <c r="H270" s="28"/>
      <c r="I270" s="28"/>
      <c r="J270" s="28"/>
      <c r="K270" s="28"/>
      <c r="L270" s="28"/>
      <c r="M270" s="28"/>
      <c r="N270" s="28"/>
      <c r="O270" s="28"/>
    </row>
    <row r="271" spans="1:15" ht="15.75" customHeight="1" x14ac:dyDescent="0.25">
      <c r="A271" s="28"/>
      <c r="B271" s="28"/>
      <c r="C271" s="28"/>
      <c r="D271" s="28"/>
      <c r="E271" s="28"/>
      <c r="F271" s="28"/>
      <c r="G271" s="28"/>
      <c r="H271" s="28"/>
      <c r="I271" s="28"/>
      <c r="J271" s="28"/>
      <c r="K271" s="28"/>
      <c r="L271" s="28"/>
      <c r="M271" s="28"/>
      <c r="N271" s="28"/>
      <c r="O271" s="28"/>
    </row>
    <row r="272" spans="1:15" ht="15.75" customHeight="1" x14ac:dyDescent="0.25">
      <c r="A272" s="28"/>
      <c r="B272" s="28"/>
      <c r="C272" s="28"/>
      <c r="D272" s="28"/>
      <c r="E272" s="28"/>
      <c r="F272" s="28"/>
      <c r="G272" s="28"/>
      <c r="H272" s="28"/>
      <c r="I272" s="28"/>
      <c r="J272" s="28"/>
      <c r="K272" s="28"/>
      <c r="L272" s="28"/>
      <c r="M272" s="28"/>
      <c r="N272" s="28"/>
      <c r="O272" s="28"/>
    </row>
    <row r="273" spans="1:15" ht="15.75" customHeight="1" x14ac:dyDescent="0.25">
      <c r="A273" s="28"/>
      <c r="B273" s="28"/>
      <c r="C273" s="28"/>
      <c r="D273" s="28"/>
      <c r="E273" s="28"/>
      <c r="F273" s="28"/>
      <c r="G273" s="28"/>
      <c r="H273" s="28"/>
      <c r="I273" s="28"/>
      <c r="J273" s="28"/>
      <c r="K273" s="28"/>
      <c r="L273" s="28"/>
      <c r="M273" s="28"/>
      <c r="N273" s="28"/>
      <c r="O273" s="28"/>
    </row>
    <row r="274" spans="1:15" ht="15.75" customHeight="1" x14ac:dyDescent="0.25">
      <c r="A274" s="28"/>
      <c r="B274" s="28"/>
      <c r="C274" s="28"/>
      <c r="D274" s="28"/>
      <c r="E274" s="28"/>
      <c r="F274" s="28"/>
      <c r="G274" s="28"/>
      <c r="H274" s="28"/>
      <c r="I274" s="28"/>
      <c r="J274" s="28"/>
      <c r="K274" s="28"/>
      <c r="L274" s="28"/>
      <c r="M274" s="28"/>
      <c r="N274" s="28"/>
      <c r="O274" s="28"/>
    </row>
    <row r="275" spans="1:15" ht="15.75" customHeight="1" x14ac:dyDescent="0.25">
      <c r="A275" s="28"/>
      <c r="B275" s="28"/>
      <c r="C275" s="28"/>
      <c r="D275" s="28"/>
      <c r="E275" s="28"/>
      <c r="F275" s="28"/>
      <c r="G275" s="28"/>
      <c r="H275" s="28"/>
      <c r="I275" s="28"/>
      <c r="J275" s="28"/>
      <c r="K275" s="28"/>
      <c r="L275" s="28"/>
      <c r="M275" s="28"/>
      <c r="N275" s="28"/>
      <c r="O275" s="28"/>
    </row>
    <row r="276" spans="1:15" ht="15.75" customHeight="1" x14ac:dyDescent="0.25">
      <c r="A276" s="28"/>
      <c r="B276" s="28"/>
      <c r="C276" s="28"/>
      <c r="D276" s="28"/>
      <c r="E276" s="28"/>
      <c r="F276" s="28"/>
      <c r="G276" s="28"/>
      <c r="H276" s="28"/>
      <c r="I276" s="28"/>
      <c r="J276" s="28"/>
      <c r="K276" s="28"/>
      <c r="L276" s="28"/>
      <c r="M276" s="28"/>
      <c r="N276" s="28"/>
      <c r="O276" s="28"/>
    </row>
    <row r="277" spans="1:15" ht="15.75" customHeight="1" x14ac:dyDescent="0.25">
      <c r="A277" s="28"/>
      <c r="B277" s="28"/>
      <c r="C277" s="28"/>
      <c r="D277" s="28"/>
      <c r="E277" s="28"/>
      <c r="F277" s="28"/>
      <c r="G277" s="28"/>
      <c r="H277" s="28"/>
      <c r="I277" s="28"/>
      <c r="J277" s="28"/>
      <c r="K277" s="28"/>
      <c r="L277" s="28"/>
      <c r="M277" s="28"/>
      <c r="N277" s="28"/>
      <c r="O277" s="28"/>
    </row>
    <row r="278" spans="1:15" ht="15.75" customHeight="1" x14ac:dyDescent="0.25">
      <c r="A278" s="28"/>
      <c r="B278" s="28"/>
      <c r="C278" s="28"/>
      <c r="D278" s="28"/>
      <c r="E278" s="28"/>
      <c r="F278" s="28"/>
      <c r="G278" s="28"/>
      <c r="H278" s="28"/>
      <c r="I278" s="28"/>
      <c r="J278" s="28"/>
      <c r="K278" s="28"/>
      <c r="L278" s="28"/>
      <c r="M278" s="28"/>
      <c r="N278" s="28"/>
      <c r="O278" s="28"/>
    </row>
    <row r="279" spans="1:15" ht="15.75" customHeight="1" x14ac:dyDescent="0.25">
      <c r="A279" s="28"/>
      <c r="B279" s="28"/>
      <c r="C279" s="28"/>
      <c r="D279" s="28"/>
      <c r="E279" s="28"/>
      <c r="F279" s="28"/>
      <c r="G279" s="28"/>
      <c r="H279" s="28"/>
      <c r="I279" s="28"/>
      <c r="J279" s="28"/>
      <c r="K279" s="28"/>
      <c r="L279" s="28"/>
      <c r="M279" s="28"/>
      <c r="N279" s="28"/>
      <c r="O279" s="28"/>
    </row>
    <row r="280" spans="1:15" ht="15.75" customHeight="1" x14ac:dyDescent="0.25">
      <c r="A280" s="28"/>
      <c r="B280" s="28"/>
      <c r="C280" s="28"/>
      <c r="D280" s="28"/>
      <c r="E280" s="28"/>
      <c r="F280" s="28"/>
      <c r="G280" s="28"/>
      <c r="H280" s="28"/>
      <c r="I280" s="28"/>
      <c r="J280" s="28"/>
      <c r="K280" s="28"/>
      <c r="L280" s="28"/>
      <c r="M280" s="28"/>
      <c r="N280" s="28"/>
      <c r="O280" s="28"/>
    </row>
    <row r="281" spans="1:15" ht="15.75" customHeight="1" x14ac:dyDescent="0.25">
      <c r="A281" s="28"/>
      <c r="B281" s="28"/>
      <c r="C281" s="28"/>
      <c r="D281" s="28"/>
      <c r="E281" s="28"/>
      <c r="F281" s="28"/>
      <c r="G281" s="28"/>
      <c r="H281" s="28"/>
      <c r="I281" s="28"/>
      <c r="J281" s="28"/>
      <c r="K281" s="28"/>
      <c r="L281" s="28"/>
      <c r="M281" s="28"/>
      <c r="N281" s="28"/>
      <c r="O281" s="28"/>
    </row>
    <row r="282" spans="1:15" ht="15.75" customHeight="1" x14ac:dyDescent="0.25">
      <c r="A282" s="28"/>
      <c r="B282" s="28"/>
      <c r="C282" s="28"/>
      <c r="D282" s="28"/>
      <c r="E282" s="28"/>
      <c r="F282" s="28"/>
      <c r="G282" s="28"/>
      <c r="H282" s="28"/>
      <c r="I282" s="28"/>
      <c r="J282" s="28"/>
      <c r="K282" s="28"/>
      <c r="L282" s="28"/>
      <c r="M282" s="28"/>
      <c r="N282" s="28"/>
      <c r="O282" s="28"/>
    </row>
    <row r="283" spans="1:15" ht="15.75" customHeight="1" x14ac:dyDescent="0.25">
      <c r="A283" s="28"/>
      <c r="B283" s="28"/>
      <c r="C283" s="28"/>
      <c r="D283" s="28"/>
      <c r="E283" s="28"/>
      <c r="F283" s="28"/>
      <c r="G283" s="28"/>
      <c r="H283" s="28"/>
      <c r="I283" s="28"/>
      <c r="J283" s="28"/>
      <c r="K283" s="28"/>
      <c r="L283" s="28"/>
      <c r="M283" s="28"/>
      <c r="N283" s="28"/>
      <c r="O283" s="28"/>
    </row>
    <row r="284" spans="1:15" ht="15.75" customHeight="1" x14ac:dyDescent="0.25">
      <c r="A284" s="28"/>
      <c r="B284" s="28"/>
      <c r="C284" s="28"/>
      <c r="D284" s="28"/>
      <c r="E284" s="28"/>
      <c r="F284" s="28"/>
      <c r="G284" s="28"/>
      <c r="H284" s="28"/>
      <c r="I284" s="28"/>
      <c r="J284" s="28"/>
      <c r="K284" s="28"/>
      <c r="L284" s="28"/>
      <c r="M284" s="28"/>
      <c r="N284" s="28"/>
      <c r="O284" s="28"/>
    </row>
    <row r="285" spans="1:15" ht="15.75" customHeight="1" x14ac:dyDescent="0.25">
      <c r="A285" s="28"/>
      <c r="B285" s="28"/>
      <c r="C285" s="28"/>
      <c r="D285" s="28"/>
      <c r="E285" s="28"/>
      <c r="F285" s="28"/>
      <c r="G285" s="28"/>
      <c r="H285" s="28"/>
      <c r="I285" s="28"/>
      <c r="J285" s="28"/>
      <c r="K285" s="28"/>
      <c r="L285" s="28"/>
      <c r="M285" s="28"/>
      <c r="N285" s="28"/>
      <c r="O285" s="28"/>
    </row>
    <row r="286" spans="1:15" ht="15.75" customHeight="1" x14ac:dyDescent="0.25">
      <c r="A286" s="28"/>
      <c r="B286" s="28"/>
      <c r="C286" s="28"/>
      <c r="D286" s="28"/>
      <c r="E286" s="28"/>
      <c r="F286" s="28"/>
      <c r="G286" s="28"/>
      <c r="H286" s="28"/>
      <c r="I286" s="28"/>
      <c r="J286" s="28"/>
      <c r="K286" s="28"/>
      <c r="L286" s="28"/>
      <c r="M286" s="28"/>
      <c r="N286" s="28"/>
      <c r="O286" s="28"/>
    </row>
    <row r="287" spans="1:15" ht="15.75" customHeight="1" x14ac:dyDescent="0.25">
      <c r="A287" s="28"/>
      <c r="B287" s="28"/>
      <c r="C287" s="28"/>
      <c r="D287" s="28"/>
      <c r="E287" s="28"/>
      <c r="F287" s="28"/>
      <c r="G287" s="28"/>
      <c r="H287" s="28"/>
      <c r="I287" s="28"/>
      <c r="J287" s="28"/>
      <c r="K287" s="28"/>
      <c r="L287" s="28"/>
      <c r="M287" s="28"/>
      <c r="N287" s="28"/>
      <c r="O287" s="28"/>
    </row>
    <row r="288" spans="1:15" ht="15.75" customHeight="1" x14ac:dyDescent="0.25">
      <c r="A288" s="28"/>
      <c r="B288" s="28"/>
      <c r="C288" s="28"/>
      <c r="D288" s="28"/>
      <c r="E288" s="28"/>
      <c r="F288" s="28"/>
      <c r="G288" s="28"/>
      <c r="H288" s="28"/>
      <c r="I288" s="28"/>
      <c r="J288" s="28"/>
      <c r="K288" s="28"/>
      <c r="L288" s="28"/>
      <c r="M288" s="28"/>
      <c r="N288" s="28"/>
      <c r="O288" s="28"/>
    </row>
    <row r="289" spans="1:15" ht="15.75" customHeight="1" x14ac:dyDescent="0.25">
      <c r="A289" s="28"/>
      <c r="B289" s="28"/>
      <c r="C289" s="28"/>
      <c r="D289" s="28"/>
      <c r="E289" s="28"/>
      <c r="F289" s="28"/>
      <c r="G289" s="28"/>
      <c r="H289" s="28"/>
      <c r="I289" s="28"/>
      <c r="J289" s="28"/>
      <c r="K289" s="28"/>
      <c r="L289" s="28"/>
      <c r="M289" s="28"/>
      <c r="N289" s="28"/>
      <c r="O289" s="28"/>
    </row>
    <row r="290" spans="1:15" ht="15.75" customHeight="1" x14ac:dyDescent="0.25">
      <c r="A290" s="28"/>
      <c r="B290" s="28"/>
      <c r="C290" s="28"/>
      <c r="D290" s="28"/>
      <c r="E290" s="28"/>
      <c r="F290" s="28"/>
      <c r="G290" s="28"/>
      <c r="H290" s="28"/>
      <c r="I290" s="28"/>
      <c r="J290" s="28"/>
      <c r="K290" s="28"/>
      <c r="L290" s="28"/>
      <c r="M290" s="28"/>
      <c r="N290" s="28"/>
      <c r="O290" s="28"/>
    </row>
    <row r="291" spans="1:15" ht="15.75" customHeight="1" x14ac:dyDescent="0.25">
      <c r="A291" s="28"/>
      <c r="B291" s="28"/>
      <c r="C291" s="28"/>
      <c r="D291" s="28"/>
      <c r="E291" s="28"/>
      <c r="F291" s="28"/>
      <c r="G291" s="28"/>
      <c r="H291" s="28"/>
      <c r="I291" s="28"/>
      <c r="J291" s="28"/>
      <c r="K291" s="28"/>
      <c r="L291" s="28"/>
      <c r="M291" s="28"/>
      <c r="N291" s="28"/>
      <c r="O291" s="28"/>
    </row>
    <row r="292" spans="1:15" ht="15.75" customHeight="1" x14ac:dyDescent="0.25">
      <c r="A292" s="28"/>
      <c r="B292" s="28"/>
      <c r="C292" s="28"/>
      <c r="D292" s="28"/>
      <c r="E292" s="28"/>
      <c r="F292" s="28"/>
      <c r="G292" s="28"/>
      <c r="H292" s="28"/>
      <c r="I292" s="28"/>
      <c r="J292" s="28"/>
      <c r="K292" s="28"/>
      <c r="L292" s="28"/>
      <c r="M292" s="28"/>
      <c r="N292" s="28"/>
      <c r="O292" s="28"/>
    </row>
    <row r="293" spans="1:15" ht="15.75" customHeight="1" x14ac:dyDescent="0.25">
      <c r="A293" s="28"/>
      <c r="B293" s="28"/>
      <c r="C293" s="28"/>
      <c r="D293" s="28"/>
      <c r="E293" s="28"/>
      <c r="F293" s="28"/>
      <c r="G293" s="28"/>
      <c r="H293" s="28"/>
      <c r="I293" s="28"/>
      <c r="J293" s="28"/>
      <c r="K293" s="28"/>
      <c r="L293" s="28"/>
      <c r="M293" s="28"/>
      <c r="N293" s="28"/>
      <c r="O293" s="28"/>
    </row>
    <row r="294" spans="1:15" ht="15.75" customHeight="1" x14ac:dyDescent="0.25">
      <c r="A294" s="28"/>
      <c r="B294" s="28"/>
      <c r="C294" s="28"/>
      <c r="D294" s="28"/>
      <c r="E294" s="28"/>
      <c r="F294" s="28"/>
      <c r="G294" s="28"/>
      <c r="H294" s="28"/>
      <c r="I294" s="28"/>
      <c r="J294" s="28"/>
      <c r="K294" s="28"/>
      <c r="L294" s="28"/>
      <c r="M294" s="28"/>
      <c r="N294" s="28"/>
      <c r="O294" s="28"/>
    </row>
    <row r="295" spans="1:15" ht="15.75" customHeight="1" x14ac:dyDescent="0.25">
      <c r="A295" s="28"/>
      <c r="B295" s="28"/>
      <c r="C295" s="28"/>
      <c r="D295" s="28"/>
      <c r="E295" s="28"/>
      <c r="F295" s="28"/>
      <c r="G295" s="28"/>
      <c r="H295" s="28"/>
      <c r="I295" s="28"/>
      <c r="J295" s="28"/>
      <c r="K295" s="28"/>
      <c r="L295" s="28"/>
      <c r="M295" s="28"/>
      <c r="N295" s="28"/>
      <c r="O295" s="28"/>
    </row>
    <row r="296" spans="1:15" ht="15.75" customHeight="1" x14ac:dyDescent="0.25">
      <c r="A296" s="28"/>
      <c r="B296" s="28"/>
      <c r="C296" s="28"/>
      <c r="D296" s="28"/>
      <c r="E296" s="28"/>
      <c r="F296" s="28"/>
      <c r="G296" s="28"/>
      <c r="H296" s="28"/>
      <c r="I296" s="28"/>
      <c r="J296" s="28"/>
      <c r="K296" s="28"/>
      <c r="L296" s="28"/>
      <c r="M296" s="28"/>
      <c r="N296" s="28"/>
      <c r="O296" s="28"/>
    </row>
    <row r="297" spans="1:15" ht="15.75" customHeight="1" x14ac:dyDescent="0.25">
      <c r="A297" s="28"/>
      <c r="B297" s="28"/>
      <c r="C297" s="28"/>
      <c r="D297" s="28"/>
      <c r="E297" s="28"/>
      <c r="F297" s="28"/>
      <c r="G297" s="28"/>
      <c r="H297" s="28"/>
      <c r="I297" s="28"/>
      <c r="J297" s="28"/>
      <c r="K297" s="28"/>
      <c r="L297" s="28"/>
      <c r="M297" s="28"/>
      <c r="N297" s="28"/>
      <c r="O297" s="28"/>
    </row>
    <row r="298" spans="1:15" ht="15.75" customHeight="1" x14ac:dyDescent="0.25">
      <c r="A298" s="28"/>
      <c r="B298" s="28"/>
      <c r="C298" s="28"/>
      <c r="D298" s="28"/>
      <c r="E298" s="28"/>
      <c r="F298" s="28"/>
      <c r="G298" s="28"/>
      <c r="H298" s="28"/>
      <c r="I298" s="28"/>
      <c r="J298" s="28"/>
      <c r="K298" s="28"/>
      <c r="L298" s="28"/>
      <c r="M298" s="28"/>
      <c r="N298" s="28"/>
      <c r="O298" s="28"/>
    </row>
    <row r="299" spans="1:15" ht="15.75" customHeight="1" x14ac:dyDescent="0.25">
      <c r="A299" s="28"/>
      <c r="B299" s="28"/>
      <c r="C299" s="28"/>
      <c r="D299" s="28"/>
      <c r="E299" s="28"/>
      <c r="F299" s="28"/>
      <c r="G299" s="28"/>
      <c r="H299" s="28"/>
      <c r="I299" s="28"/>
      <c r="J299" s="28"/>
      <c r="K299" s="28"/>
      <c r="L299" s="28"/>
      <c r="M299" s="28"/>
      <c r="N299" s="28"/>
      <c r="O299" s="28"/>
    </row>
    <row r="300" spans="1:15" ht="15.75" customHeight="1" x14ac:dyDescent="0.25">
      <c r="A300" s="28"/>
      <c r="B300" s="28"/>
      <c r="C300" s="28"/>
      <c r="D300" s="28"/>
      <c r="E300" s="28"/>
      <c r="F300" s="28"/>
      <c r="G300" s="28"/>
      <c r="H300" s="28"/>
      <c r="I300" s="28"/>
      <c r="J300" s="28"/>
      <c r="K300" s="28"/>
      <c r="L300" s="28"/>
      <c r="M300" s="28"/>
      <c r="N300" s="28"/>
      <c r="O300" s="28"/>
    </row>
    <row r="301" spans="1:15" ht="15.75" customHeight="1" x14ac:dyDescent="0.25">
      <c r="A301" s="28"/>
      <c r="B301" s="28"/>
      <c r="C301" s="28"/>
      <c r="D301" s="28"/>
      <c r="E301" s="28"/>
      <c r="F301" s="28"/>
      <c r="G301" s="28"/>
      <c r="H301" s="28"/>
      <c r="I301" s="28"/>
      <c r="J301" s="28"/>
      <c r="K301" s="28"/>
      <c r="L301" s="28"/>
      <c r="M301" s="28"/>
      <c r="N301" s="28"/>
      <c r="O301" s="28"/>
    </row>
    <row r="302" spans="1:15" ht="15.75" customHeight="1" x14ac:dyDescent="0.25">
      <c r="A302" s="28"/>
      <c r="B302" s="28"/>
      <c r="C302" s="28"/>
      <c r="D302" s="28"/>
      <c r="E302" s="28"/>
      <c r="F302" s="28"/>
      <c r="G302" s="28"/>
      <c r="H302" s="28"/>
      <c r="I302" s="28"/>
      <c r="J302" s="28"/>
      <c r="K302" s="28"/>
      <c r="L302" s="28"/>
      <c r="M302" s="28"/>
      <c r="N302" s="28"/>
      <c r="O302" s="28"/>
    </row>
    <row r="303" spans="1:15" ht="15.75" customHeight="1" x14ac:dyDescent="0.25">
      <c r="A303" s="28"/>
      <c r="B303" s="28"/>
      <c r="C303" s="28"/>
      <c r="D303" s="28"/>
      <c r="E303" s="28"/>
      <c r="F303" s="28"/>
      <c r="G303" s="28"/>
      <c r="H303" s="28"/>
      <c r="I303" s="28"/>
      <c r="J303" s="28"/>
      <c r="K303" s="28"/>
      <c r="L303" s="28"/>
      <c r="M303" s="28"/>
      <c r="N303" s="28"/>
      <c r="O303" s="28"/>
    </row>
    <row r="304" spans="1:15" ht="15.75" customHeight="1" x14ac:dyDescent="0.25">
      <c r="A304" s="28"/>
      <c r="B304" s="28"/>
      <c r="C304" s="28"/>
      <c r="D304" s="28"/>
      <c r="E304" s="28"/>
      <c r="F304" s="28"/>
      <c r="G304" s="28"/>
      <c r="H304" s="28"/>
      <c r="I304" s="28"/>
      <c r="J304" s="28"/>
      <c r="K304" s="28"/>
      <c r="L304" s="28"/>
      <c r="M304" s="28"/>
      <c r="N304" s="28"/>
      <c r="O304" s="28"/>
    </row>
    <row r="305" spans="1:15" ht="15.75" customHeight="1" x14ac:dyDescent="0.25">
      <c r="A305" s="28"/>
      <c r="B305" s="28"/>
      <c r="C305" s="28"/>
      <c r="D305" s="28"/>
      <c r="E305" s="28"/>
      <c r="F305" s="28"/>
      <c r="G305" s="28"/>
      <c r="H305" s="28"/>
      <c r="I305" s="28"/>
      <c r="J305" s="28"/>
      <c r="K305" s="28"/>
      <c r="L305" s="28"/>
      <c r="M305" s="28"/>
      <c r="N305" s="28"/>
      <c r="O305" s="28"/>
    </row>
    <row r="306" spans="1:15" ht="15.75" customHeight="1" x14ac:dyDescent="0.25">
      <c r="A306" s="28"/>
      <c r="B306" s="28"/>
      <c r="C306" s="28"/>
      <c r="D306" s="28"/>
      <c r="E306" s="28"/>
      <c r="F306" s="28"/>
      <c r="G306" s="28"/>
      <c r="H306" s="28"/>
      <c r="I306" s="28"/>
      <c r="J306" s="28"/>
      <c r="K306" s="28"/>
      <c r="L306" s="28"/>
      <c r="M306" s="28"/>
      <c r="N306" s="28"/>
      <c r="O306" s="28"/>
    </row>
    <row r="307" spans="1:15" ht="15.75" customHeight="1" x14ac:dyDescent="0.25">
      <c r="A307" s="28"/>
      <c r="B307" s="28"/>
      <c r="C307" s="28"/>
      <c r="D307" s="28"/>
      <c r="E307" s="28"/>
      <c r="F307" s="28"/>
      <c r="G307" s="28"/>
      <c r="H307" s="28"/>
      <c r="I307" s="28"/>
      <c r="J307" s="28"/>
      <c r="K307" s="28"/>
      <c r="L307" s="28"/>
      <c r="M307" s="28"/>
      <c r="N307" s="28"/>
      <c r="O307" s="28"/>
    </row>
    <row r="308" spans="1:15" ht="15.75" customHeight="1" x14ac:dyDescent="0.25">
      <c r="A308" s="28"/>
      <c r="B308" s="28"/>
      <c r="C308" s="28"/>
      <c r="D308" s="28"/>
      <c r="E308" s="28"/>
      <c r="F308" s="28"/>
      <c r="G308" s="28"/>
      <c r="H308" s="28"/>
      <c r="I308" s="28"/>
      <c r="J308" s="28"/>
      <c r="K308" s="28"/>
      <c r="L308" s="28"/>
      <c r="M308" s="28"/>
      <c r="N308" s="28"/>
      <c r="O308" s="28"/>
    </row>
    <row r="309" spans="1:15" ht="15.75" customHeight="1" x14ac:dyDescent="0.25">
      <c r="A309" s="28"/>
      <c r="B309" s="28"/>
      <c r="C309" s="28"/>
      <c r="D309" s="28"/>
      <c r="E309" s="28"/>
      <c r="F309" s="28"/>
      <c r="G309" s="28"/>
      <c r="H309" s="28"/>
      <c r="I309" s="28"/>
      <c r="J309" s="28"/>
      <c r="K309" s="28"/>
      <c r="L309" s="28"/>
      <c r="M309" s="28"/>
      <c r="N309" s="28"/>
      <c r="O309" s="28"/>
    </row>
    <row r="310" spans="1:15" ht="15.75" customHeight="1" x14ac:dyDescent="0.25">
      <c r="A310" s="28"/>
      <c r="B310" s="28"/>
      <c r="C310" s="28"/>
      <c r="D310" s="28"/>
      <c r="E310" s="28"/>
      <c r="F310" s="28"/>
      <c r="G310" s="28"/>
      <c r="H310" s="28"/>
      <c r="I310" s="28"/>
      <c r="J310" s="28"/>
      <c r="K310" s="28"/>
      <c r="L310" s="28"/>
      <c r="M310" s="28"/>
      <c r="N310" s="28"/>
      <c r="O310" s="28"/>
    </row>
    <row r="311" spans="1:15" ht="15.75" customHeight="1" x14ac:dyDescent="0.25">
      <c r="A311" s="28"/>
      <c r="B311" s="28"/>
      <c r="C311" s="28"/>
      <c r="D311" s="28"/>
      <c r="E311" s="28"/>
      <c r="F311" s="28"/>
      <c r="G311" s="28"/>
      <c r="H311" s="28"/>
      <c r="I311" s="28"/>
      <c r="J311" s="28"/>
      <c r="K311" s="28"/>
      <c r="L311" s="28"/>
      <c r="M311" s="28"/>
      <c r="N311" s="28"/>
      <c r="O311" s="28"/>
    </row>
    <row r="312" spans="1:15" ht="15.75" customHeight="1" x14ac:dyDescent="0.25">
      <c r="A312" s="28"/>
      <c r="B312" s="28"/>
      <c r="C312" s="28"/>
      <c r="D312" s="28"/>
      <c r="E312" s="28"/>
      <c r="F312" s="28"/>
      <c r="G312" s="28"/>
      <c r="H312" s="28"/>
      <c r="I312" s="28"/>
      <c r="J312" s="28"/>
      <c r="K312" s="28"/>
      <c r="L312" s="28"/>
      <c r="M312" s="28"/>
      <c r="N312" s="28"/>
      <c r="O312" s="28"/>
    </row>
    <row r="313" spans="1:15" ht="15.75" customHeight="1" x14ac:dyDescent="0.25">
      <c r="A313" s="28"/>
      <c r="B313" s="28"/>
      <c r="C313" s="28"/>
      <c r="D313" s="28"/>
      <c r="E313" s="28"/>
      <c r="F313" s="28"/>
      <c r="G313" s="28"/>
      <c r="H313" s="28"/>
      <c r="I313" s="28"/>
      <c r="J313" s="28"/>
      <c r="K313" s="28"/>
      <c r="L313" s="28"/>
      <c r="M313" s="28"/>
      <c r="N313" s="28"/>
      <c r="O313" s="28"/>
    </row>
    <row r="314" spans="1:15" ht="15.75" customHeight="1" x14ac:dyDescent="0.25">
      <c r="A314" s="28"/>
      <c r="B314" s="28"/>
      <c r="C314" s="28"/>
      <c r="D314" s="28"/>
      <c r="E314" s="28"/>
      <c r="F314" s="28"/>
      <c r="G314" s="28"/>
      <c r="H314" s="28"/>
      <c r="I314" s="28"/>
      <c r="J314" s="28"/>
      <c r="K314" s="28"/>
      <c r="L314" s="28"/>
      <c r="M314" s="28"/>
      <c r="N314" s="28"/>
      <c r="O314" s="28"/>
    </row>
    <row r="315" spans="1:15" ht="15.75" customHeight="1" x14ac:dyDescent="0.25">
      <c r="A315" s="28"/>
      <c r="B315" s="28"/>
      <c r="C315" s="28"/>
      <c r="D315" s="28"/>
      <c r="E315" s="28"/>
      <c r="F315" s="28"/>
      <c r="G315" s="28"/>
      <c r="H315" s="28"/>
      <c r="I315" s="28"/>
      <c r="J315" s="28"/>
      <c r="K315" s="28"/>
      <c r="L315" s="28"/>
      <c r="M315" s="28"/>
      <c r="N315" s="28"/>
      <c r="O315" s="28"/>
    </row>
    <row r="316" spans="1:15" ht="15.75" customHeight="1" x14ac:dyDescent="0.25">
      <c r="A316" s="28"/>
      <c r="B316" s="28"/>
      <c r="C316" s="28"/>
      <c r="D316" s="28"/>
      <c r="E316" s="28"/>
      <c r="F316" s="28"/>
      <c r="G316" s="28"/>
      <c r="H316" s="28"/>
      <c r="I316" s="28"/>
      <c r="J316" s="28"/>
      <c r="K316" s="28"/>
      <c r="L316" s="28"/>
      <c r="M316" s="28"/>
      <c r="N316" s="28"/>
      <c r="O316" s="28"/>
    </row>
    <row r="317" spans="1:15" ht="15.75" customHeight="1" x14ac:dyDescent="0.25">
      <c r="A317" s="28"/>
      <c r="B317" s="28"/>
      <c r="C317" s="28"/>
      <c r="D317" s="28"/>
      <c r="E317" s="28"/>
      <c r="F317" s="28"/>
      <c r="G317" s="28"/>
      <c r="H317" s="28"/>
      <c r="I317" s="28"/>
      <c r="J317" s="28"/>
      <c r="K317" s="28"/>
      <c r="L317" s="28"/>
      <c r="M317" s="28"/>
      <c r="N317" s="28"/>
      <c r="O317" s="28"/>
    </row>
    <row r="318" spans="1:15" ht="15.75" customHeight="1" x14ac:dyDescent="0.25">
      <c r="A318" s="28"/>
      <c r="B318" s="28"/>
      <c r="C318" s="28"/>
      <c r="D318" s="28"/>
      <c r="E318" s="28"/>
      <c r="F318" s="28"/>
      <c r="G318" s="28"/>
      <c r="H318" s="28"/>
      <c r="I318" s="28"/>
      <c r="J318" s="28"/>
      <c r="K318" s="28"/>
      <c r="L318" s="28"/>
      <c r="M318" s="28"/>
      <c r="N318" s="28"/>
      <c r="O318" s="28"/>
    </row>
    <row r="319" spans="1:15" ht="15.75" customHeight="1" x14ac:dyDescent="0.25">
      <c r="A319" s="28"/>
      <c r="B319" s="28"/>
      <c r="C319" s="28"/>
      <c r="D319" s="28"/>
      <c r="E319" s="28"/>
      <c r="F319" s="28"/>
      <c r="G319" s="28"/>
      <c r="H319" s="28"/>
      <c r="I319" s="28"/>
      <c r="J319" s="28"/>
      <c r="K319" s="28"/>
      <c r="L319" s="28"/>
      <c r="M319" s="28"/>
      <c r="N319" s="28"/>
      <c r="O319" s="28"/>
    </row>
    <row r="320" spans="1:15" ht="15.75" customHeight="1" x14ac:dyDescent="0.25">
      <c r="A320" s="28"/>
      <c r="B320" s="28"/>
      <c r="C320" s="28"/>
      <c r="D320" s="28"/>
      <c r="E320" s="28"/>
      <c r="F320" s="28"/>
      <c r="G320" s="28"/>
      <c r="H320" s="28"/>
      <c r="I320" s="28"/>
      <c r="J320" s="28"/>
      <c r="K320" s="28"/>
      <c r="L320" s="28"/>
      <c r="M320" s="28"/>
      <c r="N320" s="28"/>
      <c r="O320" s="28"/>
    </row>
    <row r="321" spans="1:15" ht="15.75" customHeight="1" x14ac:dyDescent="0.25">
      <c r="A321" s="28"/>
      <c r="B321" s="28"/>
      <c r="C321" s="28"/>
      <c r="D321" s="28"/>
      <c r="E321" s="28"/>
      <c r="F321" s="28"/>
      <c r="G321" s="28"/>
      <c r="H321" s="28"/>
      <c r="I321" s="28"/>
      <c r="J321" s="28"/>
      <c r="K321" s="28"/>
      <c r="L321" s="28"/>
      <c r="M321" s="28"/>
      <c r="N321" s="28"/>
      <c r="O321" s="28"/>
    </row>
    <row r="322" spans="1:15" ht="15.75" customHeight="1" x14ac:dyDescent="0.25"/>
    <row r="323" spans="1:15" ht="15.75" customHeight="1" x14ac:dyDescent="0.25"/>
    <row r="324" spans="1:15" ht="15.75" customHeight="1" x14ac:dyDescent="0.25"/>
    <row r="325" spans="1:15" ht="15.75" customHeight="1" x14ac:dyDescent="0.25"/>
    <row r="326" spans="1:15" ht="15.75" customHeight="1" x14ac:dyDescent="0.25"/>
    <row r="327" spans="1:15" ht="15.75" customHeight="1" x14ac:dyDescent="0.25"/>
    <row r="328" spans="1:15" ht="15.75" customHeight="1" x14ac:dyDescent="0.25"/>
    <row r="329" spans="1:15" ht="15.75" customHeight="1" x14ac:dyDescent="0.25"/>
    <row r="330" spans="1:15" ht="15.75" customHeight="1" x14ac:dyDescent="0.25"/>
    <row r="331" spans="1:15" ht="15.75" customHeight="1" x14ac:dyDescent="0.25"/>
    <row r="332" spans="1:15" ht="15.75" customHeight="1" x14ac:dyDescent="0.25"/>
    <row r="333" spans="1:15" ht="15.75" customHeight="1" x14ac:dyDescent="0.25"/>
    <row r="334" spans="1:15" ht="15.75" customHeight="1" x14ac:dyDescent="0.25"/>
    <row r="335" spans="1:15" ht="15.75" customHeight="1" x14ac:dyDescent="0.25"/>
    <row r="336" spans="1:15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47">
    <mergeCell ref="H96:H97"/>
    <mergeCell ref="I96:I97"/>
    <mergeCell ref="J96:J97"/>
    <mergeCell ref="K96:K97"/>
    <mergeCell ref="J98:J99"/>
    <mergeCell ref="K98:K99"/>
    <mergeCell ref="H98:H99"/>
    <mergeCell ref="I98:I99"/>
    <mergeCell ref="H8:H11"/>
    <mergeCell ref="I8:I11"/>
    <mergeCell ref="A1:K1"/>
    <mergeCell ref="A2:K2"/>
    <mergeCell ref="C3:D3"/>
    <mergeCell ref="C4:D4"/>
    <mergeCell ref="C5:D5"/>
    <mergeCell ref="C6:D6"/>
    <mergeCell ref="A8:A12"/>
    <mergeCell ref="J9:K11"/>
    <mergeCell ref="C106:D106"/>
    <mergeCell ref="I106:J106"/>
    <mergeCell ref="H107:J107"/>
    <mergeCell ref="H108:J108"/>
    <mergeCell ref="B103:E103"/>
    <mergeCell ref="F103:G103"/>
    <mergeCell ref="I103:J103"/>
    <mergeCell ref="B104:B106"/>
    <mergeCell ref="C104:D104"/>
    <mergeCell ref="F104:G106"/>
    <mergeCell ref="C105:D105"/>
    <mergeCell ref="I104:J104"/>
    <mergeCell ref="I105:J105"/>
    <mergeCell ref="F8:F11"/>
    <mergeCell ref="G8:G11"/>
    <mergeCell ref="B8:B12"/>
    <mergeCell ref="C8:C12"/>
    <mergeCell ref="A96:B96"/>
    <mergeCell ref="E96:E97"/>
    <mergeCell ref="F96:F97"/>
    <mergeCell ref="G96:G97"/>
    <mergeCell ref="A97:C98"/>
    <mergeCell ref="D8:D11"/>
    <mergeCell ref="E8:E11"/>
    <mergeCell ref="D96:D97"/>
    <mergeCell ref="D98:D99"/>
    <mergeCell ref="E98:E99"/>
    <mergeCell ref="F98:F99"/>
    <mergeCell ref="G98:G99"/>
  </mergeCells>
  <pageMargins left="0.7" right="0.7" top="0.75" bottom="0.75" header="0" footer="0"/>
  <pageSetup orientation="landscape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V1000"/>
  <sheetViews>
    <sheetView topLeftCell="A79" workbookViewId="0">
      <selection activeCell="I99" sqref="I99"/>
    </sheetView>
  </sheetViews>
  <sheetFormatPr defaultColWidth="14.42578125" defaultRowHeight="15" customHeight="1" x14ac:dyDescent="0.25"/>
  <cols>
    <col min="1" max="1" width="13.7109375" customWidth="1"/>
    <col min="2" max="2" width="12.85546875" customWidth="1"/>
    <col min="3" max="3" width="16.28515625" customWidth="1"/>
    <col min="4" max="4" width="45.7109375" customWidth="1"/>
    <col min="5" max="5" width="13.42578125" customWidth="1"/>
    <col min="6" max="8" width="6.5703125" customWidth="1"/>
    <col min="9" max="22" width="8.7109375" customWidth="1"/>
  </cols>
  <sheetData>
    <row r="1" spans="2:22" ht="20.25" x14ac:dyDescent="0.25">
      <c r="B1" s="255" t="s">
        <v>150</v>
      </c>
      <c r="C1" s="203"/>
      <c r="D1" s="203"/>
      <c r="E1" s="203"/>
      <c r="F1" s="203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</row>
    <row r="2" spans="2:22" ht="20.25" x14ac:dyDescent="0.25">
      <c r="B2" s="28"/>
      <c r="C2" s="28"/>
      <c r="D2" s="55" t="s">
        <v>151</v>
      </c>
      <c r="E2" s="9"/>
      <c r="F2" s="28"/>
      <c r="G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</row>
    <row r="3" spans="2:22" ht="13.5" customHeight="1" x14ac:dyDescent="0.25">
      <c r="B3" s="28"/>
      <c r="C3" s="28"/>
      <c r="D3" s="55"/>
      <c r="E3" s="9"/>
      <c r="F3" s="28"/>
      <c r="G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28"/>
      <c r="U3" s="28"/>
      <c r="V3" s="28"/>
    </row>
    <row r="4" spans="2:22" x14ac:dyDescent="0.25">
      <c r="B4" s="28"/>
      <c r="C4" s="29" t="s">
        <v>1</v>
      </c>
      <c r="D4" s="256" t="str">
        <f>'CO_Attainment for Unit Tests'!C3</f>
        <v>DATA STRUCTURE USING C</v>
      </c>
      <c r="E4" s="20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</row>
    <row r="5" spans="2:22" x14ac:dyDescent="0.25">
      <c r="B5" s="28"/>
      <c r="C5" s="29" t="s">
        <v>3</v>
      </c>
      <c r="D5" s="256">
        <f>'CO_Attainment for Unit Tests'!C4</f>
        <v>313301</v>
      </c>
      <c r="E5" s="20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</row>
    <row r="6" spans="2:22" x14ac:dyDescent="0.25">
      <c r="B6" s="28"/>
      <c r="C6" s="29" t="s">
        <v>55</v>
      </c>
      <c r="D6" s="256" t="str">
        <f>'CO_Attainment for Unit Tests'!C5</f>
        <v>3rd SEM(CO3K SCHEME)</v>
      </c>
      <c r="E6" s="208"/>
      <c r="F6" s="28"/>
      <c r="G6" s="28"/>
      <c r="H6" s="28"/>
      <c r="I6" s="28"/>
      <c r="J6" s="28"/>
      <c r="K6" s="28"/>
      <c r="L6" s="28"/>
      <c r="M6" s="28"/>
      <c r="N6" s="28"/>
      <c r="O6" s="28"/>
      <c r="P6" s="28"/>
      <c r="Q6" s="28"/>
      <c r="R6" s="28"/>
      <c r="S6" s="28"/>
      <c r="T6" s="28"/>
      <c r="U6" s="28"/>
      <c r="V6" s="28"/>
    </row>
    <row r="7" spans="2:22" x14ac:dyDescent="0.25">
      <c r="B7" s="28"/>
      <c r="C7" s="29" t="s">
        <v>6</v>
      </c>
      <c r="D7" s="256" t="str">
        <f>'CO_Attainment for Unit Tests'!C6</f>
        <v>2024-25</v>
      </c>
      <c r="E7" s="208"/>
      <c r="F7" s="28"/>
      <c r="G7" s="28"/>
      <c r="H7" s="28"/>
      <c r="I7" s="28"/>
      <c r="J7" s="28"/>
      <c r="K7" s="28"/>
      <c r="L7" s="28"/>
      <c r="M7" s="28"/>
      <c r="N7" s="28"/>
      <c r="O7" s="28"/>
      <c r="P7" s="28"/>
      <c r="Q7" s="28"/>
      <c r="R7" s="28"/>
      <c r="S7" s="28"/>
      <c r="T7" s="28"/>
      <c r="U7" s="28"/>
      <c r="V7" s="28"/>
    </row>
    <row r="8" spans="2:22" x14ac:dyDescent="0.25">
      <c r="E8" s="9"/>
    </row>
    <row r="9" spans="2:22" ht="15.75" customHeight="1" x14ac:dyDescent="0.25">
      <c r="B9" s="257" t="s">
        <v>23</v>
      </c>
      <c r="C9" s="258" t="s">
        <v>57</v>
      </c>
      <c r="D9" s="219" t="s">
        <v>58</v>
      </c>
      <c r="E9" s="258" t="s">
        <v>152</v>
      </c>
    </row>
    <row r="10" spans="2:22" x14ac:dyDescent="0.25">
      <c r="B10" s="215"/>
      <c r="C10" s="215"/>
      <c r="D10" s="215"/>
      <c r="E10" s="215"/>
    </row>
    <row r="11" spans="2:22" x14ac:dyDescent="0.25">
      <c r="B11" s="215"/>
      <c r="C11" s="215"/>
      <c r="D11" s="215"/>
      <c r="E11" s="215"/>
    </row>
    <row r="12" spans="2:22" ht="27.75" customHeight="1" x14ac:dyDescent="0.25">
      <c r="B12" s="215"/>
      <c r="C12" s="215"/>
      <c r="D12" s="215"/>
      <c r="E12" s="216"/>
    </row>
    <row r="13" spans="2:22" x14ac:dyDescent="0.25">
      <c r="B13" s="216"/>
      <c r="C13" s="216"/>
      <c r="D13" s="216"/>
      <c r="E13" s="56">
        <v>70</v>
      </c>
    </row>
    <row r="14" spans="2:22" x14ac:dyDescent="0.25">
      <c r="B14" s="57">
        <v>1</v>
      </c>
      <c r="C14" s="57">
        <f>'CO_Attainment for Unit Tests'!B13</f>
        <v>23510250191</v>
      </c>
      <c r="D14" s="58" t="str">
        <f>'CO_Attainment for Unit Tests'!C13</f>
        <v> ADSUL SHASHWATI NITIN</v>
      </c>
      <c r="E14" s="59">
        <v>66</v>
      </c>
    </row>
    <row r="15" spans="2:22" ht="15" customHeight="1" x14ac:dyDescent="0.25">
      <c r="B15" s="57">
        <v>2</v>
      </c>
      <c r="C15" s="57">
        <f>'CO_Attainment for Unit Tests'!B14</f>
        <v>23510250192</v>
      </c>
      <c r="D15" s="58" t="str">
        <f>'CO_Attainment for Unit Tests'!C14</f>
        <v> AVISHKAR BABRUWAN BHISE</v>
      </c>
      <c r="E15" s="59">
        <v>53</v>
      </c>
    </row>
    <row r="16" spans="2:22" x14ac:dyDescent="0.25">
      <c r="B16" s="57">
        <v>3</v>
      </c>
      <c r="C16" s="57">
        <f>'CO_Attainment for Unit Tests'!B15</f>
        <v>23510250193</v>
      </c>
      <c r="D16" s="58" t="str">
        <f>'CO_Attainment for Unit Tests'!C15</f>
        <v> AWAD MAHESHWARI BHAU</v>
      </c>
      <c r="E16" s="59">
        <v>60</v>
      </c>
    </row>
    <row r="17" spans="2:5" x14ac:dyDescent="0.25">
      <c r="B17" s="57">
        <v>4</v>
      </c>
      <c r="C17" s="57">
        <f>'CO_Attainment for Unit Tests'!B16</f>
        <v>23510250194</v>
      </c>
      <c r="D17" s="58" t="str">
        <f>'CO_Attainment for Unit Tests'!C16</f>
        <v> BADVE SHARVANI DNYANESHWAR</v>
      </c>
      <c r="E17" s="59">
        <v>62</v>
      </c>
    </row>
    <row r="18" spans="2:5" x14ac:dyDescent="0.25">
      <c r="B18" s="57">
        <v>5</v>
      </c>
      <c r="C18" s="57">
        <f>'CO_Attainment for Unit Tests'!B17</f>
        <v>23510250195</v>
      </c>
      <c r="D18" s="58" t="str">
        <f>'CO_Attainment for Unit Tests'!C17</f>
        <v> BAGADE MANASI MUKUND</v>
      </c>
      <c r="E18" s="59">
        <v>64</v>
      </c>
    </row>
    <row r="19" spans="2:5" x14ac:dyDescent="0.25">
      <c r="B19" s="57">
        <v>6</v>
      </c>
      <c r="C19" s="57">
        <f>'CO_Attainment for Unit Tests'!B18</f>
        <v>23510250196</v>
      </c>
      <c r="D19" s="58" t="str">
        <f>'CO_Attainment for Unit Tests'!C18</f>
        <v> BARDE ARCHANA HANUMANT</v>
      </c>
      <c r="E19" s="59">
        <v>52</v>
      </c>
    </row>
    <row r="20" spans="2:5" x14ac:dyDescent="0.25">
      <c r="B20" s="57">
        <v>7</v>
      </c>
      <c r="C20" s="57">
        <f>'CO_Attainment for Unit Tests'!B19</f>
        <v>23510250197</v>
      </c>
      <c r="D20" s="58" t="str">
        <f>'CO_Attainment for Unit Tests'!C19</f>
        <v> BARMADE SHRADDHA SUDHAKAR</v>
      </c>
      <c r="E20" s="59">
        <v>56</v>
      </c>
    </row>
    <row r="21" spans="2:5" ht="15.75" customHeight="1" x14ac:dyDescent="0.25">
      <c r="B21" s="57">
        <v>8</v>
      </c>
      <c r="C21" s="57">
        <f>'CO_Attainment for Unit Tests'!B20</f>
        <v>23510250198</v>
      </c>
      <c r="D21" s="58" t="str">
        <f>'CO_Attainment for Unit Tests'!C20</f>
        <v> BEDKE ANKITA SHRIRAM</v>
      </c>
      <c r="E21" s="59">
        <v>65</v>
      </c>
    </row>
    <row r="22" spans="2:5" ht="15.75" customHeight="1" x14ac:dyDescent="0.25">
      <c r="B22" s="57">
        <v>9</v>
      </c>
      <c r="C22" s="57">
        <f>'CO_Attainment for Unit Tests'!B21</f>
        <v>23510250199</v>
      </c>
      <c r="D22" s="58" t="str">
        <f>'CO_Attainment for Unit Tests'!C21</f>
        <v> BHAD SHRAVANI UMAKANT</v>
      </c>
      <c r="E22" s="59">
        <v>53</v>
      </c>
    </row>
    <row r="23" spans="2:5" ht="15.75" customHeight="1" x14ac:dyDescent="0.25">
      <c r="B23" s="57">
        <v>10</v>
      </c>
      <c r="C23" s="57">
        <f>'CO_Attainment for Unit Tests'!B22</f>
        <v>23510250200</v>
      </c>
      <c r="D23" s="58" t="str">
        <f>'CO_Attainment for Unit Tests'!C22</f>
        <v> BHORE NIKITA SHANKAR</v>
      </c>
      <c r="E23" s="59">
        <v>38</v>
      </c>
    </row>
    <row r="24" spans="2:5" ht="15.75" customHeight="1" x14ac:dyDescent="0.25">
      <c r="B24" s="57">
        <v>11</v>
      </c>
      <c r="C24" s="57">
        <f>'CO_Attainment for Unit Tests'!B23</f>
        <v>23510250201</v>
      </c>
      <c r="D24" s="58" t="str">
        <f>'CO_Attainment for Unit Tests'!C23</f>
        <v> BHOSALE PRADNYA HARIDAS</v>
      </c>
      <c r="E24" s="59">
        <v>65</v>
      </c>
    </row>
    <row r="25" spans="2:5" ht="15.75" customHeight="1" x14ac:dyDescent="0.25">
      <c r="B25" s="57">
        <v>12</v>
      </c>
      <c r="C25" s="57">
        <f>'CO_Attainment for Unit Tests'!B24</f>
        <v>23510250202</v>
      </c>
      <c r="D25" s="58" t="str">
        <f>'CO_Attainment for Unit Tests'!C24</f>
        <v> BHOSALE TEJAS GAJANAN</v>
      </c>
      <c r="E25" s="59">
        <v>40</v>
      </c>
    </row>
    <row r="26" spans="2:5" ht="15.75" customHeight="1" x14ac:dyDescent="0.25">
      <c r="B26" s="57">
        <v>13</v>
      </c>
      <c r="C26" s="57">
        <f>'CO_Attainment for Unit Tests'!B25</f>
        <v>23510250203</v>
      </c>
      <c r="D26" s="58" t="str">
        <f>'CO_Attainment for Unit Tests'!C25</f>
        <v> BIRAJDAR PRASHANT PADMAKAR</v>
      </c>
      <c r="E26" s="59">
        <v>63</v>
      </c>
    </row>
    <row r="27" spans="2:5" ht="15.75" customHeight="1" x14ac:dyDescent="0.25">
      <c r="B27" s="57">
        <v>14</v>
      </c>
      <c r="C27" s="57">
        <f>'CO_Attainment for Unit Tests'!B26</f>
        <v>23510250204</v>
      </c>
      <c r="D27" s="58" t="str">
        <f>'CO_Attainment for Unit Tests'!C26</f>
        <v> CHANDANE SHRAVANI PRASHANT</v>
      </c>
      <c r="E27" s="59">
        <v>64</v>
      </c>
    </row>
    <row r="28" spans="2:5" ht="15" customHeight="1" x14ac:dyDescent="0.25">
      <c r="B28" s="57">
        <v>15</v>
      </c>
      <c r="C28" s="57">
        <f>'CO_Attainment for Unit Tests'!B27</f>
        <v>23510250205</v>
      </c>
      <c r="D28" s="58" t="str">
        <f>'CO_Attainment for Unit Tests'!C27</f>
        <v> CHAVAN NIKITA NARAYAN</v>
      </c>
      <c r="E28" s="59">
        <v>58</v>
      </c>
    </row>
    <row r="29" spans="2:5" ht="15.75" customHeight="1" x14ac:dyDescent="0.25">
      <c r="B29" s="57">
        <v>16</v>
      </c>
      <c r="C29" s="57">
        <f>'CO_Attainment for Unit Tests'!B28</f>
        <v>23510250206</v>
      </c>
      <c r="D29" s="58" t="str">
        <f>'CO_Attainment for Unit Tests'!C28</f>
        <v> DALVE SANSKRUTI AMOL</v>
      </c>
      <c r="E29" s="59">
        <v>50</v>
      </c>
    </row>
    <row r="30" spans="2:5" ht="15.75" customHeight="1" x14ac:dyDescent="0.25">
      <c r="B30" s="57">
        <v>17</v>
      </c>
      <c r="C30" s="57">
        <f>'CO_Attainment for Unit Tests'!B29</f>
        <v>23510250207</v>
      </c>
      <c r="D30" s="58" t="str">
        <f>'CO_Attainment for Unit Tests'!C29</f>
        <v> DANE SUSHANT VITTHAL</v>
      </c>
      <c r="E30" s="59">
        <v>58</v>
      </c>
    </row>
    <row r="31" spans="2:5" ht="15.75" customHeight="1" x14ac:dyDescent="0.25">
      <c r="B31" s="57">
        <v>18</v>
      </c>
      <c r="C31" s="57">
        <f>'CO_Attainment for Unit Tests'!B30</f>
        <v>23510250208</v>
      </c>
      <c r="D31" s="58" t="str">
        <f>'CO_Attainment for Unit Tests'!C30</f>
        <v> DEMGUNDE RAVIKIRAN DHONDIRAM</v>
      </c>
      <c r="E31" s="59">
        <v>62</v>
      </c>
    </row>
    <row r="32" spans="2:5" ht="15.75" customHeight="1" x14ac:dyDescent="0.25">
      <c r="B32" s="57">
        <v>19</v>
      </c>
      <c r="C32" s="57">
        <f>'CO_Attainment for Unit Tests'!B31</f>
        <v>23510250209</v>
      </c>
      <c r="D32" s="58" t="str">
        <f>'CO_Attainment for Unit Tests'!C31</f>
        <v> DHAGE ANUPAMA NAGESH</v>
      </c>
      <c r="E32" s="59">
        <v>64</v>
      </c>
    </row>
    <row r="33" spans="2:5" ht="15.75" customHeight="1" x14ac:dyDescent="0.25">
      <c r="B33" s="57">
        <v>20</v>
      </c>
      <c r="C33" s="57">
        <f>'CO_Attainment for Unit Tests'!B32</f>
        <v>23510250210</v>
      </c>
      <c r="D33" s="58" t="str">
        <f>'CO_Attainment for Unit Tests'!C32</f>
        <v> FULMALI SARTHAK SANTOSH</v>
      </c>
      <c r="E33" s="59">
        <v>51</v>
      </c>
    </row>
    <row r="34" spans="2:5" ht="15.75" customHeight="1" x14ac:dyDescent="0.25">
      <c r="B34" s="57">
        <v>21</v>
      </c>
      <c r="C34" s="57">
        <f>'CO_Attainment for Unit Tests'!B33</f>
        <v>23510250211</v>
      </c>
      <c r="D34" s="58" t="str">
        <f>'CO_Attainment for Unit Tests'!C33</f>
        <v> GADE PAYAL DHANRAJ</v>
      </c>
      <c r="E34" s="59">
        <v>35</v>
      </c>
    </row>
    <row r="35" spans="2:5" ht="15.75" customHeight="1" x14ac:dyDescent="0.25">
      <c r="B35" s="57">
        <v>22</v>
      </c>
      <c r="C35" s="57">
        <f>'CO_Attainment for Unit Tests'!B34</f>
        <v>23510250212</v>
      </c>
      <c r="D35" s="58" t="str">
        <f>'CO_Attainment for Unit Tests'!C34</f>
        <v> GAVALI MONIKA DNYANDEO</v>
      </c>
      <c r="E35" s="59">
        <v>52</v>
      </c>
    </row>
    <row r="36" spans="2:5" ht="15.75" customHeight="1" x14ac:dyDescent="0.25">
      <c r="B36" s="57">
        <v>23</v>
      </c>
      <c r="C36" s="57">
        <f>'CO_Attainment for Unit Tests'!B35</f>
        <v>23510250213</v>
      </c>
      <c r="D36" s="58" t="str">
        <f>'CO_Attainment for Unit Tests'!C35</f>
        <v> GURAV KRISHNA PRAMOD</v>
      </c>
      <c r="E36" s="59">
        <v>30</v>
      </c>
    </row>
    <row r="37" spans="2:5" ht="15.75" customHeight="1" x14ac:dyDescent="0.25">
      <c r="B37" s="57">
        <v>24</v>
      </c>
      <c r="C37" s="57">
        <f>'CO_Attainment for Unit Tests'!B36</f>
        <v>23510250214</v>
      </c>
      <c r="D37" s="58" t="str">
        <f>'CO_Attainment for Unit Tests'!C36</f>
        <v> HAJARE AMAR AJIT</v>
      </c>
      <c r="E37" s="59">
        <v>50</v>
      </c>
    </row>
    <row r="38" spans="2:5" ht="15.75" customHeight="1" x14ac:dyDescent="0.25">
      <c r="B38" s="57">
        <v>25</v>
      </c>
      <c r="C38" s="57">
        <f>'CO_Attainment for Unit Tests'!B37</f>
        <v>23510250215</v>
      </c>
      <c r="D38" s="58" t="str">
        <f>'CO_Attainment for Unit Tests'!C37</f>
        <v> ISAKE PRATIKSHA MAHESH</v>
      </c>
      <c r="E38" s="59">
        <v>64</v>
      </c>
    </row>
    <row r="39" spans="2:5" ht="15.75" customHeight="1" x14ac:dyDescent="0.25">
      <c r="B39" s="57">
        <v>26</v>
      </c>
      <c r="C39" s="57">
        <f>'CO_Attainment for Unit Tests'!B38</f>
        <v>23510250216</v>
      </c>
      <c r="D39" s="58" t="str">
        <f>'CO_Attainment for Unit Tests'!C38</f>
        <v> JAGTAP SHREYA SHRIRANG</v>
      </c>
      <c r="E39" s="59">
        <v>52</v>
      </c>
    </row>
    <row r="40" spans="2:5" ht="15.75" customHeight="1" x14ac:dyDescent="0.25">
      <c r="B40" s="57">
        <v>27</v>
      </c>
      <c r="C40" s="57">
        <f>'CO_Attainment for Unit Tests'!B39</f>
        <v>23510250217</v>
      </c>
      <c r="D40" s="58" t="str">
        <f>'CO_Attainment for Unit Tests'!C39</f>
        <v> JOSHI TANUJA GUNDERAO</v>
      </c>
      <c r="E40" s="59">
        <v>68</v>
      </c>
    </row>
    <row r="41" spans="2:5" ht="15.75" customHeight="1" x14ac:dyDescent="0.25">
      <c r="B41" s="57">
        <v>28</v>
      </c>
      <c r="C41" s="57">
        <f>'CO_Attainment for Unit Tests'!B40</f>
        <v>23510250218</v>
      </c>
      <c r="D41" s="58" t="str">
        <f>'CO_Attainment for Unit Tests'!C40</f>
        <v> KALE PRACHI KISHOR</v>
      </c>
      <c r="E41" s="59">
        <v>58</v>
      </c>
    </row>
    <row r="42" spans="2:5" ht="15.75" customHeight="1" x14ac:dyDescent="0.25">
      <c r="B42" s="57">
        <v>29</v>
      </c>
      <c r="C42" s="57">
        <f>'CO_Attainment for Unit Tests'!B41</f>
        <v>23510250219</v>
      </c>
      <c r="D42" s="58" t="str">
        <f>'CO_Attainment for Unit Tests'!C41</f>
        <v> KALE VAISHNAVI DHANRAJ</v>
      </c>
      <c r="E42" s="59">
        <v>58</v>
      </c>
    </row>
    <row r="43" spans="2:5" ht="15.75" customHeight="1" x14ac:dyDescent="0.25">
      <c r="B43" s="57">
        <v>30</v>
      </c>
      <c r="C43" s="57">
        <f>'CO_Attainment for Unit Tests'!B42</f>
        <v>23510250220</v>
      </c>
      <c r="D43" s="58" t="str">
        <f>'CO_Attainment for Unit Tests'!C42</f>
        <v> KAMBLE DIVYA VIJAY</v>
      </c>
      <c r="E43" s="59">
        <v>51</v>
      </c>
    </row>
    <row r="44" spans="2:5" ht="15.75" customHeight="1" x14ac:dyDescent="0.25">
      <c r="B44" s="57">
        <v>31</v>
      </c>
      <c r="C44" s="57">
        <f>'CO_Attainment for Unit Tests'!B43</f>
        <v>23510250221</v>
      </c>
      <c r="D44" s="58" t="str">
        <f>'CO_Attainment for Unit Tests'!C43</f>
        <v> KAMBLE SONAM VILAS</v>
      </c>
      <c r="E44" s="59">
        <v>52</v>
      </c>
    </row>
    <row r="45" spans="2:5" ht="15.75" customHeight="1" x14ac:dyDescent="0.25">
      <c r="B45" s="57">
        <v>32</v>
      </c>
      <c r="C45" s="57">
        <f>'CO_Attainment for Unit Tests'!B44</f>
        <v>23510250222</v>
      </c>
      <c r="D45" s="58" t="str">
        <f>'CO_Attainment for Unit Tests'!C44</f>
        <v> KENDRE MAYURI TUKARAM</v>
      </c>
      <c r="E45" s="59">
        <v>61</v>
      </c>
    </row>
    <row r="46" spans="2:5" ht="15" customHeight="1" x14ac:dyDescent="0.25">
      <c r="B46" s="57">
        <v>33</v>
      </c>
      <c r="C46" s="57">
        <f>'CO_Attainment for Unit Tests'!B45</f>
        <v>23510250223</v>
      </c>
      <c r="D46" s="58" t="str">
        <f>'CO_Attainment for Unit Tests'!C45</f>
        <v> KHANDAGALE SUHANI VIKRAM</v>
      </c>
      <c r="E46" s="59">
        <v>54</v>
      </c>
    </row>
    <row r="47" spans="2:5" ht="15.75" customHeight="1" x14ac:dyDescent="0.25">
      <c r="B47" s="57">
        <v>34</v>
      </c>
      <c r="C47" s="57">
        <f>'CO_Attainment for Unit Tests'!B46</f>
        <v>23510250224</v>
      </c>
      <c r="D47" s="58" t="str">
        <f>'CO_Attainment for Unit Tests'!C46</f>
        <v> KHUNE PRIYANKA PRAMOD</v>
      </c>
      <c r="E47" s="59">
        <v>56</v>
      </c>
    </row>
    <row r="48" spans="2:5" ht="15.75" customHeight="1" x14ac:dyDescent="0.25">
      <c r="B48" s="57">
        <v>35</v>
      </c>
      <c r="C48" s="57">
        <f>'CO_Attainment for Unit Tests'!B47</f>
        <v>23510250225</v>
      </c>
      <c r="D48" s="58" t="str">
        <f>'CO_Attainment for Unit Tests'!C47</f>
        <v> KSHIRSAGAR ISHWARI DATTATRAYA</v>
      </c>
      <c r="E48" s="59">
        <v>62</v>
      </c>
    </row>
    <row r="49" spans="2:5" ht="15.75" customHeight="1" x14ac:dyDescent="0.25">
      <c r="B49" s="57">
        <v>36</v>
      </c>
      <c r="C49" s="57">
        <f>'CO_Attainment for Unit Tests'!B48</f>
        <v>23510250226</v>
      </c>
      <c r="D49" s="58" t="str">
        <f>'CO_Attainment for Unit Tests'!C48</f>
        <v> LONDHE PRAMILA CHHATRAGUN</v>
      </c>
      <c r="E49" s="59">
        <v>56</v>
      </c>
    </row>
    <row r="50" spans="2:5" ht="15.75" customHeight="1" x14ac:dyDescent="0.25">
      <c r="B50" s="57">
        <v>37</v>
      </c>
      <c r="C50" s="57">
        <f>'CO_Attainment for Unit Tests'!B49</f>
        <v>23510250227</v>
      </c>
      <c r="D50" s="58" t="str">
        <f>'CO_Attainment for Unit Tests'!C49</f>
        <v> MALI KARAN ASHOK</v>
      </c>
      <c r="E50" s="59">
        <v>65</v>
      </c>
    </row>
    <row r="51" spans="2:5" ht="15.75" customHeight="1" x14ac:dyDescent="0.25">
      <c r="B51" s="57">
        <v>38</v>
      </c>
      <c r="C51" s="57">
        <f>'CO_Attainment for Unit Tests'!B50</f>
        <v>23510250228</v>
      </c>
      <c r="D51" s="58" t="str">
        <f>'CO_Attainment for Unit Tests'!C50</f>
        <v> MENDHEKAR PRITI GOROBA</v>
      </c>
      <c r="E51" s="59">
        <v>60</v>
      </c>
    </row>
    <row r="52" spans="2:5" ht="15.75" customHeight="1" x14ac:dyDescent="0.25">
      <c r="B52" s="57">
        <v>39</v>
      </c>
      <c r="C52" s="57">
        <f>'CO_Attainment for Unit Tests'!B51</f>
        <v>23510250231</v>
      </c>
      <c r="D52" s="58" t="str">
        <f>'CO_Attainment for Unit Tests'!C51</f>
        <v> NAWALE SACHIN MANESH</v>
      </c>
      <c r="E52" s="59">
        <v>27</v>
      </c>
    </row>
    <row r="53" spans="2:5" ht="15.75" customHeight="1" x14ac:dyDescent="0.25">
      <c r="B53" s="57">
        <v>40</v>
      </c>
      <c r="C53" s="57">
        <f>'CO_Attainment for Unit Tests'!B52</f>
        <v>23510250232</v>
      </c>
      <c r="D53" s="58" t="str">
        <f>'CO_Attainment for Unit Tests'!C52</f>
        <v> NIKAM KRANTI SANTOSH</v>
      </c>
      <c r="E53" s="59">
        <v>45</v>
      </c>
    </row>
    <row r="54" spans="2:5" ht="15.75" customHeight="1" x14ac:dyDescent="0.25">
      <c r="B54" s="57">
        <v>41</v>
      </c>
      <c r="C54" s="57">
        <f>'CO_Attainment for Unit Tests'!B53</f>
        <v>23510250233</v>
      </c>
      <c r="D54" s="58" t="str">
        <f>'CO_Attainment for Unit Tests'!C53</f>
        <v> NIMBALKAR ASMITA BHUJANG</v>
      </c>
      <c r="E54" s="59">
        <v>65</v>
      </c>
    </row>
    <row r="55" spans="2:5" ht="15.75" customHeight="1" x14ac:dyDescent="0.25">
      <c r="B55" s="57">
        <v>42</v>
      </c>
      <c r="C55" s="57">
        <f>'CO_Attainment for Unit Tests'!B54</f>
        <v>23510250234</v>
      </c>
      <c r="D55" s="58" t="str">
        <f>'CO_Attainment for Unit Tests'!C54</f>
        <v> PANCHAL GAYATRI DNYANESHWAR</v>
      </c>
      <c r="E55" s="59">
        <v>55</v>
      </c>
    </row>
    <row r="56" spans="2:5" ht="15.75" customHeight="1" x14ac:dyDescent="0.25">
      <c r="B56" s="57">
        <v>43</v>
      </c>
      <c r="C56" s="57">
        <f>'CO_Attainment for Unit Tests'!B55</f>
        <v>23510250235</v>
      </c>
      <c r="D56" s="58" t="str">
        <f>'CO_Attainment for Unit Tests'!C55</f>
        <v> PATHAN ADIBA FIRDOS AMJAD KHAN</v>
      </c>
      <c r="E56" s="59">
        <v>60</v>
      </c>
    </row>
    <row r="57" spans="2:5" ht="15.75" customHeight="1" x14ac:dyDescent="0.25">
      <c r="B57" s="57">
        <v>44</v>
      </c>
      <c r="C57" s="57">
        <f>'CO_Attainment for Unit Tests'!B56</f>
        <v>23510250236</v>
      </c>
      <c r="D57" s="58" t="str">
        <f>'CO_Attainment for Unit Tests'!C56</f>
        <v> PATIL AMRUTA SURESH</v>
      </c>
      <c r="E57" s="59">
        <v>56</v>
      </c>
    </row>
    <row r="58" spans="2:5" ht="15.75" customHeight="1" x14ac:dyDescent="0.25">
      <c r="B58" s="57">
        <v>45</v>
      </c>
      <c r="C58" s="57">
        <f>'CO_Attainment for Unit Tests'!B57</f>
        <v>23510250237</v>
      </c>
      <c r="D58" s="58" t="str">
        <f>'CO_Attainment for Unit Tests'!C57</f>
        <v> PATIL DNYANESHWARI SUBHASH</v>
      </c>
      <c r="E58" s="59">
        <v>63</v>
      </c>
    </row>
    <row r="59" spans="2:5" ht="15" customHeight="1" x14ac:dyDescent="0.25">
      <c r="B59" s="57">
        <v>46</v>
      </c>
      <c r="C59" s="57">
        <f>'CO_Attainment for Unit Tests'!B58</f>
        <v>23510250238</v>
      </c>
      <c r="D59" s="58" t="str">
        <f>'CO_Attainment for Unit Tests'!C58</f>
        <v> PAWAR ARYA RAJENDRA</v>
      </c>
      <c r="E59" s="59">
        <v>62</v>
      </c>
    </row>
    <row r="60" spans="2:5" ht="15.75" customHeight="1" x14ac:dyDescent="0.25">
      <c r="B60" s="57">
        <v>47</v>
      </c>
      <c r="C60" s="57">
        <f>'CO_Attainment for Unit Tests'!B59</f>
        <v>23510250239</v>
      </c>
      <c r="D60" s="58" t="str">
        <f>'CO_Attainment for Unit Tests'!C59</f>
        <v> PAWAR SARIKA PANDURANG</v>
      </c>
      <c r="E60" s="59">
        <v>61</v>
      </c>
    </row>
    <row r="61" spans="2:5" ht="15.75" customHeight="1" x14ac:dyDescent="0.25">
      <c r="B61" s="57">
        <v>48</v>
      </c>
      <c r="C61" s="57">
        <f>'CO_Attainment for Unit Tests'!B60</f>
        <v>23510250240</v>
      </c>
      <c r="D61" s="58" t="str">
        <f>'CO_Attainment for Unit Tests'!C60</f>
        <v> PAWAR VAIBHAVI LAXMAN</v>
      </c>
      <c r="E61" s="59">
        <v>65</v>
      </c>
    </row>
    <row r="62" spans="2:5" ht="15.75" customHeight="1" x14ac:dyDescent="0.25">
      <c r="B62" s="57">
        <v>49</v>
      </c>
      <c r="C62" s="57">
        <f>'CO_Attainment for Unit Tests'!B61</f>
        <v>23510250241</v>
      </c>
      <c r="D62" s="58" t="str">
        <f>'CO_Attainment for Unit Tests'!C61</f>
        <v> PICHRUTE GAYATRI AMBADAS</v>
      </c>
      <c r="E62" s="59">
        <v>56</v>
      </c>
    </row>
    <row r="63" spans="2:5" ht="15.75" customHeight="1" x14ac:dyDescent="0.25">
      <c r="B63" s="57">
        <v>50</v>
      </c>
      <c r="C63" s="57">
        <f>'CO_Attainment for Unit Tests'!B62</f>
        <v>23510250242</v>
      </c>
      <c r="D63" s="58" t="str">
        <f>'CO_Attainment for Unit Tests'!C62</f>
        <v> PIRJADE AFREEN UBEDULLA</v>
      </c>
      <c r="E63" s="59">
        <v>62</v>
      </c>
    </row>
    <row r="64" spans="2:5" ht="15.75" customHeight="1" x14ac:dyDescent="0.25">
      <c r="B64" s="57">
        <v>51</v>
      </c>
      <c r="C64" s="57">
        <f>'CO_Attainment for Unit Tests'!B63</f>
        <v>23510250243</v>
      </c>
      <c r="D64" s="58" t="str">
        <f>'CO_Attainment for Unit Tests'!C63</f>
        <v> PURI ABHAY LAXMAN</v>
      </c>
      <c r="E64" s="59">
        <v>17</v>
      </c>
    </row>
    <row r="65" spans="2:5" ht="15.75" customHeight="1" x14ac:dyDescent="0.25">
      <c r="B65" s="57">
        <v>52</v>
      </c>
      <c r="C65" s="57">
        <f>'CO_Attainment for Unit Tests'!B64</f>
        <v>23510250244</v>
      </c>
      <c r="D65" s="58" t="str">
        <f>'CO_Attainment for Unit Tests'!C64</f>
        <v> RAJPUT BHIMSING UMRAOSING</v>
      </c>
      <c r="E65" s="59">
        <v>63</v>
      </c>
    </row>
    <row r="66" spans="2:5" ht="15.75" customHeight="1" x14ac:dyDescent="0.25">
      <c r="B66" s="57">
        <v>53</v>
      </c>
      <c r="C66" s="57">
        <f>'CO_Attainment for Unit Tests'!B65</f>
        <v>23510250246</v>
      </c>
      <c r="D66" s="58" t="str">
        <f>'CO_Attainment for Unit Tests'!C65</f>
        <v> SAKHARKAR SHRAVANI HARI</v>
      </c>
      <c r="E66" s="59">
        <v>59</v>
      </c>
    </row>
    <row r="67" spans="2:5" ht="15.75" customHeight="1" x14ac:dyDescent="0.25">
      <c r="B67" s="57">
        <v>54</v>
      </c>
      <c r="C67" s="57">
        <f>'CO_Attainment for Unit Tests'!B66</f>
        <v>23510250247</v>
      </c>
      <c r="D67" s="58" t="str">
        <f>'CO_Attainment for Unit Tests'!C66</f>
        <v> SHINDALKAR ANIKET SHESHERAO</v>
      </c>
      <c r="E67" s="59">
        <v>64</v>
      </c>
    </row>
    <row r="68" spans="2:5" ht="15.75" customHeight="1" x14ac:dyDescent="0.25">
      <c r="B68" s="57">
        <v>55</v>
      </c>
      <c r="C68" s="57">
        <f>'CO_Attainment for Unit Tests'!B67</f>
        <v>23510250248</v>
      </c>
      <c r="D68" s="58" t="str">
        <f>'CO_Attainment for Unit Tests'!C67</f>
        <v> SHINDE DIPIKA DATTATRAY</v>
      </c>
      <c r="E68" s="59">
        <v>62</v>
      </c>
    </row>
    <row r="69" spans="2:5" ht="15.75" customHeight="1" x14ac:dyDescent="0.25">
      <c r="B69" s="57">
        <v>56</v>
      </c>
      <c r="C69" s="57">
        <f>'CO_Attainment for Unit Tests'!B68</f>
        <v>23510250249</v>
      </c>
      <c r="D69" s="58" t="str">
        <f>'CO_Attainment for Unit Tests'!C68</f>
        <v> SHINDE ROHAN RAJENDRA</v>
      </c>
      <c r="E69" s="59">
        <v>61</v>
      </c>
    </row>
    <row r="70" spans="2:5" ht="15.75" customHeight="1" x14ac:dyDescent="0.25">
      <c r="B70" s="57">
        <v>57</v>
      </c>
      <c r="C70" s="57">
        <f>'CO_Attainment for Unit Tests'!B69</f>
        <v>23510250250</v>
      </c>
      <c r="D70" s="58" t="str">
        <f>'CO_Attainment for Unit Tests'!C69</f>
        <v> SHINDE SHIVAM SANDEEP</v>
      </c>
      <c r="E70" s="59">
        <v>59</v>
      </c>
    </row>
    <row r="71" spans="2:5" ht="15.75" customHeight="1" x14ac:dyDescent="0.25">
      <c r="B71" s="57">
        <v>58</v>
      </c>
      <c r="C71" s="57">
        <f>'CO_Attainment for Unit Tests'!B70</f>
        <v>23510250251</v>
      </c>
      <c r="D71" s="58" t="str">
        <f>'CO_Attainment for Unit Tests'!C70</f>
        <v> SHINDE YASHRAJ YUVRAJ</v>
      </c>
      <c r="E71" s="59">
        <v>58</v>
      </c>
    </row>
    <row r="72" spans="2:5" ht="15.75" customHeight="1" x14ac:dyDescent="0.25">
      <c r="B72" s="57">
        <v>59</v>
      </c>
      <c r="C72" s="57">
        <f>'CO_Attainment for Unit Tests'!B71</f>
        <v>23510250252</v>
      </c>
      <c r="D72" s="58" t="str">
        <f>'CO_Attainment for Unit Tests'!C71</f>
        <v> SIRSAT ABHISHEK SHAHAJI</v>
      </c>
      <c r="E72" s="59">
        <v>55</v>
      </c>
    </row>
    <row r="73" spans="2:5" ht="15.75" customHeight="1" x14ac:dyDescent="0.25">
      <c r="B73" s="57">
        <v>60</v>
      </c>
      <c r="C73" s="57">
        <f>'CO_Attainment for Unit Tests'!B72</f>
        <v>23510250254</v>
      </c>
      <c r="D73" s="58" t="str">
        <f>'CO_Attainment for Unit Tests'!C72</f>
        <v> UMBARDAND SHIVLILA BABASAHEB</v>
      </c>
      <c r="E73" s="59">
        <v>63</v>
      </c>
    </row>
    <row r="74" spans="2:5" ht="15.75" customHeight="1" x14ac:dyDescent="0.25">
      <c r="B74" s="57">
        <v>61</v>
      </c>
      <c r="C74" s="57">
        <f>'CO_Attainment for Unit Tests'!B73</f>
        <v>23510250255</v>
      </c>
      <c r="D74" s="58" t="str">
        <f>'CO_Attainment for Unit Tests'!C73</f>
        <v> VARE ANJALI RAMDAS</v>
      </c>
      <c r="E74" s="59">
        <v>59</v>
      </c>
    </row>
    <row r="75" spans="2:5" ht="15.75" customHeight="1" x14ac:dyDescent="0.25">
      <c r="B75" s="57">
        <v>62</v>
      </c>
      <c r="C75" s="57">
        <f>'CO_Attainment for Unit Tests'!B74</f>
        <v>23510250257</v>
      </c>
      <c r="D75" s="58" t="str">
        <f>'CO_Attainment for Unit Tests'!C74</f>
        <v> WAGHMARE PALLAVI DNYANESHWAR</v>
      </c>
      <c r="E75" s="59">
        <v>53</v>
      </c>
    </row>
    <row r="76" spans="2:5" ht="15.75" customHeight="1" x14ac:dyDescent="0.25">
      <c r="B76" s="57">
        <v>63</v>
      </c>
      <c r="C76" s="57">
        <f>'CO_Attainment for Unit Tests'!B75</f>
        <v>23510250524</v>
      </c>
      <c r="D76" s="58" t="str">
        <f>'CO_Attainment for Unit Tests'!C75</f>
        <v>Gavasane Vedant Amol</v>
      </c>
      <c r="E76" s="59">
        <v>65</v>
      </c>
    </row>
    <row r="77" spans="2:5" ht="15.75" customHeight="1" x14ac:dyDescent="0.25">
      <c r="B77" s="57">
        <v>64</v>
      </c>
      <c r="C77" s="57">
        <f>'CO_Attainment for Unit Tests'!B76</f>
        <v>24510250260</v>
      </c>
      <c r="D77" s="58" t="str">
        <f>'CO_Attainment for Unit Tests'!C76</f>
        <v>HAJARE SWAPNALI SUJIT</v>
      </c>
      <c r="E77" s="59">
        <v>56</v>
      </c>
    </row>
    <row r="78" spans="2:5" ht="15.75" customHeight="1" x14ac:dyDescent="0.25">
      <c r="B78" s="57">
        <v>65</v>
      </c>
      <c r="C78" s="57">
        <f>'CO_Attainment for Unit Tests'!B77</f>
        <v>24510250261</v>
      </c>
      <c r="D78" s="58" t="str">
        <f>'CO_Attainment for Unit Tests'!C77</f>
        <v>MUGALE AMAR RAM</v>
      </c>
      <c r="E78" s="59">
        <v>48</v>
      </c>
    </row>
    <row r="79" spans="2:5" ht="15.75" customHeight="1" x14ac:dyDescent="0.25">
      <c r="B79" s="57">
        <v>66</v>
      </c>
      <c r="C79" s="57">
        <f>'CO_Attainment for Unit Tests'!B78</f>
        <v>24510250262</v>
      </c>
      <c r="D79" s="58" t="str">
        <f>'CO_Attainment for Unit Tests'!C78</f>
        <v>PAWAR ASHWASANDHYA NANDAKUMAR</v>
      </c>
      <c r="E79" s="59">
        <v>47</v>
      </c>
    </row>
    <row r="80" spans="2:5" ht="15.75" customHeight="1" x14ac:dyDescent="0.25">
      <c r="B80" s="57">
        <v>67</v>
      </c>
      <c r="C80" s="57">
        <f>'CO_Attainment for Unit Tests'!B79</f>
        <v>24510250263</v>
      </c>
      <c r="D80" s="58" t="str">
        <f>'CO_Attainment for Unit Tests'!C79</f>
        <v>PAWAR ASHWASHRADHA DHANAJI</v>
      </c>
      <c r="E80" s="59">
        <v>63</v>
      </c>
    </row>
    <row r="81" spans="2:5" ht="15.75" customHeight="1" x14ac:dyDescent="0.25">
      <c r="B81" s="57">
        <v>68</v>
      </c>
      <c r="C81" s="57">
        <f>'CO_Attainment for Unit Tests'!B80</f>
        <v>24510250264</v>
      </c>
      <c r="D81" s="58" t="str">
        <f>'CO_Attainment for Unit Tests'!C80</f>
        <v>SUTAR PRIYA BHAGVANT</v>
      </c>
      <c r="E81" s="59">
        <v>59</v>
      </c>
    </row>
    <row r="82" spans="2:5" ht="15.75" customHeight="1" x14ac:dyDescent="0.25">
      <c r="B82" s="57">
        <v>69</v>
      </c>
      <c r="C82" s="57">
        <f>'CO_Attainment for Unit Tests'!B81</f>
        <v>24510250265</v>
      </c>
      <c r="D82" s="58" t="str">
        <f>'CO_Attainment for Unit Tests'!C81</f>
        <v>SUTAR YOGESH EKNATH</v>
      </c>
      <c r="E82" s="59">
        <v>50</v>
      </c>
    </row>
    <row r="83" spans="2:5" ht="15.75" customHeight="1" x14ac:dyDescent="0.25">
      <c r="B83" s="57">
        <v>70</v>
      </c>
      <c r="C83" s="57">
        <f>'CO_Attainment for Unit Tests'!B82</f>
        <v>24510250266</v>
      </c>
      <c r="D83" s="58" t="str">
        <f>'CO_Attainment for Unit Tests'!C82</f>
        <v>WAWALKAR ANJALI ANIL</v>
      </c>
      <c r="E83" s="59">
        <v>39</v>
      </c>
    </row>
    <row r="84" spans="2:5" ht="15.75" customHeight="1" x14ac:dyDescent="0.25">
      <c r="B84" s="57">
        <v>71</v>
      </c>
      <c r="C84" s="57">
        <f>'CO_Attainment for Unit Tests'!B83</f>
        <v>0</v>
      </c>
      <c r="D84" s="58">
        <f>'CO_Attainment for Unit Tests'!C83</f>
        <v>0</v>
      </c>
      <c r="E84" s="40"/>
    </row>
    <row r="85" spans="2:5" ht="15.75" customHeight="1" x14ac:dyDescent="0.25">
      <c r="B85" s="57">
        <v>72</v>
      </c>
      <c r="C85" s="57">
        <f>'CO_Attainment for Unit Tests'!B84</f>
        <v>0</v>
      </c>
      <c r="D85" s="58">
        <f>'CO_Attainment for Unit Tests'!C84</f>
        <v>0</v>
      </c>
      <c r="E85" s="40"/>
    </row>
    <row r="86" spans="2:5" ht="15.75" customHeight="1" x14ac:dyDescent="0.25">
      <c r="B86" s="57">
        <v>73</v>
      </c>
      <c r="C86" s="57">
        <f>'CO_Attainment for Unit Tests'!B85</f>
        <v>0</v>
      </c>
      <c r="D86" s="58">
        <f>'CO_Attainment for Unit Tests'!C85</f>
        <v>0</v>
      </c>
      <c r="E86" s="40"/>
    </row>
    <row r="87" spans="2:5" ht="15.75" customHeight="1" x14ac:dyDescent="0.25">
      <c r="B87" s="57">
        <v>74</v>
      </c>
      <c r="C87" s="57">
        <f>'CO_Attainment for Unit Tests'!B86</f>
        <v>0</v>
      </c>
      <c r="D87" s="58">
        <f>'CO_Attainment for Unit Tests'!C86</f>
        <v>0</v>
      </c>
      <c r="E87" s="40"/>
    </row>
    <row r="88" spans="2:5" ht="15" customHeight="1" x14ac:dyDescent="0.25">
      <c r="B88" s="57">
        <v>75</v>
      </c>
      <c r="C88" s="57">
        <f>'CO_Attainment for Unit Tests'!B87</f>
        <v>0</v>
      </c>
      <c r="D88" s="58">
        <f>'CO_Attainment for Unit Tests'!C87</f>
        <v>0</v>
      </c>
      <c r="E88" s="40"/>
    </row>
    <row r="89" spans="2:5" ht="15.75" customHeight="1" x14ac:dyDescent="0.25">
      <c r="B89" s="57">
        <v>76</v>
      </c>
      <c r="C89" s="57">
        <f>'CO_Attainment for Unit Tests'!B88</f>
        <v>0</v>
      </c>
      <c r="D89" s="58">
        <f>'CO_Attainment for Unit Tests'!C88</f>
        <v>0</v>
      </c>
      <c r="E89" s="40"/>
    </row>
    <row r="90" spans="2:5" ht="15.75" customHeight="1" x14ac:dyDescent="0.25">
      <c r="B90" s="57">
        <v>77</v>
      </c>
      <c r="C90" s="57">
        <f>'CO_Attainment for Unit Tests'!B89</f>
        <v>0</v>
      </c>
      <c r="D90" s="58">
        <f>'CO_Attainment for Unit Tests'!C89</f>
        <v>0</v>
      </c>
      <c r="E90" s="40"/>
    </row>
    <row r="91" spans="2:5" ht="15.75" customHeight="1" x14ac:dyDescent="0.25">
      <c r="B91" s="57">
        <v>78</v>
      </c>
      <c r="C91" s="57">
        <f>'CO_Attainment for Unit Tests'!B90</f>
        <v>0</v>
      </c>
      <c r="D91" s="58">
        <f>'CO_Attainment for Unit Tests'!C90</f>
        <v>0</v>
      </c>
      <c r="E91" s="40"/>
    </row>
    <row r="92" spans="2:5" ht="15.75" customHeight="1" x14ac:dyDescent="0.25">
      <c r="B92" s="57">
        <v>79</v>
      </c>
      <c r="C92" s="57">
        <f>'CO_Attainment for Unit Tests'!B91</f>
        <v>0</v>
      </c>
      <c r="D92" s="58">
        <f>'CO_Attainment for Unit Tests'!C91</f>
        <v>0</v>
      </c>
      <c r="E92" s="40"/>
    </row>
    <row r="93" spans="2:5" ht="15.75" customHeight="1" x14ac:dyDescent="0.25">
      <c r="B93" s="57">
        <v>80</v>
      </c>
      <c r="C93" s="57">
        <f>'CO_Attainment for Unit Tests'!B92</f>
        <v>0</v>
      </c>
      <c r="D93" s="58">
        <f>'CO_Attainment for Unit Tests'!C92</f>
        <v>0</v>
      </c>
      <c r="E93" s="40"/>
    </row>
    <row r="94" spans="2:5" ht="24.75" customHeight="1" x14ac:dyDescent="0.25">
      <c r="B94" s="57">
        <v>81</v>
      </c>
      <c r="C94" s="57">
        <f>'CO_Attainment for Unit Tests'!B93</f>
        <v>0</v>
      </c>
      <c r="D94" s="58">
        <f>'CO_Attainment for Unit Tests'!C93</f>
        <v>0</v>
      </c>
      <c r="E94" s="40"/>
    </row>
    <row r="95" spans="2:5" ht="15.75" customHeight="1" x14ac:dyDescent="0.25">
      <c r="B95" s="57">
        <v>82</v>
      </c>
      <c r="C95" s="57">
        <f>'CO_Attainment for Unit Tests'!B94</f>
        <v>0</v>
      </c>
      <c r="D95" s="58">
        <f>'CO_Attainment for Unit Tests'!C94</f>
        <v>0</v>
      </c>
      <c r="E95" s="40"/>
    </row>
    <row r="96" spans="2:5" ht="15.75" customHeight="1" x14ac:dyDescent="0.25">
      <c r="B96" s="57">
        <v>83</v>
      </c>
      <c r="C96" s="57">
        <f>'CO_Attainment for Unit Tests'!B95</f>
        <v>0</v>
      </c>
      <c r="D96" s="58">
        <f>'CO_Attainment for Unit Tests'!C95</f>
        <v>0</v>
      </c>
      <c r="E96" s="40"/>
    </row>
    <row r="97" spans="1:9" ht="33" customHeight="1" x14ac:dyDescent="0.25">
      <c r="B97" s="10"/>
      <c r="C97" s="10"/>
      <c r="D97" s="60" t="s">
        <v>153</v>
      </c>
      <c r="E97" s="265">
        <f>D98*E13/100</f>
        <v>32.878999999999998</v>
      </c>
    </row>
    <row r="98" spans="1:9" ht="15.75" customHeight="1" x14ac:dyDescent="0.25">
      <c r="D98" s="61">
        <v>46.97</v>
      </c>
      <c r="E98" s="212"/>
    </row>
    <row r="99" spans="1:9" ht="15" customHeight="1" x14ac:dyDescent="0.25">
      <c r="D99" s="62" t="s">
        <v>139</v>
      </c>
      <c r="E99" s="63">
        <f>COUNTIF(E14:E96,"&gt;=" &amp;E97)</f>
        <v>67</v>
      </c>
    </row>
    <row r="100" spans="1:9" ht="15.75" customHeight="1" x14ac:dyDescent="0.25">
      <c r="B100" s="10" t="s">
        <v>154</v>
      </c>
      <c r="D100" s="64"/>
      <c r="E100" s="65"/>
    </row>
    <row r="101" spans="1:9" ht="15.75" customHeight="1" x14ac:dyDescent="0.25">
      <c r="D101" s="64"/>
      <c r="E101" s="65"/>
    </row>
    <row r="102" spans="1:9" ht="15.75" customHeight="1" x14ac:dyDescent="0.25">
      <c r="E102" s="9"/>
    </row>
    <row r="103" spans="1:9" ht="33.75" customHeight="1" x14ac:dyDescent="0.25">
      <c r="A103" s="228" t="s">
        <v>140</v>
      </c>
      <c r="B103" s="197"/>
      <c r="C103" s="197"/>
      <c r="D103" s="198"/>
      <c r="E103" s="66" t="s">
        <v>141</v>
      </c>
      <c r="F103" s="43"/>
      <c r="G103" s="67" t="s">
        <v>142</v>
      </c>
      <c r="H103" s="68"/>
      <c r="I103" s="68"/>
    </row>
    <row r="104" spans="1:9" ht="15" customHeight="1" x14ac:dyDescent="0.25">
      <c r="A104" s="231" t="s">
        <v>143</v>
      </c>
      <c r="B104" s="69">
        <v>0.5</v>
      </c>
      <c r="C104" s="266" t="s">
        <v>155</v>
      </c>
      <c r="D104" s="267"/>
      <c r="E104" s="268">
        <f>COUNTA(D14:D96)-COUNTIFS(D14:D96,0)</f>
        <v>70</v>
      </c>
      <c r="F104" s="70">
        <f t="shared" ref="F104:F106" si="0">B104*$E$104</f>
        <v>35</v>
      </c>
      <c r="G104" s="71">
        <v>1</v>
      </c>
      <c r="H104" s="68"/>
      <c r="I104" s="68"/>
    </row>
    <row r="105" spans="1:9" ht="15.75" customHeight="1" x14ac:dyDescent="0.25">
      <c r="A105" s="232"/>
      <c r="B105" s="72">
        <v>0.6</v>
      </c>
      <c r="C105" s="259" t="s">
        <v>155</v>
      </c>
      <c r="D105" s="254"/>
      <c r="E105" s="211"/>
      <c r="F105" s="73">
        <f t="shared" si="0"/>
        <v>42</v>
      </c>
      <c r="G105" s="74">
        <v>2</v>
      </c>
      <c r="H105" s="68"/>
      <c r="I105" s="68"/>
    </row>
    <row r="106" spans="1:9" ht="15.75" customHeight="1" x14ac:dyDescent="0.25">
      <c r="A106" s="233"/>
      <c r="B106" s="75">
        <v>0.7</v>
      </c>
      <c r="C106" s="260" t="s">
        <v>156</v>
      </c>
      <c r="D106" s="226"/>
      <c r="E106" s="212"/>
      <c r="F106" s="76">
        <f t="shared" si="0"/>
        <v>49</v>
      </c>
      <c r="G106" s="77">
        <v>3</v>
      </c>
      <c r="H106" s="68"/>
      <c r="I106" s="68"/>
    </row>
    <row r="107" spans="1:9" ht="15.75" customHeight="1" x14ac:dyDescent="0.25">
      <c r="A107" s="68"/>
      <c r="B107" s="68"/>
      <c r="C107" s="68"/>
      <c r="D107" s="68"/>
      <c r="E107" s="78"/>
      <c r="F107" s="68"/>
      <c r="G107" s="68"/>
      <c r="H107" s="68"/>
      <c r="I107" s="68"/>
    </row>
    <row r="108" spans="1:9" ht="15.75" customHeight="1" x14ac:dyDescent="0.25">
      <c r="A108" s="68"/>
      <c r="B108" s="68"/>
      <c r="C108" s="68"/>
      <c r="D108" s="68"/>
      <c r="E108" s="78"/>
      <c r="F108" s="68"/>
      <c r="G108" s="68"/>
      <c r="H108" s="68"/>
      <c r="I108" s="68"/>
    </row>
    <row r="109" spans="1:9" ht="71.25" customHeight="1" x14ac:dyDescent="0.25">
      <c r="A109" s="261" t="s">
        <v>157</v>
      </c>
      <c r="B109" s="262"/>
      <c r="C109" s="51" t="s">
        <v>9</v>
      </c>
      <c r="D109" s="51" t="s">
        <v>11</v>
      </c>
      <c r="E109" s="51" t="s">
        <v>13</v>
      </c>
      <c r="F109" s="51" t="s">
        <v>15</v>
      </c>
      <c r="G109" s="51" t="s">
        <v>146</v>
      </c>
      <c r="H109" s="52" t="s">
        <v>147</v>
      </c>
      <c r="I109" s="68"/>
    </row>
    <row r="110" spans="1:9" ht="39" customHeight="1" x14ac:dyDescent="0.25">
      <c r="A110" s="263" t="s">
        <v>158</v>
      </c>
      <c r="B110" s="264"/>
      <c r="C110" s="54">
        <f>IF(E99&gt;=$F106,3,IF(E99&gt;=$F105,2,IF(E99&gt;=$F104,1,0)))</f>
        <v>3</v>
      </c>
      <c r="D110" s="54">
        <f t="shared" ref="D110:H110" si="1">$C110</f>
        <v>3</v>
      </c>
      <c r="E110" s="54">
        <f t="shared" si="1"/>
        <v>3</v>
      </c>
      <c r="F110" s="54">
        <f t="shared" si="1"/>
        <v>3</v>
      </c>
      <c r="G110" s="54">
        <f t="shared" si="1"/>
        <v>3</v>
      </c>
      <c r="H110" s="54">
        <f t="shared" si="1"/>
        <v>3</v>
      </c>
      <c r="I110" s="68"/>
    </row>
    <row r="111" spans="1:9" ht="15.75" customHeight="1" x14ac:dyDescent="0.25">
      <c r="A111" s="68" t="s">
        <v>159</v>
      </c>
      <c r="B111" s="68"/>
      <c r="C111" s="68"/>
      <c r="D111" s="68"/>
      <c r="E111" s="78"/>
      <c r="F111" s="68"/>
      <c r="G111" s="68"/>
      <c r="H111" s="68"/>
      <c r="I111" s="68"/>
    </row>
    <row r="112" spans="1:9" ht="15.75" customHeight="1" x14ac:dyDescent="0.25">
      <c r="A112" s="68"/>
      <c r="B112" s="68"/>
      <c r="C112" s="68"/>
      <c r="D112" s="68"/>
      <c r="E112" s="78"/>
      <c r="F112" s="68"/>
      <c r="G112" s="68"/>
      <c r="H112" s="68"/>
      <c r="I112" s="68"/>
    </row>
    <row r="113" spans="5:5" ht="15.75" customHeight="1" x14ac:dyDescent="0.25">
      <c r="E113" s="9"/>
    </row>
    <row r="114" spans="5:5" ht="15.75" customHeight="1" x14ac:dyDescent="0.25">
      <c r="E114" s="9"/>
    </row>
    <row r="115" spans="5:5" ht="15.75" customHeight="1" x14ac:dyDescent="0.25">
      <c r="E115" s="9"/>
    </row>
    <row r="116" spans="5:5" ht="15.75" customHeight="1" x14ac:dyDescent="0.25">
      <c r="E116" s="9"/>
    </row>
    <row r="117" spans="5:5" ht="15.75" customHeight="1" x14ac:dyDescent="0.25">
      <c r="E117" s="9"/>
    </row>
    <row r="118" spans="5:5" ht="15.75" customHeight="1" x14ac:dyDescent="0.25">
      <c r="E118" s="9"/>
    </row>
    <row r="119" spans="5:5" ht="15.75" customHeight="1" x14ac:dyDescent="0.25">
      <c r="E119" s="9"/>
    </row>
    <row r="120" spans="5:5" ht="15.75" customHeight="1" x14ac:dyDescent="0.25">
      <c r="E120" s="9"/>
    </row>
    <row r="121" spans="5:5" ht="15.75" customHeight="1" x14ac:dyDescent="0.25">
      <c r="E121" s="9"/>
    </row>
    <row r="122" spans="5:5" ht="15.75" customHeight="1" x14ac:dyDescent="0.25">
      <c r="E122" s="9"/>
    </row>
    <row r="123" spans="5:5" ht="15.75" customHeight="1" x14ac:dyDescent="0.25">
      <c r="E123" s="9"/>
    </row>
    <row r="124" spans="5:5" ht="15.75" customHeight="1" x14ac:dyDescent="0.25">
      <c r="E124" s="9"/>
    </row>
    <row r="125" spans="5:5" ht="15.75" customHeight="1" x14ac:dyDescent="0.25">
      <c r="E125" s="9"/>
    </row>
    <row r="126" spans="5:5" ht="15.75" customHeight="1" x14ac:dyDescent="0.25">
      <c r="E126" s="9"/>
    </row>
    <row r="127" spans="5:5" ht="15.75" customHeight="1" x14ac:dyDescent="0.25">
      <c r="E127" s="9"/>
    </row>
    <row r="128" spans="5:5" ht="15.75" customHeight="1" x14ac:dyDescent="0.25">
      <c r="E128" s="9"/>
    </row>
    <row r="129" spans="5:5" ht="15.75" customHeight="1" x14ac:dyDescent="0.25">
      <c r="E129" s="9"/>
    </row>
    <row r="130" spans="5:5" ht="15.75" customHeight="1" x14ac:dyDescent="0.25">
      <c r="E130" s="9"/>
    </row>
    <row r="131" spans="5:5" ht="15.75" customHeight="1" x14ac:dyDescent="0.25">
      <c r="E131" s="9"/>
    </row>
    <row r="132" spans="5:5" ht="15.75" customHeight="1" x14ac:dyDescent="0.25">
      <c r="E132" s="9"/>
    </row>
    <row r="133" spans="5:5" ht="15.75" customHeight="1" x14ac:dyDescent="0.25">
      <c r="E133" s="9"/>
    </row>
    <row r="134" spans="5:5" ht="15.75" customHeight="1" x14ac:dyDescent="0.25">
      <c r="E134" s="9"/>
    </row>
    <row r="135" spans="5:5" ht="15.75" customHeight="1" x14ac:dyDescent="0.25">
      <c r="E135" s="9"/>
    </row>
    <row r="136" spans="5:5" ht="15.75" customHeight="1" x14ac:dyDescent="0.25">
      <c r="E136" s="9"/>
    </row>
    <row r="137" spans="5:5" ht="15.75" customHeight="1" x14ac:dyDescent="0.25">
      <c r="E137" s="9"/>
    </row>
    <row r="138" spans="5:5" ht="15.75" customHeight="1" x14ac:dyDescent="0.25">
      <c r="E138" s="9"/>
    </row>
    <row r="139" spans="5:5" ht="15.75" customHeight="1" x14ac:dyDescent="0.25">
      <c r="E139" s="9"/>
    </row>
    <row r="140" spans="5:5" ht="15.75" customHeight="1" x14ac:dyDescent="0.25">
      <c r="E140" s="9"/>
    </row>
    <row r="141" spans="5:5" ht="15.75" customHeight="1" x14ac:dyDescent="0.25">
      <c r="E141" s="9"/>
    </row>
    <row r="142" spans="5:5" ht="15.75" customHeight="1" x14ac:dyDescent="0.25">
      <c r="E142" s="9"/>
    </row>
    <row r="143" spans="5:5" ht="15.75" customHeight="1" x14ac:dyDescent="0.25">
      <c r="E143" s="9"/>
    </row>
    <row r="144" spans="5:5" ht="15.75" customHeight="1" x14ac:dyDescent="0.25">
      <c r="E144" s="9"/>
    </row>
    <row r="145" spans="5:5" ht="15.75" customHeight="1" x14ac:dyDescent="0.25">
      <c r="E145" s="9"/>
    </row>
    <row r="146" spans="5:5" ht="15.75" customHeight="1" x14ac:dyDescent="0.25">
      <c r="E146" s="9"/>
    </row>
    <row r="147" spans="5:5" ht="15.75" customHeight="1" x14ac:dyDescent="0.25">
      <c r="E147" s="9"/>
    </row>
    <row r="148" spans="5:5" ht="15.75" customHeight="1" x14ac:dyDescent="0.25">
      <c r="E148" s="9"/>
    </row>
    <row r="149" spans="5:5" ht="15.75" customHeight="1" x14ac:dyDescent="0.25">
      <c r="E149" s="9"/>
    </row>
    <row r="150" spans="5:5" ht="15.75" customHeight="1" x14ac:dyDescent="0.25">
      <c r="E150" s="9"/>
    </row>
    <row r="151" spans="5:5" ht="15.75" customHeight="1" x14ac:dyDescent="0.25">
      <c r="E151" s="9"/>
    </row>
    <row r="152" spans="5:5" ht="15.75" customHeight="1" x14ac:dyDescent="0.25">
      <c r="E152" s="9"/>
    </row>
    <row r="153" spans="5:5" ht="15.75" customHeight="1" x14ac:dyDescent="0.25">
      <c r="E153" s="9"/>
    </row>
    <row r="154" spans="5:5" ht="15.75" customHeight="1" x14ac:dyDescent="0.25">
      <c r="E154" s="9"/>
    </row>
    <row r="155" spans="5:5" ht="15.75" customHeight="1" x14ac:dyDescent="0.25">
      <c r="E155" s="9"/>
    </row>
    <row r="156" spans="5:5" ht="15.75" customHeight="1" x14ac:dyDescent="0.25">
      <c r="E156" s="9"/>
    </row>
    <row r="157" spans="5:5" ht="15.75" customHeight="1" x14ac:dyDescent="0.25">
      <c r="E157" s="9"/>
    </row>
    <row r="158" spans="5:5" ht="15.75" customHeight="1" x14ac:dyDescent="0.25">
      <c r="E158" s="9"/>
    </row>
    <row r="159" spans="5:5" ht="15.75" customHeight="1" x14ac:dyDescent="0.25">
      <c r="E159" s="9"/>
    </row>
    <row r="160" spans="5:5" ht="15.75" customHeight="1" x14ac:dyDescent="0.25">
      <c r="E160" s="9"/>
    </row>
    <row r="161" spans="5:5" ht="15.75" customHeight="1" x14ac:dyDescent="0.25">
      <c r="E161" s="9"/>
    </row>
    <row r="162" spans="5:5" ht="15.75" customHeight="1" x14ac:dyDescent="0.25">
      <c r="E162" s="9"/>
    </row>
    <row r="163" spans="5:5" ht="15.75" customHeight="1" x14ac:dyDescent="0.25">
      <c r="E163" s="9"/>
    </row>
    <row r="164" spans="5:5" ht="15.75" customHeight="1" x14ac:dyDescent="0.25">
      <c r="E164" s="9"/>
    </row>
    <row r="165" spans="5:5" ht="15.75" customHeight="1" x14ac:dyDescent="0.25">
      <c r="E165" s="9"/>
    </row>
    <row r="166" spans="5:5" ht="15.75" customHeight="1" x14ac:dyDescent="0.25">
      <c r="E166" s="9"/>
    </row>
    <row r="167" spans="5:5" ht="15.75" customHeight="1" x14ac:dyDescent="0.25">
      <c r="E167" s="9"/>
    </row>
    <row r="168" spans="5:5" ht="15.75" customHeight="1" x14ac:dyDescent="0.25">
      <c r="E168" s="9"/>
    </row>
    <row r="169" spans="5:5" ht="15.75" customHeight="1" x14ac:dyDescent="0.25">
      <c r="E169" s="9"/>
    </row>
    <row r="170" spans="5:5" ht="15.75" customHeight="1" x14ac:dyDescent="0.25">
      <c r="E170" s="9"/>
    </row>
    <row r="171" spans="5:5" ht="15.75" customHeight="1" x14ac:dyDescent="0.25">
      <c r="E171" s="9"/>
    </row>
    <row r="172" spans="5:5" ht="15.75" customHeight="1" x14ac:dyDescent="0.25">
      <c r="E172" s="9"/>
    </row>
    <row r="173" spans="5:5" ht="15.75" customHeight="1" x14ac:dyDescent="0.25">
      <c r="E173" s="9"/>
    </row>
    <row r="174" spans="5:5" ht="15.75" customHeight="1" x14ac:dyDescent="0.25">
      <c r="E174" s="9"/>
    </row>
    <row r="175" spans="5:5" ht="15.75" customHeight="1" x14ac:dyDescent="0.25">
      <c r="E175" s="9"/>
    </row>
    <row r="176" spans="5:5" ht="15.75" customHeight="1" x14ac:dyDescent="0.25">
      <c r="E176" s="9"/>
    </row>
    <row r="177" spans="5:5" ht="15.75" customHeight="1" x14ac:dyDescent="0.25">
      <c r="E177" s="9"/>
    </row>
    <row r="178" spans="5:5" ht="15.75" customHeight="1" x14ac:dyDescent="0.25">
      <c r="E178" s="9"/>
    </row>
    <row r="179" spans="5:5" ht="15.75" customHeight="1" x14ac:dyDescent="0.25">
      <c r="E179" s="9"/>
    </row>
    <row r="180" spans="5:5" ht="15.75" customHeight="1" x14ac:dyDescent="0.25">
      <c r="E180" s="9"/>
    </row>
    <row r="181" spans="5:5" ht="15.75" customHeight="1" x14ac:dyDescent="0.25">
      <c r="E181" s="9"/>
    </row>
    <row r="182" spans="5:5" ht="15.75" customHeight="1" x14ac:dyDescent="0.25">
      <c r="E182" s="9"/>
    </row>
    <row r="183" spans="5:5" ht="15.75" customHeight="1" x14ac:dyDescent="0.25">
      <c r="E183" s="9"/>
    </row>
    <row r="184" spans="5:5" ht="15.75" customHeight="1" x14ac:dyDescent="0.25">
      <c r="E184" s="9"/>
    </row>
    <row r="185" spans="5:5" ht="15.75" customHeight="1" x14ac:dyDescent="0.25">
      <c r="E185" s="9"/>
    </row>
    <row r="186" spans="5:5" ht="15.75" customHeight="1" x14ac:dyDescent="0.25">
      <c r="E186" s="9"/>
    </row>
    <row r="187" spans="5:5" ht="15.75" customHeight="1" x14ac:dyDescent="0.25">
      <c r="E187" s="9"/>
    </row>
    <row r="188" spans="5:5" ht="15.75" customHeight="1" x14ac:dyDescent="0.25">
      <c r="E188" s="9"/>
    </row>
    <row r="189" spans="5:5" ht="15.75" customHeight="1" x14ac:dyDescent="0.25">
      <c r="E189" s="9"/>
    </row>
    <row r="190" spans="5:5" ht="15.75" customHeight="1" x14ac:dyDescent="0.25">
      <c r="E190" s="9"/>
    </row>
    <row r="191" spans="5:5" ht="15.75" customHeight="1" x14ac:dyDescent="0.25">
      <c r="E191" s="9"/>
    </row>
    <row r="192" spans="5:5" ht="15.75" customHeight="1" x14ac:dyDescent="0.25">
      <c r="E192" s="9"/>
    </row>
    <row r="193" spans="5:5" ht="15.75" customHeight="1" x14ac:dyDescent="0.25">
      <c r="E193" s="9"/>
    </row>
    <row r="194" spans="5:5" ht="15.75" customHeight="1" x14ac:dyDescent="0.25">
      <c r="E194" s="9"/>
    </row>
    <row r="195" spans="5:5" ht="15.75" customHeight="1" x14ac:dyDescent="0.25">
      <c r="E195" s="9"/>
    </row>
    <row r="196" spans="5:5" ht="15.75" customHeight="1" x14ac:dyDescent="0.25">
      <c r="E196" s="9"/>
    </row>
    <row r="197" spans="5:5" ht="15.75" customHeight="1" x14ac:dyDescent="0.25">
      <c r="E197" s="9"/>
    </row>
    <row r="198" spans="5:5" ht="15.75" customHeight="1" x14ac:dyDescent="0.25">
      <c r="E198" s="9"/>
    </row>
    <row r="199" spans="5:5" ht="15.75" customHeight="1" x14ac:dyDescent="0.25">
      <c r="E199" s="9"/>
    </row>
    <row r="200" spans="5:5" ht="15.75" customHeight="1" x14ac:dyDescent="0.25">
      <c r="E200" s="9"/>
    </row>
    <row r="201" spans="5:5" ht="15.75" customHeight="1" x14ac:dyDescent="0.25">
      <c r="E201" s="9"/>
    </row>
    <row r="202" spans="5:5" ht="15.75" customHeight="1" x14ac:dyDescent="0.25">
      <c r="E202" s="9"/>
    </row>
    <row r="203" spans="5:5" ht="15.75" customHeight="1" x14ac:dyDescent="0.25">
      <c r="E203" s="9"/>
    </row>
    <row r="204" spans="5:5" ht="15.75" customHeight="1" x14ac:dyDescent="0.25">
      <c r="E204" s="9"/>
    </row>
    <row r="205" spans="5:5" ht="15.75" customHeight="1" x14ac:dyDescent="0.25">
      <c r="E205" s="9"/>
    </row>
    <row r="206" spans="5:5" ht="15.75" customHeight="1" x14ac:dyDescent="0.25">
      <c r="E206" s="9"/>
    </row>
    <row r="207" spans="5:5" ht="15.75" customHeight="1" x14ac:dyDescent="0.25">
      <c r="E207" s="9"/>
    </row>
    <row r="208" spans="5:5" ht="15.75" customHeight="1" x14ac:dyDescent="0.25">
      <c r="E208" s="9"/>
    </row>
    <row r="209" spans="5:5" ht="15.75" customHeight="1" x14ac:dyDescent="0.25">
      <c r="E209" s="9"/>
    </row>
    <row r="210" spans="5:5" ht="15.75" customHeight="1" x14ac:dyDescent="0.25">
      <c r="E210" s="9"/>
    </row>
    <row r="211" spans="5:5" ht="15.75" customHeight="1" x14ac:dyDescent="0.25">
      <c r="E211" s="9"/>
    </row>
    <row r="212" spans="5:5" ht="15.75" customHeight="1" x14ac:dyDescent="0.25">
      <c r="E212" s="9"/>
    </row>
    <row r="213" spans="5:5" ht="15.75" customHeight="1" x14ac:dyDescent="0.25">
      <c r="E213" s="9"/>
    </row>
    <row r="214" spans="5:5" ht="15.75" customHeight="1" x14ac:dyDescent="0.25">
      <c r="E214" s="9"/>
    </row>
    <row r="215" spans="5:5" ht="15.75" customHeight="1" x14ac:dyDescent="0.25">
      <c r="E215" s="9"/>
    </row>
    <row r="216" spans="5:5" ht="15.75" customHeight="1" x14ac:dyDescent="0.25">
      <c r="E216" s="9"/>
    </row>
    <row r="217" spans="5:5" ht="15.75" customHeight="1" x14ac:dyDescent="0.25">
      <c r="E217" s="9"/>
    </row>
    <row r="218" spans="5:5" ht="15.75" customHeight="1" x14ac:dyDescent="0.25">
      <c r="E218" s="9"/>
    </row>
    <row r="219" spans="5:5" ht="15.75" customHeight="1" x14ac:dyDescent="0.25">
      <c r="E219" s="9"/>
    </row>
    <row r="220" spans="5:5" ht="15.75" customHeight="1" x14ac:dyDescent="0.25">
      <c r="E220" s="9"/>
    </row>
    <row r="221" spans="5:5" ht="15.75" customHeight="1" x14ac:dyDescent="0.25">
      <c r="E221" s="9"/>
    </row>
    <row r="222" spans="5:5" ht="15.75" customHeight="1" x14ac:dyDescent="0.25">
      <c r="E222" s="9"/>
    </row>
    <row r="223" spans="5:5" ht="15.75" customHeight="1" x14ac:dyDescent="0.25">
      <c r="E223" s="9"/>
    </row>
    <row r="224" spans="5:5" ht="15.75" customHeight="1" x14ac:dyDescent="0.25">
      <c r="E224" s="9"/>
    </row>
    <row r="225" spans="5:5" ht="15.75" customHeight="1" x14ac:dyDescent="0.25">
      <c r="E225" s="9"/>
    </row>
    <row r="226" spans="5:5" ht="15.75" customHeight="1" x14ac:dyDescent="0.25">
      <c r="E226" s="9"/>
    </row>
    <row r="227" spans="5:5" ht="15.75" customHeight="1" x14ac:dyDescent="0.25">
      <c r="E227" s="9"/>
    </row>
    <row r="228" spans="5:5" ht="15.75" customHeight="1" x14ac:dyDescent="0.25">
      <c r="E228" s="9"/>
    </row>
    <row r="229" spans="5:5" ht="15.75" customHeight="1" x14ac:dyDescent="0.25">
      <c r="E229" s="9"/>
    </row>
    <row r="230" spans="5:5" ht="15.75" customHeight="1" x14ac:dyDescent="0.25">
      <c r="E230" s="9"/>
    </row>
    <row r="231" spans="5:5" ht="15.75" customHeight="1" x14ac:dyDescent="0.25">
      <c r="E231" s="9"/>
    </row>
    <row r="232" spans="5:5" ht="15.75" customHeight="1" x14ac:dyDescent="0.25">
      <c r="E232" s="9"/>
    </row>
    <row r="233" spans="5:5" ht="15.75" customHeight="1" x14ac:dyDescent="0.25">
      <c r="E233" s="9"/>
    </row>
    <row r="234" spans="5:5" ht="15.75" customHeight="1" x14ac:dyDescent="0.25">
      <c r="E234" s="9"/>
    </row>
    <row r="235" spans="5:5" ht="15.75" customHeight="1" x14ac:dyDescent="0.25">
      <c r="E235" s="9"/>
    </row>
    <row r="236" spans="5:5" ht="15.75" customHeight="1" x14ac:dyDescent="0.25">
      <c r="E236" s="9"/>
    </row>
    <row r="237" spans="5:5" ht="15.75" customHeight="1" x14ac:dyDescent="0.25">
      <c r="E237" s="9"/>
    </row>
    <row r="238" spans="5:5" ht="15.75" customHeight="1" x14ac:dyDescent="0.25">
      <c r="E238" s="9"/>
    </row>
    <row r="239" spans="5:5" ht="15.75" customHeight="1" x14ac:dyDescent="0.25">
      <c r="E239" s="9"/>
    </row>
    <row r="240" spans="5:5" ht="15.75" customHeight="1" x14ac:dyDescent="0.25">
      <c r="E240" s="9"/>
    </row>
    <row r="241" spans="5:5" ht="15.75" customHeight="1" x14ac:dyDescent="0.25">
      <c r="E241" s="9"/>
    </row>
    <row r="242" spans="5:5" ht="15.75" customHeight="1" x14ac:dyDescent="0.25">
      <c r="E242" s="9"/>
    </row>
    <row r="243" spans="5:5" ht="15.75" customHeight="1" x14ac:dyDescent="0.25">
      <c r="E243" s="9"/>
    </row>
    <row r="244" spans="5:5" ht="15.75" customHeight="1" x14ac:dyDescent="0.25">
      <c r="E244" s="9"/>
    </row>
    <row r="245" spans="5:5" ht="15.75" customHeight="1" x14ac:dyDescent="0.25">
      <c r="E245" s="9"/>
    </row>
    <row r="246" spans="5:5" ht="15.75" customHeight="1" x14ac:dyDescent="0.25">
      <c r="E246" s="9"/>
    </row>
    <row r="247" spans="5:5" ht="15.75" customHeight="1" x14ac:dyDescent="0.25">
      <c r="E247" s="9"/>
    </row>
    <row r="248" spans="5:5" ht="15.75" customHeight="1" x14ac:dyDescent="0.25">
      <c r="E248" s="9"/>
    </row>
    <row r="249" spans="5:5" ht="15.75" customHeight="1" x14ac:dyDescent="0.25">
      <c r="E249" s="9"/>
    </row>
    <row r="250" spans="5:5" ht="15.75" customHeight="1" x14ac:dyDescent="0.25">
      <c r="E250" s="9"/>
    </row>
    <row r="251" spans="5:5" ht="15.75" customHeight="1" x14ac:dyDescent="0.25">
      <c r="E251" s="9"/>
    </row>
    <row r="252" spans="5:5" ht="15.75" customHeight="1" x14ac:dyDescent="0.25">
      <c r="E252" s="9"/>
    </row>
    <row r="253" spans="5:5" ht="15.75" customHeight="1" x14ac:dyDescent="0.25">
      <c r="E253" s="9"/>
    </row>
    <row r="254" spans="5:5" ht="15.75" customHeight="1" x14ac:dyDescent="0.25">
      <c r="E254" s="9"/>
    </row>
    <row r="255" spans="5:5" ht="15.75" customHeight="1" x14ac:dyDescent="0.25">
      <c r="E255" s="9"/>
    </row>
    <row r="256" spans="5:5" ht="15.75" customHeight="1" x14ac:dyDescent="0.25">
      <c r="E256" s="9"/>
    </row>
    <row r="257" spans="5:5" ht="15.75" customHeight="1" x14ac:dyDescent="0.25">
      <c r="E257" s="9"/>
    </row>
    <row r="258" spans="5:5" ht="15.75" customHeight="1" x14ac:dyDescent="0.25">
      <c r="E258" s="9"/>
    </row>
    <row r="259" spans="5:5" ht="15.75" customHeight="1" x14ac:dyDescent="0.25">
      <c r="E259" s="9"/>
    </row>
    <row r="260" spans="5:5" ht="15.75" customHeight="1" x14ac:dyDescent="0.25">
      <c r="E260" s="9"/>
    </row>
    <row r="261" spans="5:5" ht="15.75" customHeight="1" x14ac:dyDescent="0.25">
      <c r="E261" s="9"/>
    </row>
    <row r="262" spans="5:5" ht="15.75" customHeight="1" x14ac:dyDescent="0.25">
      <c r="E262" s="9"/>
    </row>
    <row r="263" spans="5:5" ht="15.75" customHeight="1" x14ac:dyDescent="0.25">
      <c r="E263" s="9"/>
    </row>
    <row r="264" spans="5:5" ht="15.75" customHeight="1" x14ac:dyDescent="0.25">
      <c r="E264" s="9"/>
    </row>
    <row r="265" spans="5:5" ht="15.75" customHeight="1" x14ac:dyDescent="0.25">
      <c r="E265" s="9"/>
    </row>
    <row r="266" spans="5:5" ht="15.75" customHeight="1" x14ac:dyDescent="0.25">
      <c r="E266" s="9"/>
    </row>
    <row r="267" spans="5:5" ht="15.75" customHeight="1" x14ac:dyDescent="0.25">
      <c r="E267" s="9"/>
    </row>
    <row r="268" spans="5:5" ht="15.75" customHeight="1" x14ac:dyDescent="0.25">
      <c r="E268" s="9"/>
    </row>
    <row r="269" spans="5:5" ht="15.75" customHeight="1" x14ac:dyDescent="0.25">
      <c r="E269" s="9"/>
    </row>
    <row r="270" spans="5:5" ht="15.75" customHeight="1" x14ac:dyDescent="0.25">
      <c r="E270" s="9"/>
    </row>
    <row r="271" spans="5:5" ht="15.75" customHeight="1" x14ac:dyDescent="0.25">
      <c r="E271" s="9"/>
    </row>
    <row r="272" spans="5:5" ht="15.75" customHeight="1" x14ac:dyDescent="0.25">
      <c r="E272" s="9"/>
    </row>
    <row r="273" spans="5:5" ht="15.75" customHeight="1" x14ac:dyDescent="0.25">
      <c r="E273" s="9"/>
    </row>
    <row r="274" spans="5:5" ht="15.75" customHeight="1" x14ac:dyDescent="0.25">
      <c r="E274" s="9"/>
    </row>
    <row r="275" spans="5:5" ht="15.75" customHeight="1" x14ac:dyDescent="0.25">
      <c r="E275" s="9"/>
    </row>
    <row r="276" spans="5:5" ht="15.75" customHeight="1" x14ac:dyDescent="0.25">
      <c r="E276" s="9"/>
    </row>
    <row r="277" spans="5:5" ht="15.75" customHeight="1" x14ac:dyDescent="0.25">
      <c r="E277" s="9"/>
    </row>
    <row r="278" spans="5:5" ht="15.75" customHeight="1" x14ac:dyDescent="0.25">
      <c r="E278" s="9"/>
    </row>
    <row r="279" spans="5:5" ht="15.75" customHeight="1" x14ac:dyDescent="0.25">
      <c r="E279" s="9"/>
    </row>
    <row r="280" spans="5:5" ht="15.75" customHeight="1" x14ac:dyDescent="0.25">
      <c r="E280" s="9"/>
    </row>
    <row r="281" spans="5:5" ht="15.75" customHeight="1" x14ac:dyDescent="0.25">
      <c r="E281" s="9"/>
    </row>
    <row r="282" spans="5:5" ht="15.75" customHeight="1" x14ac:dyDescent="0.25">
      <c r="E282" s="9"/>
    </row>
    <row r="283" spans="5:5" ht="15.75" customHeight="1" x14ac:dyDescent="0.25">
      <c r="E283" s="9"/>
    </row>
    <row r="284" spans="5:5" ht="15.75" customHeight="1" x14ac:dyDescent="0.25">
      <c r="E284" s="9"/>
    </row>
    <row r="285" spans="5:5" ht="15.75" customHeight="1" x14ac:dyDescent="0.25">
      <c r="E285" s="9"/>
    </row>
    <row r="286" spans="5:5" ht="15.75" customHeight="1" x14ac:dyDescent="0.25">
      <c r="E286" s="9"/>
    </row>
    <row r="287" spans="5:5" ht="15.75" customHeight="1" x14ac:dyDescent="0.25">
      <c r="E287" s="9"/>
    </row>
    <row r="288" spans="5:5" ht="15.75" customHeight="1" x14ac:dyDescent="0.25">
      <c r="E288" s="9"/>
    </row>
    <row r="289" spans="5:5" ht="15.75" customHeight="1" x14ac:dyDescent="0.25">
      <c r="E289" s="9"/>
    </row>
    <row r="290" spans="5:5" ht="15.75" customHeight="1" x14ac:dyDescent="0.25">
      <c r="E290" s="9"/>
    </row>
    <row r="291" spans="5:5" ht="15.75" customHeight="1" x14ac:dyDescent="0.25">
      <c r="E291" s="9"/>
    </row>
    <row r="292" spans="5:5" ht="15.75" customHeight="1" x14ac:dyDescent="0.25">
      <c r="E292" s="9"/>
    </row>
    <row r="293" spans="5:5" ht="15.75" customHeight="1" x14ac:dyDescent="0.25">
      <c r="E293" s="9"/>
    </row>
    <row r="294" spans="5:5" ht="15.75" customHeight="1" x14ac:dyDescent="0.25">
      <c r="E294" s="9"/>
    </row>
    <row r="295" spans="5:5" ht="15.75" customHeight="1" x14ac:dyDescent="0.25">
      <c r="E295" s="9"/>
    </row>
    <row r="296" spans="5:5" ht="15.75" customHeight="1" x14ac:dyDescent="0.25">
      <c r="E296" s="9"/>
    </row>
    <row r="297" spans="5:5" ht="15.75" customHeight="1" x14ac:dyDescent="0.25">
      <c r="E297" s="9"/>
    </row>
    <row r="298" spans="5:5" ht="15.75" customHeight="1" x14ac:dyDescent="0.25">
      <c r="E298" s="9"/>
    </row>
    <row r="299" spans="5:5" ht="15.75" customHeight="1" x14ac:dyDescent="0.25">
      <c r="E299" s="9"/>
    </row>
    <row r="300" spans="5:5" ht="15.75" customHeight="1" x14ac:dyDescent="0.25">
      <c r="E300" s="9"/>
    </row>
    <row r="301" spans="5:5" ht="15.75" customHeight="1" x14ac:dyDescent="0.25">
      <c r="E301" s="9"/>
    </row>
    <row r="302" spans="5:5" ht="15.75" customHeight="1" x14ac:dyDescent="0.25">
      <c r="E302" s="9"/>
    </row>
    <row r="303" spans="5:5" ht="15.75" customHeight="1" x14ac:dyDescent="0.25">
      <c r="E303" s="9"/>
    </row>
    <row r="304" spans="5:5" ht="15.75" customHeight="1" x14ac:dyDescent="0.25">
      <c r="E304" s="9"/>
    </row>
    <row r="305" spans="5:5" ht="15.75" customHeight="1" x14ac:dyDescent="0.25">
      <c r="E305" s="9"/>
    </row>
    <row r="306" spans="5:5" ht="15.75" customHeight="1" x14ac:dyDescent="0.25">
      <c r="E306" s="9"/>
    </row>
    <row r="307" spans="5:5" ht="15.75" customHeight="1" x14ac:dyDescent="0.25">
      <c r="E307" s="9"/>
    </row>
    <row r="308" spans="5:5" ht="15.75" customHeight="1" x14ac:dyDescent="0.25">
      <c r="E308" s="9"/>
    </row>
    <row r="309" spans="5:5" ht="15.75" customHeight="1" x14ac:dyDescent="0.25">
      <c r="E309" s="9"/>
    </row>
    <row r="310" spans="5:5" ht="15.75" customHeight="1" x14ac:dyDescent="0.25">
      <c r="E310" s="9"/>
    </row>
    <row r="311" spans="5:5" ht="15.75" customHeight="1" x14ac:dyDescent="0.25">
      <c r="E311" s="9"/>
    </row>
    <row r="312" spans="5:5" ht="15.75" customHeight="1" x14ac:dyDescent="0.25"/>
    <row r="313" spans="5:5" ht="15.75" customHeight="1" x14ac:dyDescent="0.25"/>
    <row r="314" spans="5:5" ht="15.75" customHeight="1" x14ac:dyDescent="0.25"/>
    <row r="315" spans="5:5" ht="15.75" customHeight="1" x14ac:dyDescent="0.25"/>
    <row r="316" spans="5:5" ht="15.75" customHeight="1" x14ac:dyDescent="0.25"/>
    <row r="317" spans="5:5" ht="15.75" customHeight="1" x14ac:dyDescent="0.25"/>
    <row r="318" spans="5:5" ht="15.75" customHeight="1" x14ac:dyDescent="0.25"/>
    <row r="319" spans="5:5" ht="15.75" customHeight="1" x14ac:dyDescent="0.25"/>
    <row r="320" spans="5:5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8">
    <mergeCell ref="A110:B110"/>
    <mergeCell ref="D9:D13"/>
    <mergeCell ref="E9:E12"/>
    <mergeCell ref="E97:E98"/>
    <mergeCell ref="A103:D103"/>
    <mergeCell ref="A104:A106"/>
    <mergeCell ref="C104:D104"/>
    <mergeCell ref="E104:E106"/>
    <mergeCell ref="B9:B13"/>
    <mergeCell ref="C9:C13"/>
    <mergeCell ref="C105:D105"/>
    <mergeCell ref="C106:D106"/>
    <mergeCell ref="A109:B109"/>
    <mergeCell ref="B1:F1"/>
    <mergeCell ref="D4:E4"/>
    <mergeCell ref="D5:E5"/>
    <mergeCell ref="D6:E6"/>
    <mergeCell ref="D7:E7"/>
  </mergeCells>
  <pageMargins left="0.7" right="0.7" top="0.75" bottom="0.75" header="0" footer="0"/>
  <pageSetup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H1000"/>
  <sheetViews>
    <sheetView topLeftCell="A109" workbookViewId="0">
      <selection activeCell="F67" sqref="F67"/>
    </sheetView>
  </sheetViews>
  <sheetFormatPr defaultColWidth="14.42578125" defaultRowHeight="15" customHeight="1" x14ac:dyDescent="0.25"/>
  <cols>
    <col min="1" max="1" width="8.7109375" customWidth="1"/>
    <col min="2" max="2" width="10.42578125" customWidth="1"/>
    <col min="3" max="3" width="16" customWidth="1"/>
    <col min="4" max="4" width="43.140625" customWidth="1"/>
    <col min="5" max="5" width="15.5703125" customWidth="1"/>
    <col min="6" max="6" width="21.28515625" customWidth="1"/>
    <col min="7" max="7" width="14.7109375" customWidth="1"/>
    <col min="8" max="8" width="8.7109375" customWidth="1"/>
  </cols>
  <sheetData>
    <row r="1" spans="2:8" ht="20.25" x14ac:dyDescent="0.25">
      <c r="D1" s="79" t="s">
        <v>160</v>
      </c>
      <c r="E1" s="79"/>
      <c r="F1" s="79"/>
      <c r="G1" s="79"/>
      <c r="H1" s="28"/>
    </row>
    <row r="2" spans="2:8" ht="20.25" x14ac:dyDescent="0.25">
      <c r="B2" s="28"/>
      <c r="C2" s="28"/>
      <c r="E2" s="55" t="s">
        <v>161</v>
      </c>
      <c r="F2" s="28"/>
      <c r="G2" s="28"/>
    </row>
    <row r="3" spans="2:8" ht="20.25" x14ac:dyDescent="0.25">
      <c r="B3" s="28"/>
      <c r="C3" s="28"/>
      <c r="D3" s="55"/>
      <c r="E3" s="9"/>
      <c r="F3" s="28"/>
      <c r="G3" s="28"/>
    </row>
    <row r="4" spans="2:8" x14ac:dyDescent="0.25">
      <c r="B4" s="28"/>
      <c r="C4" s="29" t="s">
        <v>1</v>
      </c>
      <c r="D4" s="240" t="str">
        <f>'CO_Attainment for Unit Tests'!C3</f>
        <v>DATA STRUCTURE USING C</v>
      </c>
      <c r="E4" s="241"/>
      <c r="F4" s="28"/>
      <c r="G4" s="28"/>
      <c r="H4" s="28"/>
    </row>
    <row r="5" spans="2:8" x14ac:dyDescent="0.25">
      <c r="B5" s="28"/>
      <c r="C5" s="29" t="s">
        <v>3</v>
      </c>
      <c r="D5" s="240">
        <f>'CO_Attainment for Unit Tests'!C4</f>
        <v>313301</v>
      </c>
      <c r="E5" s="241"/>
      <c r="F5" s="28"/>
      <c r="G5" s="28"/>
      <c r="H5" s="28"/>
    </row>
    <row r="6" spans="2:8" x14ac:dyDescent="0.25">
      <c r="B6" s="28"/>
      <c r="C6" s="29" t="s">
        <v>55</v>
      </c>
      <c r="D6" s="240" t="str">
        <f>'CO_Attainment for Unit Tests'!C5</f>
        <v>3rd SEM(CO3K SCHEME)</v>
      </c>
      <c r="E6" s="241"/>
      <c r="F6" s="28"/>
      <c r="G6" s="28"/>
      <c r="H6" s="28"/>
    </row>
    <row r="7" spans="2:8" x14ac:dyDescent="0.25">
      <c r="B7" s="28"/>
      <c r="C7" s="29" t="s">
        <v>162</v>
      </c>
      <c r="D7" s="240" t="str">
        <f>'CO_Attainment for Unit Tests'!C6</f>
        <v>2024-25</v>
      </c>
      <c r="E7" s="241"/>
      <c r="F7" s="28"/>
      <c r="G7" s="28"/>
      <c r="H7" s="28"/>
    </row>
    <row r="9" spans="2:8" ht="15.75" customHeight="1" x14ac:dyDescent="0.25">
      <c r="B9" s="257" t="s">
        <v>23</v>
      </c>
      <c r="C9" s="258" t="s">
        <v>57</v>
      </c>
      <c r="D9" s="269" t="s">
        <v>58</v>
      </c>
      <c r="E9" s="258" t="s">
        <v>163</v>
      </c>
      <c r="F9" s="258" t="s">
        <v>164</v>
      </c>
      <c r="G9" s="258" t="s">
        <v>165</v>
      </c>
    </row>
    <row r="10" spans="2:8" ht="15.75" customHeight="1" x14ac:dyDescent="0.25">
      <c r="B10" s="215"/>
      <c r="C10" s="215"/>
      <c r="D10" s="215"/>
      <c r="E10" s="215"/>
      <c r="F10" s="215"/>
      <c r="G10" s="215"/>
    </row>
    <row r="11" spans="2:8" ht="15.75" customHeight="1" x14ac:dyDescent="0.25">
      <c r="B11" s="215"/>
      <c r="C11" s="215"/>
      <c r="D11" s="215"/>
      <c r="E11" s="215"/>
      <c r="F11" s="215"/>
      <c r="G11" s="215"/>
    </row>
    <row r="12" spans="2:8" ht="54.75" customHeight="1" x14ac:dyDescent="0.25">
      <c r="B12" s="215"/>
      <c r="C12" s="215"/>
      <c r="D12" s="215"/>
      <c r="E12" s="216"/>
      <c r="F12" s="216"/>
      <c r="G12" s="216"/>
    </row>
    <row r="13" spans="2:8" ht="20.25" customHeight="1" x14ac:dyDescent="0.25">
      <c r="B13" s="216"/>
      <c r="C13" s="216"/>
      <c r="D13" s="216"/>
      <c r="E13" s="80">
        <v>25</v>
      </c>
      <c r="F13" s="31">
        <v>50</v>
      </c>
      <c r="G13" s="80">
        <v>25</v>
      </c>
    </row>
    <row r="14" spans="2:8" x14ac:dyDescent="0.25">
      <c r="B14" s="57">
        <v>1</v>
      </c>
      <c r="C14" s="57">
        <f>'CO_Attainment for Unit Tests'!B13</f>
        <v>23510250191</v>
      </c>
      <c r="D14" s="81" t="str">
        <f>'CO_Attainment for Unit Tests'!C13</f>
        <v> ADSUL SHASHWATI NITIN</v>
      </c>
      <c r="E14" s="41"/>
      <c r="F14" s="59">
        <v>43</v>
      </c>
      <c r="G14" s="59">
        <v>22</v>
      </c>
    </row>
    <row r="15" spans="2:8" x14ac:dyDescent="0.25">
      <c r="B15" s="57">
        <v>2</v>
      </c>
      <c r="C15" s="57">
        <f>'CO_Attainment for Unit Tests'!B14</f>
        <v>23510250192</v>
      </c>
      <c r="D15" s="81" t="str">
        <f>'CO_Attainment for Unit Tests'!C14</f>
        <v> AVISHKAR BABRUWAN BHISE</v>
      </c>
      <c r="E15" s="41"/>
      <c r="F15" s="59">
        <v>41</v>
      </c>
      <c r="G15" s="59">
        <v>21</v>
      </c>
    </row>
    <row r="16" spans="2:8" x14ac:dyDescent="0.25">
      <c r="B16" s="57">
        <v>3</v>
      </c>
      <c r="C16" s="57">
        <f>'CO_Attainment for Unit Tests'!B15</f>
        <v>23510250193</v>
      </c>
      <c r="D16" s="81" t="str">
        <f>'CO_Attainment for Unit Tests'!C15</f>
        <v> AWAD MAHESHWARI BHAU</v>
      </c>
      <c r="E16" s="41"/>
      <c r="F16" s="59">
        <v>37</v>
      </c>
      <c r="G16" s="59">
        <v>21</v>
      </c>
    </row>
    <row r="17" spans="2:7" x14ac:dyDescent="0.25">
      <c r="B17" s="57">
        <v>4</v>
      </c>
      <c r="C17" s="57">
        <f>'CO_Attainment for Unit Tests'!B16</f>
        <v>23510250194</v>
      </c>
      <c r="D17" s="81" t="str">
        <f>'CO_Attainment for Unit Tests'!C16</f>
        <v> BADVE SHARVANI DNYANESHWAR</v>
      </c>
      <c r="E17" s="41"/>
      <c r="F17" s="59">
        <v>38</v>
      </c>
      <c r="G17" s="59">
        <v>22</v>
      </c>
    </row>
    <row r="18" spans="2:7" x14ac:dyDescent="0.25">
      <c r="B18" s="57">
        <v>5</v>
      </c>
      <c r="C18" s="57">
        <f>'CO_Attainment for Unit Tests'!B17</f>
        <v>23510250195</v>
      </c>
      <c r="D18" s="81" t="str">
        <f>'CO_Attainment for Unit Tests'!C17</f>
        <v> BAGADE MANASI MUKUND</v>
      </c>
      <c r="E18" s="41"/>
      <c r="F18" s="59">
        <v>41</v>
      </c>
      <c r="G18" s="59">
        <v>21</v>
      </c>
    </row>
    <row r="19" spans="2:7" x14ac:dyDescent="0.25">
      <c r="B19" s="57">
        <v>6</v>
      </c>
      <c r="C19" s="57">
        <f>'CO_Attainment for Unit Tests'!B18</f>
        <v>23510250196</v>
      </c>
      <c r="D19" s="81" t="str">
        <f>'CO_Attainment for Unit Tests'!C18</f>
        <v> BARDE ARCHANA HANUMANT</v>
      </c>
      <c r="E19" s="41"/>
      <c r="F19" s="59">
        <v>40</v>
      </c>
      <c r="G19" s="59">
        <v>21</v>
      </c>
    </row>
    <row r="20" spans="2:7" x14ac:dyDescent="0.25">
      <c r="B20" s="57">
        <v>7</v>
      </c>
      <c r="C20" s="57">
        <f>'CO_Attainment for Unit Tests'!B19</f>
        <v>23510250197</v>
      </c>
      <c r="D20" s="81" t="str">
        <f>'CO_Attainment for Unit Tests'!C19</f>
        <v> BARMADE SHRADDHA SUDHAKAR</v>
      </c>
      <c r="E20" s="41"/>
      <c r="F20" s="59">
        <v>41</v>
      </c>
      <c r="G20" s="59">
        <v>21</v>
      </c>
    </row>
    <row r="21" spans="2:7" ht="15.75" customHeight="1" x14ac:dyDescent="0.25">
      <c r="B21" s="57">
        <v>8</v>
      </c>
      <c r="C21" s="57">
        <f>'CO_Attainment for Unit Tests'!B20</f>
        <v>23510250198</v>
      </c>
      <c r="D21" s="81" t="str">
        <f>'CO_Attainment for Unit Tests'!C20</f>
        <v> BEDKE ANKITA SHRIRAM</v>
      </c>
      <c r="E21" s="41"/>
      <c r="F21" s="59">
        <v>42</v>
      </c>
      <c r="G21" s="59">
        <v>22</v>
      </c>
    </row>
    <row r="22" spans="2:7" ht="15.75" customHeight="1" x14ac:dyDescent="0.25">
      <c r="B22" s="57">
        <v>9</v>
      </c>
      <c r="C22" s="57">
        <f>'CO_Attainment for Unit Tests'!B21</f>
        <v>23510250199</v>
      </c>
      <c r="D22" s="81" t="str">
        <f>'CO_Attainment for Unit Tests'!C21</f>
        <v> BHAD SHRAVANI UMAKANT</v>
      </c>
      <c r="E22" s="41"/>
      <c r="F22" s="59">
        <v>38</v>
      </c>
      <c r="G22" s="59">
        <v>20</v>
      </c>
    </row>
    <row r="23" spans="2:7" ht="15.75" customHeight="1" x14ac:dyDescent="0.25">
      <c r="B23" s="57">
        <v>10</v>
      </c>
      <c r="C23" s="57">
        <f>'CO_Attainment for Unit Tests'!B22</f>
        <v>23510250200</v>
      </c>
      <c r="D23" s="81" t="str">
        <f>'CO_Attainment for Unit Tests'!C22</f>
        <v> BHORE NIKITA SHANKAR</v>
      </c>
      <c r="E23" s="41"/>
      <c r="F23" s="59">
        <v>34</v>
      </c>
      <c r="G23" s="59">
        <v>20</v>
      </c>
    </row>
    <row r="24" spans="2:7" ht="15.75" customHeight="1" x14ac:dyDescent="0.25">
      <c r="B24" s="57">
        <v>11</v>
      </c>
      <c r="C24" s="57">
        <f>'CO_Attainment for Unit Tests'!B23</f>
        <v>23510250201</v>
      </c>
      <c r="D24" s="81" t="str">
        <f>'CO_Attainment for Unit Tests'!C23</f>
        <v> BHOSALE PRADNYA HARIDAS</v>
      </c>
      <c r="E24" s="41"/>
      <c r="F24" s="59">
        <v>41</v>
      </c>
      <c r="G24" s="59">
        <v>22</v>
      </c>
    </row>
    <row r="25" spans="2:7" ht="15.75" customHeight="1" x14ac:dyDescent="0.25">
      <c r="B25" s="57">
        <v>12</v>
      </c>
      <c r="C25" s="57">
        <f>'CO_Attainment for Unit Tests'!B24</f>
        <v>23510250202</v>
      </c>
      <c r="D25" s="81" t="str">
        <f>'CO_Attainment for Unit Tests'!C24</f>
        <v> BHOSALE TEJAS GAJANAN</v>
      </c>
      <c r="E25" s="41"/>
      <c r="F25" s="59">
        <v>36</v>
      </c>
      <c r="G25" s="59">
        <v>16</v>
      </c>
    </row>
    <row r="26" spans="2:7" ht="15.75" customHeight="1" x14ac:dyDescent="0.25">
      <c r="B26" s="57">
        <v>13</v>
      </c>
      <c r="C26" s="57">
        <f>'CO_Attainment for Unit Tests'!B25</f>
        <v>23510250203</v>
      </c>
      <c r="D26" s="81" t="str">
        <f>'CO_Attainment for Unit Tests'!C25</f>
        <v> BIRAJDAR PRASHANT PADMAKAR</v>
      </c>
      <c r="E26" s="41"/>
      <c r="F26" s="59">
        <v>42</v>
      </c>
      <c r="G26" s="59">
        <v>22</v>
      </c>
    </row>
    <row r="27" spans="2:7" ht="15.75" customHeight="1" x14ac:dyDescent="0.25">
      <c r="B27" s="57">
        <v>14</v>
      </c>
      <c r="C27" s="57">
        <f>'CO_Attainment for Unit Tests'!B26</f>
        <v>23510250204</v>
      </c>
      <c r="D27" s="81" t="str">
        <f>'CO_Attainment for Unit Tests'!C26</f>
        <v> CHANDANE SHRAVANI PRASHANT</v>
      </c>
      <c r="E27" s="41"/>
      <c r="F27" s="59">
        <v>43</v>
      </c>
      <c r="G27" s="59">
        <v>21</v>
      </c>
    </row>
    <row r="28" spans="2:7" ht="15.75" customHeight="1" x14ac:dyDescent="0.25">
      <c r="B28" s="57">
        <v>15</v>
      </c>
      <c r="C28" s="57">
        <f>'CO_Attainment for Unit Tests'!B27</f>
        <v>23510250205</v>
      </c>
      <c r="D28" s="81" t="str">
        <f>'CO_Attainment for Unit Tests'!C27</f>
        <v> CHAVAN NIKITA NARAYAN</v>
      </c>
      <c r="E28" s="41"/>
      <c r="F28" s="59">
        <v>43</v>
      </c>
      <c r="G28" s="59">
        <v>23</v>
      </c>
    </row>
    <row r="29" spans="2:7" ht="15.75" customHeight="1" x14ac:dyDescent="0.25">
      <c r="B29" s="57">
        <v>16</v>
      </c>
      <c r="C29" s="57">
        <f>'CO_Attainment for Unit Tests'!B28</f>
        <v>23510250206</v>
      </c>
      <c r="D29" s="81" t="str">
        <f>'CO_Attainment for Unit Tests'!C28</f>
        <v> DALVE SANSKRUTI AMOL</v>
      </c>
      <c r="E29" s="41"/>
      <c r="F29" s="59">
        <v>23</v>
      </c>
      <c r="G29" s="59">
        <v>19</v>
      </c>
    </row>
    <row r="30" spans="2:7" ht="15.75" customHeight="1" x14ac:dyDescent="0.25">
      <c r="B30" s="57">
        <v>17</v>
      </c>
      <c r="C30" s="57">
        <f>'CO_Attainment for Unit Tests'!B29</f>
        <v>23510250207</v>
      </c>
      <c r="D30" s="81" t="str">
        <f>'CO_Attainment for Unit Tests'!C29</f>
        <v> DANE SUSHANT VITTHAL</v>
      </c>
      <c r="E30" s="41"/>
      <c r="F30" s="59">
        <v>41</v>
      </c>
      <c r="G30" s="59">
        <v>20</v>
      </c>
    </row>
    <row r="31" spans="2:7" ht="15.75" customHeight="1" x14ac:dyDescent="0.25">
      <c r="B31" s="57">
        <v>18</v>
      </c>
      <c r="C31" s="57">
        <f>'CO_Attainment for Unit Tests'!B30</f>
        <v>23510250208</v>
      </c>
      <c r="D31" s="81" t="str">
        <f>'CO_Attainment for Unit Tests'!C30</f>
        <v> DEMGUNDE RAVIKIRAN DHONDIRAM</v>
      </c>
      <c r="E31" s="41"/>
      <c r="F31" s="59">
        <v>43</v>
      </c>
      <c r="G31" s="59">
        <v>22</v>
      </c>
    </row>
    <row r="32" spans="2:7" ht="15.75" customHeight="1" x14ac:dyDescent="0.25">
      <c r="B32" s="57">
        <v>19</v>
      </c>
      <c r="C32" s="57">
        <f>'CO_Attainment for Unit Tests'!B31</f>
        <v>23510250209</v>
      </c>
      <c r="D32" s="81" t="str">
        <f>'CO_Attainment for Unit Tests'!C31</f>
        <v> DHAGE ANUPAMA NAGESH</v>
      </c>
      <c r="E32" s="41"/>
      <c r="F32" s="59">
        <v>43</v>
      </c>
      <c r="G32" s="59">
        <v>22</v>
      </c>
    </row>
    <row r="33" spans="2:7" ht="15.75" customHeight="1" x14ac:dyDescent="0.25">
      <c r="B33" s="57">
        <v>20</v>
      </c>
      <c r="C33" s="57">
        <f>'CO_Attainment for Unit Tests'!B32</f>
        <v>23510250210</v>
      </c>
      <c r="D33" s="81" t="str">
        <f>'CO_Attainment for Unit Tests'!C32</f>
        <v> FULMALI SARTHAK SANTOSH</v>
      </c>
      <c r="E33" s="41"/>
      <c r="F33" s="59">
        <v>35</v>
      </c>
      <c r="G33" s="59">
        <v>20</v>
      </c>
    </row>
    <row r="34" spans="2:7" ht="15.75" customHeight="1" x14ac:dyDescent="0.25">
      <c r="B34" s="57">
        <v>21</v>
      </c>
      <c r="C34" s="57">
        <f>'CO_Attainment for Unit Tests'!B33</f>
        <v>23510250211</v>
      </c>
      <c r="D34" s="81" t="str">
        <f>'CO_Attainment for Unit Tests'!C33</f>
        <v> GADE PAYAL DHANRAJ</v>
      </c>
      <c r="E34" s="41"/>
      <c r="F34" s="59">
        <v>36</v>
      </c>
      <c r="G34" s="59">
        <v>19</v>
      </c>
    </row>
    <row r="35" spans="2:7" ht="15.75" customHeight="1" x14ac:dyDescent="0.25">
      <c r="B35" s="57">
        <v>22</v>
      </c>
      <c r="C35" s="57">
        <f>'CO_Attainment for Unit Tests'!B34</f>
        <v>23510250212</v>
      </c>
      <c r="D35" s="81" t="str">
        <f>'CO_Attainment for Unit Tests'!C34</f>
        <v> GAVALI MONIKA DNYANDEO</v>
      </c>
      <c r="E35" s="41"/>
      <c r="F35" s="59">
        <v>39</v>
      </c>
      <c r="G35" s="59">
        <v>20</v>
      </c>
    </row>
    <row r="36" spans="2:7" ht="15.75" customHeight="1" x14ac:dyDescent="0.25">
      <c r="B36" s="57">
        <v>23</v>
      </c>
      <c r="C36" s="57">
        <f>'CO_Attainment for Unit Tests'!B35</f>
        <v>23510250213</v>
      </c>
      <c r="D36" s="81" t="str">
        <f>'CO_Attainment for Unit Tests'!C35</f>
        <v> GURAV KRISHNA PRAMOD</v>
      </c>
      <c r="E36" s="41"/>
      <c r="F36" s="59">
        <v>38</v>
      </c>
      <c r="G36" s="59">
        <v>21</v>
      </c>
    </row>
    <row r="37" spans="2:7" ht="15.75" customHeight="1" x14ac:dyDescent="0.25">
      <c r="B37" s="57">
        <v>24</v>
      </c>
      <c r="C37" s="57">
        <f>'CO_Attainment for Unit Tests'!B36</f>
        <v>23510250214</v>
      </c>
      <c r="D37" s="81" t="str">
        <f>'CO_Attainment for Unit Tests'!C36</f>
        <v> HAJARE AMAR AJIT</v>
      </c>
      <c r="E37" s="41"/>
      <c r="F37" s="59">
        <v>34</v>
      </c>
      <c r="G37" s="59">
        <v>19</v>
      </c>
    </row>
    <row r="38" spans="2:7" ht="15.75" customHeight="1" x14ac:dyDescent="0.25">
      <c r="B38" s="57">
        <v>25</v>
      </c>
      <c r="C38" s="57">
        <f>'CO_Attainment for Unit Tests'!B37</f>
        <v>23510250215</v>
      </c>
      <c r="D38" s="81" t="str">
        <f>'CO_Attainment for Unit Tests'!C37</f>
        <v> ISAKE PRATIKSHA MAHESH</v>
      </c>
      <c r="E38" s="41"/>
      <c r="F38" s="59">
        <v>43</v>
      </c>
      <c r="G38" s="59">
        <v>21</v>
      </c>
    </row>
    <row r="39" spans="2:7" ht="15.75" customHeight="1" x14ac:dyDescent="0.25">
      <c r="B39" s="57">
        <v>26</v>
      </c>
      <c r="C39" s="57">
        <f>'CO_Attainment for Unit Tests'!B38</f>
        <v>23510250216</v>
      </c>
      <c r="D39" s="81" t="str">
        <f>'CO_Attainment for Unit Tests'!C38</f>
        <v> JAGTAP SHREYA SHRIRANG</v>
      </c>
      <c r="E39" s="41"/>
      <c r="F39" s="59">
        <v>38</v>
      </c>
      <c r="G39" s="59">
        <v>20</v>
      </c>
    </row>
    <row r="40" spans="2:7" ht="15.75" customHeight="1" x14ac:dyDescent="0.25">
      <c r="B40" s="57">
        <v>27</v>
      </c>
      <c r="C40" s="57">
        <f>'CO_Attainment for Unit Tests'!B39</f>
        <v>23510250217</v>
      </c>
      <c r="D40" s="81" t="str">
        <f>'CO_Attainment for Unit Tests'!C39</f>
        <v> JOSHI TANUJA GUNDERAO</v>
      </c>
      <c r="E40" s="41"/>
      <c r="F40" s="59">
        <v>47</v>
      </c>
      <c r="G40" s="59">
        <v>24</v>
      </c>
    </row>
    <row r="41" spans="2:7" ht="15.75" customHeight="1" x14ac:dyDescent="0.25">
      <c r="B41" s="57">
        <v>28</v>
      </c>
      <c r="C41" s="57">
        <f>'CO_Attainment for Unit Tests'!B40</f>
        <v>23510250218</v>
      </c>
      <c r="D41" s="81" t="str">
        <f>'CO_Attainment for Unit Tests'!C40</f>
        <v> KALE PRACHI KISHOR</v>
      </c>
      <c r="E41" s="41"/>
      <c r="F41" s="59">
        <v>41</v>
      </c>
      <c r="G41" s="59">
        <v>22</v>
      </c>
    </row>
    <row r="42" spans="2:7" ht="15.75" customHeight="1" x14ac:dyDescent="0.25">
      <c r="B42" s="57">
        <v>29</v>
      </c>
      <c r="C42" s="57">
        <f>'CO_Attainment for Unit Tests'!B41</f>
        <v>23510250219</v>
      </c>
      <c r="D42" s="81" t="str">
        <f>'CO_Attainment for Unit Tests'!C41</f>
        <v> KALE VAISHNAVI DHANRAJ</v>
      </c>
      <c r="E42" s="41"/>
      <c r="F42" s="59">
        <v>43</v>
      </c>
      <c r="G42" s="59">
        <v>21</v>
      </c>
    </row>
    <row r="43" spans="2:7" ht="15.75" customHeight="1" x14ac:dyDescent="0.25">
      <c r="B43" s="57">
        <v>30</v>
      </c>
      <c r="C43" s="57">
        <f>'CO_Attainment for Unit Tests'!B42</f>
        <v>23510250220</v>
      </c>
      <c r="D43" s="81" t="str">
        <f>'CO_Attainment for Unit Tests'!C42</f>
        <v> KAMBLE DIVYA VIJAY</v>
      </c>
      <c r="E43" s="41"/>
      <c r="F43" s="59">
        <v>34</v>
      </c>
      <c r="G43" s="59">
        <v>20</v>
      </c>
    </row>
    <row r="44" spans="2:7" ht="15.75" customHeight="1" x14ac:dyDescent="0.25">
      <c r="B44" s="57">
        <v>31</v>
      </c>
      <c r="C44" s="57">
        <f>'CO_Attainment for Unit Tests'!B43</f>
        <v>23510250221</v>
      </c>
      <c r="D44" s="81" t="str">
        <f>'CO_Attainment for Unit Tests'!C43</f>
        <v> KAMBLE SONAM VILAS</v>
      </c>
      <c r="E44" s="41"/>
      <c r="F44" s="59">
        <v>36</v>
      </c>
      <c r="G44" s="59">
        <v>20</v>
      </c>
    </row>
    <row r="45" spans="2:7" ht="15.75" customHeight="1" x14ac:dyDescent="0.25">
      <c r="B45" s="57">
        <v>32</v>
      </c>
      <c r="C45" s="57">
        <f>'CO_Attainment for Unit Tests'!B44</f>
        <v>23510250222</v>
      </c>
      <c r="D45" s="81" t="str">
        <f>'CO_Attainment for Unit Tests'!C44</f>
        <v> KENDRE MAYURI TUKARAM</v>
      </c>
      <c r="E45" s="41"/>
      <c r="F45" s="59">
        <v>47</v>
      </c>
      <c r="G45" s="59">
        <v>24</v>
      </c>
    </row>
    <row r="46" spans="2:7" ht="15.75" customHeight="1" x14ac:dyDescent="0.25">
      <c r="B46" s="57">
        <v>33</v>
      </c>
      <c r="C46" s="57">
        <f>'CO_Attainment for Unit Tests'!B45</f>
        <v>23510250223</v>
      </c>
      <c r="D46" s="81" t="str">
        <f>'CO_Attainment for Unit Tests'!C45</f>
        <v> KHANDAGALE SUHANI VIKRAM</v>
      </c>
      <c r="E46" s="41"/>
      <c r="F46" s="59">
        <v>40</v>
      </c>
      <c r="G46" s="59">
        <v>19</v>
      </c>
    </row>
    <row r="47" spans="2:7" ht="15.75" customHeight="1" x14ac:dyDescent="0.25">
      <c r="B47" s="57">
        <v>34</v>
      </c>
      <c r="C47" s="57">
        <f>'CO_Attainment for Unit Tests'!B46</f>
        <v>23510250224</v>
      </c>
      <c r="D47" s="81" t="str">
        <f>'CO_Attainment for Unit Tests'!C46</f>
        <v> KHUNE PRIYANKA PRAMOD</v>
      </c>
      <c r="E47" s="41"/>
      <c r="F47" s="59">
        <v>36</v>
      </c>
      <c r="G47" s="59">
        <v>18</v>
      </c>
    </row>
    <row r="48" spans="2:7" ht="15.75" customHeight="1" x14ac:dyDescent="0.25">
      <c r="B48" s="57">
        <v>35</v>
      </c>
      <c r="C48" s="57">
        <f>'CO_Attainment for Unit Tests'!B47</f>
        <v>23510250225</v>
      </c>
      <c r="D48" s="81" t="str">
        <f>'CO_Attainment for Unit Tests'!C47</f>
        <v> KSHIRSAGAR ISHWARI DATTATRAYA</v>
      </c>
      <c r="E48" s="41"/>
      <c r="F48" s="59">
        <v>42</v>
      </c>
      <c r="G48" s="59">
        <v>21</v>
      </c>
    </row>
    <row r="49" spans="2:7" ht="15.75" customHeight="1" x14ac:dyDescent="0.25">
      <c r="B49" s="57">
        <v>36</v>
      </c>
      <c r="C49" s="57">
        <f>'CO_Attainment for Unit Tests'!B48</f>
        <v>23510250226</v>
      </c>
      <c r="D49" s="81" t="str">
        <f>'CO_Attainment for Unit Tests'!C48</f>
        <v> LONDHE PRAMILA CHHATRAGUN</v>
      </c>
      <c r="E49" s="41"/>
      <c r="F49" s="59">
        <v>42</v>
      </c>
      <c r="G49" s="59">
        <v>23</v>
      </c>
    </row>
    <row r="50" spans="2:7" ht="15.75" customHeight="1" x14ac:dyDescent="0.25">
      <c r="B50" s="57">
        <v>37</v>
      </c>
      <c r="C50" s="57">
        <f>'CO_Attainment for Unit Tests'!B49</f>
        <v>23510250227</v>
      </c>
      <c r="D50" s="81" t="str">
        <f>'CO_Attainment for Unit Tests'!C49</f>
        <v> MALI KARAN ASHOK</v>
      </c>
      <c r="E50" s="41"/>
      <c r="F50" s="59">
        <v>46</v>
      </c>
      <c r="G50" s="59">
        <v>24</v>
      </c>
    </row>
    <row r="51" spans="2:7" ht="15.75" customHeight="1" x14ac:dyDescent="0.25">
      <c r="B51" s="57">
        <v>38</v>
      </c>
      <c r="C51" s="57">
        <f>'CO_Attainment for Unit Tests'!B50</f>
        <v>23510250228</v>
      </c>
      <c r="D51" s="81" t="str">
        <f>'CO_Attainment for Unit Tests'!C50</f>
        <v> MENDHEKAR PRITI GOROBA</v>
      </c>
      <c r="E51" s="41"/>
      <c r="F51" s="59">
        <v>44</v>
      </c>
      <c r="G51" s="59">
        <v>22</v>
      </c>
    </row>
    <row r="52" spans="2:7" ht="15.75" customHeight="1" x14ac:dyDescent="0.25">
      <c r="B52" s="57">
        <v>39</v>
      </c>
      <c r="C52" s="57">
        <f>'CO_Attainment for Unit Tests'!B51</f>
        <v>23510250231</v>
      </c>
      <c r="D52" s="81" t="str">
        <f>'CO_Attainment for Unit Tests'!C51</f>
        <v> NAWALE SACHIN MANESH</v>
      </c>
      <c r="E52" s="41"/>
      <c r="F52" s="59">
        <v>22</v>
      </c>
      <c r="G52" s="59">
        <v>16</v>
      </c>
    </row>
    <row r="53" spans="2:7" ht="15.75" customHeight="1" x14ac:dyDescent="0.25">
      <c r="B53" s="57">
        <v>40</v>
      </c>
      <c r="C53" s="57">
        <f>'CO_Attainment for Unit Tests'!B52</f>
        <v>23510250232</v>
      </c>
      <c r="D53" s="81" t="str">
        <f>'CO_Attainment for Unit Tests'!C52</f>
        <v> NIKAM KRANTI SANTOSH</v>
      </c>
      <c r="E53" s="41"/>
      <c r="F53" s="59">
        <v>36</v>
      </c>
      <c r="G53" s="59">
        <v>18</v>
      </c>
    </row>
    <row r="54" spans="2:7" ht="15.75" customHeight="1" x14ac:dyDescent="0.25">
      <c r="B54" s="57">
        <v>41</v>
      </c>
      <c r="C54" s="57">
        <f>'CO_Attainment for Unit Tests'!B53</f>
        <v>23510250233</v>
      </c>
      <c r="D54" s="81" t="str">
        <f>'CO_Attainment for Unit Tests'!C53</f>
        <v> NIMBALKAR ASMITA BHUJANG</v>
      </c>
      <c r="E54" s="41"/>
      <c r="F54" s="59">
        <v>47</v>
      </c>
      <c r="G54" s="59">
        <v>24</v>
      </c>
    </row>
    <row r="55" spans="2:7" ht="15.75" customHeight="1" x14ac:dyDescent="0.25">
      <c r="B55" s="57">
        <v>42</v>
      </c>
      <c r="C55" s="57">
        <f>'CO_Attainment for Unit Tests'!B54</f>
        <v>23510250234</v>
      </c>
      <c r="D55" s="81" t="str">
        <f>'CO_Attainment for Unit Tests'!C54</f>
        <v> PANCHAL GAYATRI DNYANESHWAR</v>
      </c>
      <c r="E55" s="41"/>
      <c r="F55" s="59">
        <v>43</v>
      </c>
      <c r="G55" s="59">
        <v>21</v>
      </c>
    </row>
    <row r="56" spans="2:7" ht="15.75" customHeight="1" x14ac:dyDescent="0.25">
      <c r="B56" s="57">
        <v>43</v>
      </c>
      <c r="C56" s="57">
        <f>'CO_Attainment for Unit Tests'!B55</f>
        <v>23510250235</v>
      </c>
      <c r="D56" s="81" t="str">
        <f>'CO_Attainment for Unit Tests'!C55</f>
        <v> PATHAN ADIBA FIRDOS AMJAD KHAN</v>
      </c>
      <c r="E56" s="41"/>
      <c r="F56" s="59">
        <v>42</v>
      </c>
      <c r="G56" s="59">
        <v>21</v>
      </c>
    </row>
    <row r="57" spans="2:7" ht="15.75" customHeight="1" x14ac:dyDescent="0.25">
      <c r="B57" s="57">
        <v>44</v>
      </c>
      <c r="C57" s="57">
        <f>'CO_Attainment for Unit Tests'!B56</f>
        <v>23510250236</v>
      </c>
      <c r="D57" s="81" t="str">
        <f>'CO_Attainment for Unit Tests'!C56</f>
        <v> PATIL AMRUTA SURESH</v>
      </c>
      <c r="E57" s="41"/>
      <c r="F57" s="59">
        <v>42</v>
      </c>
      <c r="G57" s="59">
        <v>22</v>
      </c>
    </row>
    <row r="58" spans="2:7" ht="15.75" customHeight="1" x14ac:dyDescent="0.25">
      <c r="B58" s="57">
        <v>45</v>
      </c>
      <c r="C58" s="57">
        <f>'CO_Attainment for Unit Tests'!B57</f>
        <v>23510250237</v>
      </c>
      <c r="D58" s="81" t="str">
        <f>'CO_Attainment for Unit Tests'!C57</f>
        <v> PATIL DNYANESHWARI SUBHASH</v>
      </c>
      <c r="E58" s="41"/>
      <c r="F58" s="59">
        <v>42</v>
      </c>
      <c r="G58" s="59">
        <v>21</v>
      </c>
    </row>
    <row r="59" spans="2:7" ht="15.75" customHeight="1" x14ac:dyDescent="0.25">
      <c r="B59" s="57">
        <v>46</v>
      </c>
      <c r="C59" s="57">
        <f>'CO_Attainment for Unit Tests'!B58</f>
        <v>23510250238</v>
      </c>
      <c r="D59" s="81" t="str">
        <f>'CO_Attainment for Unit Tests'!C58</f>
        <v> PAWAR ARYA RAJENDRA</v>
      </c>
      <c r="E59" s="41"/>
      <c r="F59" s="59">
        <v>47</v>
      </c>
      <c r="G59" s="59">
        <v>24</v>
      </c>
    </row>
    <row r="60" spans="2:7" ht="15.75" customHeight="1" x14ac:dyDescent="0.25">
      <c r="B60" s="57">
        <v>47</v>
      </c>
      <c r="C60" s="57">
        <f>'CO_Attainment for Unit Tests'!B59</f>
        <v>23510250239</v>
      </c>
      <c r="D60" s="81" t="str">
        <f>'CO_Attainment for Unit Tests'!C59</f>
        <v> PAWAR SARIKA PANDURANG</v>
      </c>
      <c r="E60" s="41"/>
      <c r="F60" s="59">
        <v>43</v>
      </c>
      <c r="G60" s="59">
        <v>22</v>
      </c>
    </row>
    <row r="61" spans="2:7" ht="15.75" customHeight="1" x14ac:dyDescent="0.25">
      <c r="B61" s="57">
        <v>48</v>
      </c>
      <c r="C61" s="57">
        <f>'CO_Attainment for Unit Tests'!B60</f>
        <v>23510250240</v>
      </c>
      <c r="D61" s="81" t="str">
        <f>'CO_Attainment for Unit Tests'!C60</f>
        <v> PAWAR VAIBHAVI LAXMAN</v>
      </c>
      <c r="E61" s="41"/>
      <c r="F61" s="59">
        <v>45</v>
      </c>
      <c r="G61" s="59">
        <v>23</v>
      </c>
    </row>
    <row r="62" spans="2:7" ht="15.75" customHeight="1" x14ac:dyDescent="0.25">
      <c r="B62" s="57">
        <v>49</v>
      </c>
      <c r="C62" s="57">
        <f>'CO_Attainment for Unit Tests'!B61</f>
        <v>23510250241</v>
      </c>
      <c r="D62" s="81" t="str">
        <f>'CO_Attainment for Unit Tests'!C61</f>
        <v> PICHRUTE GAYATRI AMBADAS</v>
      </c>
      <c r="E62" s="41"/>
      <c r="F62" s="59">
        <v>42</v>
      </c>
      <c r="G62" s="59">
        <v>23</v>
      </c>
    </row>
    <row r="63" spans="2:7" ht="15.75" customHeight="1" x14ac:dyDescent="0.25">
      <c r="B63" s="57">
        <v>50</v>
      </c>
      <c r="C63" s="57">
        <f>'CO_Attainment for Unit Tests'!B62</f>
        <v>23510250242</v>
      </c>
      <c r="D63" s="81" t="str">
        <f>'CO_Attainment for Unit Tests'!C62</f>
        <v> PIRJADE AFREEN UBEDULLA</v>
      </c>
      <c r="E63" s="41"/>
      <c r="F63" s="59">
        <v>46</v>
      </c>
      <c r="G63" s="59">
        <v>24</v>
      </c>
    </row>
    <row r="64" spans="2:7" ht="15.75" customHeight="1" x14ac:dyDescent="0.25">
      <c r="B64" s="57">
        <v>51</v>
      </c>
      <c r="C64" s="57">
        <f>'CO_Attainment for Unit Tests'!B63</f>
        <v>23510250243</v>
      </c>
      <c r="D64" s="81" t="str">
        <f>'CO_Attainment for Unit Tests'!C63</f>
        <v> PURI ABHAY LAXMAN</v>
      </c>
      <c r="E64" s="41"/>
      <c r="F64" s="59">
        <v>23</v>
      </c>
      <c r="G64" s="59">
        <v>11</v>
      </c>
    </row>
    <row r="65" spans="2:7" ht="15.75" customHeight="1" x14ac:dyDescent="0.25">
      <c r="B65" s="57">
        <v>52</v>
      </c>
      <c r="C65" s="57">
        <f>'CO_Attainment for Unit Tests'!B64</f>
        <v>23510250244</v>
      </c>
      <c r="D65" s="81" t="str">
        <f>'CO_Attainment for Unit Tests'!C64</f>
        <v> RAJPUT BHIMSING UMRAOSING</v>
      </c>
      <c r="E65" s="41"/>
      <c r="F65" s="59">
        <v>46</v>
      </c>
      <c r="G65" s="59">
        <v>24</v>
      </c>
    </row>
    <row r="66" spans="2:7" ht="15.75" customHeight="1" x14ac:dyDescent="0.25">
      <c r="B66" s="57">
        <v>53</v>
      </c>
      <c r="C66" s="57">
        <f>'CO_Attainment for Unit Tests'!B65</f>
        <v>23510250246</v>
      </c>
      <c r="D66" s="81" t="str">
        <f>'CO_Attainment for Unit Tests'!C65</f>
        <v> SAKHARKAR SHRAVANI HARI</v>
      </c>
      <c r="E66" s="41"/>
      <c r="F66" s="59">
        <v>45</v>
      </c>
      <c r="G66" s="59">
        <v>24</v>
      </c>
    </row>
    <row r="67" spans="2:7" ht="15.75" customHeight="1" x14ac:dyDescent="0.25">
      <c r="B67" s="57">
        <v>54</v>
      </c>
      <c r="C67" s="57">
        <f>'CO_Attainment for Unit Tests'!B66</f>
        <v>23510250247</v>
      </c>
      <c r="D67" s="81" t="str">
        <f>'CO_Attainment for Unit Tests'!C66</f>
        <v> SHINDALKAR ANIKET SHESHERAO</v>
      </c>
      <c r="E67" s="41"/>
      <c r="F67" s="59">
        <v>48</v>
      </c>
      <c r="G67" s="59">
        <v>24</v>
      </c>
    </row>
    <row r="68" spans="2:7" ht="15.75" customHeight="1" x14ac:dyDescent="0.25">
      <c r="B68" s="57">
        <v>55</v>
      </c>
      <c r="C68" s="57">
        <f>'CO_Attainment for Unit Tests'!B67</f>
        <v>23510250248</v>
      </c>
      <c r="D68" s="81" t="str">
        <f>'CO_Attainment for Unit Tests'!C67</f>
        <v> SHINDE DIPIKA DATTATRAY</v>
      </c>
      <c r="E68" s="41"/>
      <c r="F68" s="59">
        <v>40</v>
      </c>
      <c r="G68" s="59">
        <v>23</v>
      </c>
    </row>
    <row r="69" spans="2:7" ht="15.75" customHeight="1" x14ac:dyDescent="0.25">
      <c r="B69" s="57">
        <v>56</v>
      </c>
      <c r="C69" s="57">
        <f>'CO_Attainment for Unit Tests'!B68</f>
        <v>23510250249</v>
      </c>
      <c r="D69" s="81" t="str">
        <f>'CO_Attainment for Unit Tests'!C68</f>
        <v> SHINDE ROHAN RAJENDRA</v>
      </c>
      <c r="E69" s="41"/>
      <c r="F69" s="59">
        <v>41</v>
      </c>
      <c r="G69" s="59">
        <v>20</v>
      </c>
    </row>
    <row r="70" spans="2:7" ht="15.75" customHeight="1" x14ac:dyDescent="0.25">
      <c r="B70" s="57">
        <v>57</v>
      </c>
      <c r="C70" s="57">
        <f>'CO_Attainment for Unit Tests'!B69</f>
        <v>23510250250</v>
      </c>
      <c r="D70" s="81" t="str">
        <f>'CO_Attainment for Unit Tests'!C69</f>
        <v> SHINDE SHIVAM SANDEEP</v>
      </c>
      <c r="E70" s="41"/>
      <c r="F70" s="59">
        <v>44</v>
      </c>
      <c r="G70" s="59">
        <v>24</v>
      </c>
    </row>
    <row r="71" spans="2:7" ht="15.75" customHeight="1" x14ac:dyDescent="0.25">
      <c r="B71" s="57">
        <v>58</v>
      </c>
      <c r="C71" s="57">
        <f>'CO_Attainment for Unit Tests'!B70</f>
        <v>23510250251</v>
      </c>
      <c r="D71" s="81" t="str">
        <f>'CO_Attainment for Unit Tests'!C70</f>
        <v> SHINDE YASHRAJ YUVRAJ</v>
      </c>
      <c r="E71" s="41"/>
      <c r="F71" s="59">
        <v>45</v>
      </c>
      <c r="G71" s="59">
        <v>24</v>
      </c>
    </row>
    <row r="72" spans="2:7" ht="15.75" customHeight="1" x14ac:dyDescent="0.25">
      <c r="B72" s="57">
        <v>59</v>
      </c>
      <c r="C72" s="57">
        <f>'CO_Attainment for Unit Tests'!B71</f>
        <v>23510250252</v>
      </c>
      <c r="D72" s="81" t="str">
        <f>'CO_Attainment for Unit Tests'!C71</f>
        <v> SIRSAT ABHISHEK SHAHAJI</v>
      </c>
      <c r="E72" s="41"/>
      <c r="F72" s="59">
        <v>38</v>
      </c>
      <c r="G72" s="59">
        <v>22</v>
      </c>
    </row>
    <row r="73" spans="2:7" ht="15.75" customHeight="1" x14ac:dyDescent="0.25">
      <c r="B73" s="57">
        <v>60</v>
      </c>
      <c r="C73" s="57">
        <f>'CO_Attainment for Unit Tests'!B72</f>
        <v>23510250254</v>
      </c>
      <c r="D73" s="81" t="str">
        <f>'CO_Attainment for Unit Tests'!C72</f>
        <v> UMBARDAND SHIVLILA BABASAHEB</v>
      </c>
      <c r="E73" s="41"/>
      <c r="F73" s="59">
        <v>41</v>
      </c>
      <c r="G73" s="59">
        <v>21</v>
      </c>
    </row>
    <row r="74" spans="2:7" ht="15.75" customHeight="1" x14ac:dyDescent="0.25">
      <c r="B74" s="57">
        <v>61</v>
      </c>
      <c r="C74" s="57">
        <f>'CO_Attainment for Unit Tests'!B73</f>
        <v>23510250255</v>
      </c>
      <c r="D74" s="81" t="str">
        <f>'CO_Attainment for Unit Tests'!C73</f>
        <v> VARE ANJALI RAMDAS</v>
      </c>
      <c r="E74" s="41"/>
      <c r="F74" s="59">
        <v>41</v>
      </c>
      <c r="G74" s="59">
        <v>20</v>
      </c>
    </row>
    <row r="75" spans="2:7" ht="15.75" customHeight="1" x14ac:dyDescent="0.25">
      <c r="B75" s="57">
        <v>62</v>
      </c>
      <c r="C75" s="57">
        <f>'CO_Attainment for Unit Tests'!B74</f>
        <v>23510250257</v>
      </c>
      <c r="D75" s="81" t="str">
        <f>'CO_Attainment for Unit Tests'!C74</f>
        <v> WAGHMARE PALLAVI DNYANESHWAR</v>
      </c>
      <c r="E75" s="41"/>
      <c r="F75" s="59">
        <v>40</v>
      </c>
      <c r="G75" s="59">
        <v>20</v>
      </c>
    </row>
    <row r="76" spans="2:7" ht="15.75" customHeight="1" x14ac:dyDescent="0.25">
      <c r="B76" s="57">
        <v>63</v>
      </c>
      <c r="C76" s="57">
        <f>'CO_Attainment for Unit Tests'!B75</f>
        <v>23510250524</v>
      </c>
      <c r="D76" s="81" t="str">
        <f>'CO_Attainment for Unit Tests'!C75</f>
        <v>Gavasane Vedant Amol</v>
      </c>
      <c r="E76" s="41"/>
      <c r="F76" s="59">
        <v>47</v>
      </c>
      <c r="G76" s="59">
        <v>24</v>
      </c>
    </row>
    <row r="77" spans="2:7" ht="15.75" customHeight="1" x14ac:dyDescent="0.25">
      <c r="B77" s="57">
        <v>64</v>
      </c>
      <c r="C77" s="57">
        <f>'CO_Attainment for Unit Tests'!B76</f>
        <v>24510250260</v>
      </c>
      <c r="D77" s="81" t="str">
        <f>'CO_Attainment for Unit Tests'!C76</f>
        <v>HAJARE SWAPNALI SUJIT</v>
      </c>
      <c r="E77" s="41"/>
      <c r="F77" s="59">
        <v>43</v>
      </c>
      <c r="G77" s="59">
        <v>21</v>
      </c>
    </row>
    <row r="78" spans="2:7" ht="15.75" customHeight="1" x14ac:dyDescent="0.25">
      <c r="B78" s="57">
        <v>65</v>
      </c>
      <c r="C78" s="57">
        <f>'CO_Attainment for Unit Tests'!B77</f>
        <v>24510250261</v>
      </c>
      <c r="D78" s="81" t="str">
        <f>'CO_Attainment for Unit Tests'!C77</f>
        <v>MUGALE AMAR RAM</v>
      </c>
      <c r="E78" s="41"/>
      <c r="F78" s="59">
        <v>24</v>
      </c>
      <c r="G78" s="59">
        <v>20</v>
      </c>
    </row>
    <row r="79" spans="2:7" ht="15.75" customHeight="1" x14ac:dyDescent="0.25">
      <c r="B79" s="57">
        <v>66</v>
      </c>
      <c r="C79" s="57">
        <f>'CO_Attainment for Unit Tests'!B78</f>
        <v>24510250262</v>
      </c>
      <c r="D79" s="81" t="str">
        <f>'CO_Attainment for Unit Tests'!C78</f>
        <v>PAWAR ASHWASANDHYA NANDAKUMAR</v>
      </c>
      <c r="E79" s="41"/>
      <c r="F79" s="59">
        <v>41</v>
      </c>
      <c r="G79" s="59">
        <v>23</v>
      </c>
    </row>
    <row r="80" spans="2:7" ht="15.75" customHeight="1" x14ac:dyDescent="0.25">
      <c r="B80" s="57">
        <v>67</v>
      </c>
      <c r="C80" s="57">
        <f>'CO_Attainment for Unit Tests'!B79</f>
        <v>24510250263</v>
      </c>
      <c r="D80" s="81" t="str">
        <f>'CO_Attainment for Unit Tests'!C79</f>
        <v>PAWAR ASHWASHRADHA DHANAJI</v>
      </c>
      <c r="E80" s="41"/>
      <c r="F80" s="59">
        <v>43</v>
      </c>
      <c r="G80" s="59">
        <v>23</v>
      </c>
    </row>
    <row r="81" spans="2:7" ht="15.75" customHeight="1" x14ac:dyDescent="0.25">
      <c r="B81" s="57">
        <v>68</v>
      </c>
      <c r="C81" s="57">
        <f>'CO_Attainment for Unit Tests'!B80</f>
        <v>24510250264</v>
      </c>
      <c r="D81" s="81" t="str">
        <f>'CO_Attainment for Unit Tests'!C80</f>
        <v>SUTAR PRIYA BHAGVANT</v>
      </c>
      <c r="E81" s="41"/>
      <c r="F81" s="59">
        <v>40</v>
      </c>
      <c r="G81" s="59">
        <v>22</v>
      </c>
    </row>
    <row r="82" spans="2:7" ht="15.75" customHeight="1" x14ac:dyDescent="0.25">
      <c r="B82" s="57">
        <v>69</v>
      </c>
      <c r="C82" s="57">
        <f>'CO_Attainment for Unit Tests'!B81</f>
        <v>24510250265</v>
      </c>
      <c r="D82" s="81" t="str">
        <f>'CO_Attainment for Unit Tests'!C81</f>
        <v>SUTAR YOGESH EKNATH</v>
      </c>
      <c r="E82" s="41"/>
      <c r="F82" s="59">
        <v>25</v>
      </c>
      <c r="G82" s="59">
        <v>19</v>
      </c>
    </row>
    <row r="83" spans="2:7" ht="15.75" customHeight="1" x14ac:dyDescent="0.25">
      <c r="B83" s="57">
        <v>70</v>
      </c>
      <c r="C83" s="57">
        <f>'CO_Attainment for Unit Tests'!B82</f>
        <v>24510250266</v>
      </c>
      <c r="D83" s="81" t="str">
        <f>'CO_Attainment for Unit Tests'!C82</f>
        <v>WAWALKAR ANJALI ANIL</v>
      </c>
      <c r="E83" s="41"/>
      <c r="F83" s="59">
        <v>39</v>
      </c>
      <c r="G83" s="59">
        <v>19</v>
      </c>
    </row>
    <row r="84" spans="2:7" ht="15.75" customHeight="1" x14ac:dyDescent="0.25">
      <c r="B84" s="57">
        <v>71</v>
      </c>
      <c r="C84" s="57">
        <f>'CO_Attainment for Unit Tests'!B83</f>
        <v>0</v>
      </c>
      <c r="D84" s="81">
        <f>'CO_Attainment for Unit Tests'!C83</f>
        <v>0</v>
      </c>
      <c r="E84" s="41"/>
      <c r="F84" s="40"/>
      <c r="G84" s="40"/>
    </row>
    <row r="85" spans="2:7" ht="15.75" customHeight="1" x14ac:dyDescent="0.25">
      <c r="B85" s="57">
        <v>72</v>
      </c>
      <c r="C85" s="57">
        <f>'CO_Attainment for Unit Tests'!B84</f>
        <v>0</v>
      </c>
      <c r="D85" s="81">
        <f>'CO_Attainment for Unit Tests'!C84</f>
        <v>0</v>
      </c>
      <c r="E85" s="41"/>
      <c r="F85" s="40"/>
      <c r="G85" s="40"/>
    </row>
    <row r="86" spans="2:7" ht="15.75" customHeight="1" x14ac:dyDescent="0.25">
      <c r="B86" s="57">
        <v>73</v>
      </c>
      <c r="C86" s="57">
        <f>'CO_Attainment for Unit Tests'!B85</f>
        <v>0</v>
      </c>
      <c r="D86" s="81">
        <f>'CO_Attainment for Unit Tests'!C85</f>
        <v>0</v>
      </c>
      <c r="E86" s="41"/>
      <c r="F86" s="40"/>
      <c r="G86" s="40"/>
    </row>
    <row r="87" spans="2:7" ht="15.75" customHeight="1" x14ac:dyDescent="0.25">
      <c r="B87" s="57">
        <v>74</v>
      </c>
      <c r="C87" s="57">
        <f>'CO_Attainment for Unit Tests'!B86</f>
        <v>0</v>
      </c>
      <c r="D87" s="81">
        <f>'CO_Attainment for Unit Tests'!C86</f>
        <v>0</v>
      </c>
      <c r="E87" s="41"/>
      <c r="F87" s="40"/>
      <c r="G87" s="40"/>
    </row>
    <row r="88" spans="2:7" ht="15.75" customHeight="1" x14ac:dyDescent="0.25">
      <c r="B88" s="57">
        <v>75</v>
      </c>
      <c r="C88" s="57">
        <f>'CO_Attainment for Unit Tests'!B87</f>
        <v>0</v>
      </c>
      <c r="D88" s="81">
        <f>'CO_Attainment for Unit Tests'!C87</f>
        <v>0</v>
      </c>
      <c r="E88" s="41"/>
      <c r="F88" s="40"/>
      <c r="G88" s="40"/>
    </row>
    <row r="89" spans="2:7" ht="15.75" customHeight="1" x14ac:dyDescent="0.25">
      <c r="B89" s="57">
        <v>76</v>
      </c>
      <c r="C89" s="57">
        <f>'CO_Attainment for Unit Tests'!B88</f>
        <v>0</v>
      </c>
      <c r="D89" s="81">
        <f>'CO_Attainment for Unit Tests'!C88</f>
        <v>0</v>
      </c>
      <c r="E89" s="41"/>
      <c r="F89" s="40"/>
      <c r="G89" s="40"/>
    </row>
    <row r="90" spans="2:7" ht="15.75" customHeight="1" x14ac:dyDescent="0.25">
      <c r="B90" s="57">
        <v>77</v>
      </c>
      <c r="C90" s="57">
        <f>'CO_Attainment for Unit Tests'!B89</f>
        <v>0</v>
      </c>
      <c r="D90" s="81">
        <f>'CO_Attainment for Unit Tests'!C89</f>
        <v>0</v>
      </c>
      <c r="E90" s="41"/>
      <c r="F90" s="40"/>
      <c r="G90" s="40"/>
    </row>
    <row r="91" spans="2:7" ht="15.75" customHeight="1" x14ac:dyDescent="0.25">
      <c r="B91" s="57">
        <v>78</v>
      </c>
      <c r="C91" s="57">
        <f>'CO_Attainment for Unit Tests'!B90</f>
        <v>0</v>
      </c>
      <c r="D91" s="81">
        <f>'CO_Attainment for Unit Tests'!C90</f>
        <v>0</v>
      </c>
      <c r="E91" s="41"/>
      <c r="F91" s="40"/>
      <c r="G91" s="40"/>
    </row>
    <row r="92" spans="2:7" ht="15.75" customHeight="1" x14ac:dyDescent="0.25">
      <c r="B92" s="57">
        <v>79</v>
      </c>
      <c r="C92" s="57">
        <f>'CO_Attainment for Unit Tests'!B91</f>
        <v>0</v>
      </c>
      <c r="D92" s="81">
        <f>'CO_Attainment for Unit Tests'!C91</f>
        <v>0</v>
      </c>
      <c r="E92" s="41"/>
      <c r="F92" s="40"/>
      <c r="G92" s="40"/>
    </row>
    <row r="93" spans="2:7" ht="15.75" customHeight="1" x14ac:dyDescent="0.25">
      <c r="B93" s="57">
        <v>80</v>
      </c>
      <c r="C93" s="57">
        <f>'CO_Attainment for Unit Tests'!B92</f>
        <v>0</v>
      </c>
      <c r="D93" s="81">
        <f>'CO_Attainment for Unit Tests'!C92</f>
        <v>0</v>
      </c>
      <c r="E93" s="41"/>
      <c r="F93" s="40"/>
      <c r="G93" s="40"/>
    </row>
    <row r="94" spans="2:7" ht="15.75" customHeight="1" x14ac:dyDescent="0.25">
      <c r="B94" s="57">
        <v>81</v>
      </c>
      <c r="C94" s="57">
        <f>'CO_Attainment for Unit Tests'!B93</f>
        <v>0</v>
      </c>
      <c r="D94" s="81">
        <f>'CO_Attainment for Unit Tests'!C93</f>
        <v>0</v>
      </c>
      <c r="E94" s="41"/>
      <c r="F94" s="40"/>
      <c r="G94" s="40"/>
    </row>
    <row r="95" spans="2:7" ht="15.75" customHeight="1" x14ac:dyDescent="0.25">
      <c r="B95" s="57">
        <v>82</v>
      </c>
      <c r="C95" s="57">
        <f>'CO_Attainment for Unit Tests'!B94</f>
        <v>0</v>
      </c>
      <c r="D95" s="81">
        <f>'CO_Attainment for Unit Tests'!C94</f>
        <v>0</v>
      </c>
      <c r="E95" s="41"/>
      <c r="F95" s="40"/>
      <c r="G95" s="40"/>
    </row>
    <row r="96" spans="2:7" ht="15.75" customHeight="1" x14ac:dyDescent="0.25">
      <c r="B96" s="57">
        <v>83</v>
      </c>
      <c r="C96" s="57">
        <f>'CO_Attainment for Unit Tests'!B95</f>
        <v>0</v>
      </c>
      <c r="D96" s="81">
        <f>'CO_Attainment for Unit Tests'!C95</f>
        <v>0</v>
      </c>
      <c r="E96" s="41"/>
      <c r="F96" s="40"/>
      <c r="G96" s="40"/>
    </row>
    <row r="97" spans="1:8" ht="30.75" customHeight="1" x14ac:dyDescent="0.25">
      <c r="B97" s="10"/>
      <c r="C97" s="10"/>
      <c r="D97" s="82" t="s">
        <v>166</v>
      </c>
      <c r="E97" s="270">
        <f>ROUNDUP(D98*E13/100,1)</f>
        <v>15</v>
      </c>
      <c r="F97" s="270">
        <f>ROUNDUP(D98*F13/100,1)</f>
        <v>30</v>
      </c>
      <c r="G97" s="270">
        <f>ROUNDUP(D98*G13/100,1)</f>
        <v>15</v>
      </c>
    </row>
    <row r="98" spans="1:8" ht="15.75" customHeight="1" x14ac:dyDescent="0.25">
      <c r="D98" s="83">
        <v>60</v>
      </c>
      <c r="E98" s="212"/>
      <c r="F98" s="212"/>
      <c r="G98" s="212"/>
    </row>
    <row r="99" spans="1:8" ht="15.75" customHeight="1" x14ac:dyDescent="0.25">
      <c r="D99" s="62" t="s">
        <v>139</v>
      </c>
      <c r="E99" s="63">
        <f t="shared" ref="E99:G99" si="0">COUNTIF(E14:E96,"&gt;=" &amp;E97)</f>
        <v>0</v>
      </c>
      <c r="F99" s="63">
        <f t="shared" si="0"/>
        <v>65</v>
      </c>
      <c r="G99" s="63">
        <f t="shared" si="0"/>
        <v>69</v>
      </c>
    </row>
    <row r="100" spans="1:8" ht="15.75" customHeight="1" x14ac:dyDescent="0.25"/>
    <row r="101" spans="1:8" ht="15.75" customHeight="1" x14ac:dyDescent="0.25"/>
    <row r="102" spans="1:8" ht="15.75" customHeight="1" x14ac:dyDescent="0.25"/>
    <row r="103" spans="1:8" ht="46.5" customHeight="1" x14ac:dyDescent="0.25">
      <c r="A103" s="68"/>
      <c r="B103" s="228" t="s">
        <v>167</v>
      </c>
      <c r="C103" s="197"/>
      <c r="D103" s="198"/>
      <c r="E103" s="84" t="s">
        <v>141</v>
      </c>
      <c r="F103" s="43"/>
      <c r="G103" s="67" t="s">
        <v>142</v>
      </c>
      <c r="H103" s="68"/>
    </row>
    <row r="104" spans="1:8" ht="15.75" customHeight="1" x14ac:dyDescent="0.25">
      <c r="A104" s="68"/>
      <c r="B104" s="231" t="s">
        <v>143</v>
      </c>
      <c r="C104" s="85">
        <v>0.5</v>
      </c>
      <c r="D104" s="70" t="s">
        <v>156</v>
      </c>
      <c r="E104" s="268">
        <f>COUNTA(D14:D96)-COUNTIFS(D14:D96,0)</f>
        <v>70</v>
      </c>
      <c r="F104" s="86">
        <f>C104*$E104</f>
        <v>35</v>
      </c>
      <c r="G104" s="71">
        <v>1</v>
      </c>
      <c r="H104" s="68"/>
    </row>
    <row r="105" spans="1:8" ht="15.75" customHeight="1" x14ac:dyDescent="0.25">
      <c r="A105" s="68"/>
      <c r="B105" s="232"/>
      <c r="C105" s="87">
        <v>0.6</v>
      </c>
      <c r="D105" s="73" t="s">
        <v>156</v>
      </c>
      <c r="E105" s="211"/>
      <c r="F105" s="88">
        <f>C105*$E104</f>
        <v>42</v>
      </c>
      <c r="G105" s="74">
        <v>2</v>
      </c>
      <c r="H105" s="68"/>
    </row>
    <row r="106" spans="1:8" ht="15.75" customHeight="1" x14ac:dyDescent="0.25">
      <c r="A106" s="68"/>
      <c r="B106" s="233"/>
      <c r="C106" s="89">
        <v>0.7</v>
      </c>
      <c r="D106" s="76" t="s">
        <v>156</v>
      </c>
      <c r="E106" s="212"/>
      <c r="F106" s="90">
        <f>C106*$E104</f>
        <v>49</v>
      </c>
      <c r="G106" s="77">
        <v>3</v>
      </c>
      <c r="H106" s="68"/>
    </row>
    <row r="107" spans="1:8" ht="15.75" customHeight="1" x14ac:dyDescent="0.25">
      <c r="A107" s="68"/>
      <c r="B107" s="68"/>
      <c r="C107" s="68"/>
      <c r="D107" s="68"/>
      <c r="E107" s="68"/>
      <c r="F107" s="68"/>
      <c r="G107" s="68"/>
      <c r="H107" s="68"/>
    </row>
    <row r="108" spans="1:8" ht="15.75" customHeight="1" x14ac:dyDescent="0.25">
      <c r="A108" s="68"/>
      <c r="B108" s="68"/>
      <c r="C108" s="68"/>
      <c r="D108" s="68"/>
      <c r="E108" s="68"/>
      <c r="F108" s="68"/>
      <c r="G108" s="68"/>
      <c r="H108" s="68"/>
    </row>
    <row r="109" spans="1:8" ht="33" customHeight="1" x14ac:dyDescent="0.25">
      <c r="A109" s="213" t="s">
        <v>168</v>
      </c>
      <c r="B109" s="271"/>
      <c r="C109" s="91" t="s">
        <v>9</v>
      </c>
      <c r="D109" s="91" t="s">
        <v>11</v>
      </c>
      <c r="E109" s="91" t="s">
        <v>13</v>
      </c>
      <c r="F109" s="91" t="s">
        <v>15</v>
      </c>
      <c r="G109" s="91" t="s">
        <v>146</v>
      </c>
      <c r="H109" s="92" t="s">
        <v>147</v>
      </c>
    </row>
    <row r="110" spans="1:8" ht="36.75" customHeight="1" x14ac:dyDescent="0.25">
      <c r="A110" s="272" t="s">
        <v>169</v>
      </c>
      <c r="B110" s="262"/>
      <c r="C110" s="93">
        <f>IF(E99&gt;=$F106,3,IF(E99&gt;=$F105,2,IF(E99&gt;=$F104,1,0)))</f>
        <v>0</v>
      </c>
      <c r="D110" s="93">
        <f t="shared" ref="D110:H110" si="1">$C110</f>
        <v>0</v>
      </c>
      <c r="E110" s="93">
        <f t="shared" si="1"/>
        <v>0</v>
      </c>
      <c r="F110" s="93">
        <f t="shared" si="1"/>
        <v>0</v>
      </c>
      <c r="G110" s="93">
        <f t="shared" si="1"/>
        <v>0</v>
      </c>
      <c r="H110" s="94">
        <f t="shared" si="1"/>
        <v>0</v>
      </c>
    </row>
    <row r="111" spans="1:8" ht="49.5" customHeight="1" x14ac:dyDescent="0.25">
      <c r="A111" s="273" t="s">
        <v>170</v>
      </c>
      <c r="B111" s="241"/>
      <c r="C111" s="95">
        <f>IF(F99&gt;=$F106,3,IF(F99&gt;=$F105,2,IF(F99&gt;=$F104,1,0)))</f>
        <v>3</v>
      </c>
      <c r="D111" s="95">
        <f t="shared" ref="D111:H111" si="2">$C111</f>
        <v>3</v>
      </c>
      <c r="E111" s="95">
        <f t="shared" si="2"/>
        <v>3</v>
      </c>
      <c r="F111" s="95">
        <f t="shared" si="2"/>
        <v>3</v>
      </c>
      <c r="G111" s="95">
        <f t="shared" si="2"/>
        <v>3</v>
      </c>
      <c r="H111" s="96">
        <f t="shared" si="2"/>
        <v>3</v>
      </c>
    </row>
    <row r="112" spans="1:8" ht="31.5" customHeight="1" x14ac:dyDescent="0.25">
      <c r="A112" s="274" t="s">
        <v>171</v>
      </c>
      <c r="B112" s="264"/>
      <c r="C112" s="54">
        <f>IF(G99&gt;=$F106,3,IF(G99&gt;=$F105,2,IF(G99&gt;=$F104,1,0)))</f>
        <v>3</v>
      </c>
      <c r="D112" s="54">
        <f t="shared" ref="D112:H112" si="3">$C112</f>
        <v>3</v>
      </c>
      <c r="E112" s="54">
        <f t="shared" si="3"/>
        <v>3</v>
      </c>
      <c r="F112" s="54">
        <f t="shared" si="3"/>
        <v>3</v>
      </c>
      <c r="G112" s="54">
        <f t="shared" si="3"/>
        <v>3</v>
      </c>
      <c r="H112" s="97">
        <f t="shared" si="3"/>
        <v>3</v>
      </c>
    </row>
    <row r="113" spans="2:7" ht="15.75" customHeight="1" x14ac:dyDescent="0.25">
      <c r="B113" s="10"/>
    </row>
    <row r="114" spans="2:7" ht="15.75" customHeight="1" x14ac:dyDescent="0.25">
      <c r="C114" s="10"/>
    </row>
    <row r="115" spans="2:7" ht="15.75" customHeight="1" x14ac:dyDescent="0.25">
      <c r="C115" s="10"/>
    </row>
    <row r="116" spans="2:7" ht="15.75" customHeight="1" x14ac:dyDescent="0.25"/>
    <row r="117" spans="2:7" ht="15.75" customHeight="1" x14ac:dyDescent="0.25"/>
    <row r="118" spans="2:7" ht="15.75" customHeight="1" x14ac:dyDescent="0.25"/>
    <row r="119" spans="2:7" ht="15.75" customHeight="1" x14ac:dyDescent="0.25">
      <c r="G119" s="9"/>
    </row>
    <row r="120" spans="2:7" ht="15.75" customHeight="1" x14ac:dyDescent="0.25">
      <c r="G120" s="9"/>
    </row>
    <row r="121" spans="2:7" ht="15.75" customHeight="1" x14ac:dyDescent="0.25"/>
    <row r="122" spans="2:7" ht="15.75" customHeight="1" x14ac:dyDescent="0.25"/>
    <row r="123" spans="2:7" ht="15.75" customHeight="1" x14ac:dyDescent="0.25"/>
    <row r="124" spans="2:7" ht="15.75" customHeight="1" x14ac:dyDescent="0.25"/>
    <row r="125" spans="2:7" ht="15.75" customHeight="1" x14ac:dyDescent="0.25"/>
    <row r="126" spans="2:7" ht="15.75" customHeight="1" x14ac:dyDescent="0.25"/>
    <row r="127" spans="2:7" ht="15.75" customHeight="1" x14ac:dyDescent="0.25"/>
    <row r="128" spans="2:7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20">
    <mergeCell ref="A112:B112"/>
    <mergeCell ref="E9:E12"/>
    <mergeCell ref="F9:F12"/>
    <mergeCell ref="G9:G12"/>
    <mergeCell ref="F97:F98"/>
    <mergeCell ref="G97:G98"/>
    <mergeCell ref="B103:D103"/>
    <mergeCell ref="B104:B106"/>
    <mergeCell ref="E97:E98"/>
    <mergeCell ref="E104:E106"/>
    <mergeCell ref="A109:B109"/>
    <mergeCell ref="A110:B110"/>
    <mergeCell ref="A111:B111"/>
    <mergeCell ref="D4:E4"/>
    <mergeCell ref="D5:E5"/>
    <mergeCell ref="D6:E6"/>
    <mergeCell ref="D7:E7"/>
    <mergeCell ref="B9:B13"/>
    <mergeCell ref="C9:C13"/>
    <mergeCell ref="D9:D13"/>
  </mergeCells>
  <pageMargins left="0.7" right="0.7" top="0.75" bottom="0.75" header="0" footer="0"/>
  <pageSetup scale="28"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G1000"/>
  <sheetViews>
    <sheetView workbookViewId="0"/>
  </sheetViews>
  <sheetFormatPr defaultColWidth="14.42578125" defaultRowHeight="15" customHeight="1" x14ac:dyDescent="0.25"/>
  <cols>
    <col min="1" max="2" width="8.7109375" customWidth="1"/>
    <col min="3" max="3" width="13.85546875" customWidth="1"/>
    <col min="4" max="4" width="43.85546875" customWidth="1"/>
    <col min="5" max="5" width="19.140625" customWidth="1"/>
    <col min="6" max="7" width="8.7109375" customWidth="1"/>
  </cols>
  <sheetData>
    <row r="1" spans="2:6" ht="20.25" x14ac:dyDescent="0.25">
      <c r="C1" s="79" t="s">
        <v>172</v>
      </c>
      <c r="E1" s="79"/>
      <c r="F1" s="28"/>
    </row>
    <row r="2" spans="2:6" x14ac:dyDescent="0.25">
      <c r="B2" s="28"/>
      <c r="C2" s="28"/>
      <c r="E2" s="28"/>
    </row>
    <row r="3" spans="2:6" ht="20.25" x14ac:dyDescent="0.25">
      <c r="B3" s="28"/>
      <c r="C3" s="28"/>
      <c r="D3" s="55"/>
      <c r="E3" s="28"/>
    </row>
    <row r="4" spans="2:6" x14ac:dyDescent="0.25">
      <c r="B4" s="28"/>
      <c r="C4" s="29" t="s">
        <v>1</v>
      </c>
      <c r="D4" s="57" t="str">
        <f>'CO_attain_SLA_FA-PR_SA-PR'!D4</f>
        <v>DATA STRUCTURE USING C</v>
      </c>
      <c r="E4" s="28"/>
      <c r="F4" s="28"/>
    </row>
    <row r="5" spans="2:6" x14ac:dyDescent="0.25">
      <c r="B5" s="28"/>
      <c r="C5" s="29" t="s">
        <v>3</v>
      </c>
      <c r="D5" s="57">
        <f>'CO_attain_SLA_FA-PR_SA-PR'!D5</f>
        <v>313301</v>
      </c>
      <c r="E5" s="28"/>
      <c r="F5" s="28"/>
    </row>
    <row r="6" spans="2:6" x14ac:dyDescent="0.25">
      <c r="B6" s="28"/>
      <c r="C6" s="29" t="s">
        <v>55</v>
      </c>
      <c r="D6" s="57" t="str">
        <f>'CO_attain_SLA_FA-PR_SA-PR'!D6</f>
        <v>3rd SEM(CO3K SCHEME)</v>
      </c>
      <c r="E6" s="28"/>
      <c r="F6" s="28"/>
    </row>
    <row r="7" spans="2:6" x14ac:dyDescent="0.25">
      <c r="B7" s="28"/>
      <c r="C7" s="29" t="s">
        <v>162</v>
      </c>
      <c r="D7" s="57" t="str">
        <f>'CO_attain_SLA_FA-PR_SA-PR'!D7</f>
        <v>2024-25</v>
      </c>
      <c r="E7" s="28"/>
      <c r="F7" s="28"/>
    </row>
    <row r="8" spans="2:6" x14ac:dyDescent="0.25">
      <c r="B8" s="28"/>
      <c r="C8" s="29"/>
      <c r="D8" s="98"/>
      <c r="E8" s="28"/>
      <c r="F8" s="28"/>
    </row>
    <row r="9" spans="2:6" ht="15.75" x14ac:dyDescent="0.25">
      <c r="B9" s="99" t="s">
        <v>173</v>
      </c>
    </row>
    <row r="10" spans="2:6" ht="15.75" customHeight="1" x14ac:dyDescent="0.25">
      <c r="B10" s="281" t="s">
        <v>23</v>
      </c>
      <c r="C10" s="282" t="s">
        <v>174</v>
      </c>
      <c r="D10" s="283" t="s">
        <v>58</v>
      </c>
      <c r="E10" s="282" t="s">
        <v>175</v>
      </c>
    </row>
    <row r="11" spans="2:6" x14ac:dyDescent="0.25">
      <c r="B11" s="211"/>
      <c r="C11" s="211"/>
      <c r="D11" s="211"/>
      <c r="E11" s="211"/>
    </row>
    <row r="12" spans="2:6" x14ac:dyDescent="0.25">
      <c r="B12" s="211"/>
      <c r="C12" s="211"/>
      <c r="D12" s="211"/>
      <c r="E12" s="211"/>
    </row>
    <row r="13" spans="2:6" x14ac:dyDescent="0.25">
      <c r="B13" s="211"/>
      <c r="C13" s="211"/>
      <c r="D13" s="211"/>
      <c r="E13" s="284"/>
    </row>
    <row r="14" spans="2:6" x14ac:dyDescent="0.25">
      <c r="B14" s="212"/>
      <c r="C14" s="212"/>
      <c r="D14" s="212"/>
      <c r="E14" s="100">
        <v>5</v>
      </c>
    </row>
    <row r="15" spans="2:6" x14ac:dyDescent="0.25">
      <c r="B15" s="101">
        <v>1</v>
      </c>
      <c r="C15" s="101">
        <f>'CO_attainment for FA-TH ESE'!C14</f>
        <v>23510250191</v>
      </c>
      <c r="D15" s="101" t="str">
        <f>'CO_attainment for FA-TH ESE'!D14</f>
        <v> ADSUL SHASHWATI NITIN</v>
      </c>
      <c r="E15" s="101">
        <v>0</v>
      </c>
    </row>
    <row r="16" spans="2:6" hidden="1" x14ac:dyDescent="0.25">
      <c r="B16" s="102"/>
      <c r="C16" s="102" t="e">
        <f>'CO_attainment for FA-TH ESE'!#REF!</f>
        <v>#REF!</v>
      </c>
      <c r="D16" s="102" t="e">
        <f>'CO_attainment for FA-TH ESE'!#REF!</f>
        <v>#REF!</v>
      </c>
      <c r="E16" s="103"/>
    </row>
    <row r="17" spans="2:5" x14ac:dyDescent="0.25">
      <c r="B17" s="102">
        <v>2</v>
      </c>
      <c r="C17" s="102" t="e">
        <f>'CO_attainment for FA-TH ESE'!#REF!</f>
        <v>#REF!</v>
      </c>
      <c r="D17" s="102" t="e">
        <f>'CO_attainment for FA-TH ESE'!#REF!</f>
        <v>#REF!</v>
      </c>
      <c r="E17" s="102"/>
    </row>
    <row r="18" spans="2:5" hidden="1" x14ac:dyDescent="0.25">
      <c r="B18" s="102"/>
      <c r="C18" s="102" t="e">
        <f>'CO_attainment for FA-TH ESE'!#REF!</f>
        <v>#REF!</v>
      </c>
      <c r="D18" s="102" t="e">
        <f>'CO_attainment for FA-TH ESE'!#REF!</f>
        <v>#REF!</v>
      </c>
      <c r="E18" s="102"/>
    </row>
    <row r="19" spans="2:5" x14ac:dyDescent="0.25">
      <c r="B19" s="102">
        <v>3</v>
      </c>
      <c r="C19" s="102" t="e">
        <f>'CO_attainment for FA-TH ESE'!#REF!</f>
        <v>#REF!</v>
      </c>
      <c r="D19" s="102" t="e">
        <f>'CO_attainment for FA-TH ESE'!#REF!</f>
        <v>#REF!</v>
      </c>
      <c r="E19" s="102"/>
    </row>
    <row r="20" spans="2:5" hidden="1" x14ac:dyDescent="0.25">
      <c r="B20" s="102"/>
      <c r="C20" s="102" t="e">
        <f>'CO_attainment for FA-TH ESE'!#REF!</f>
        <v>#REF!</v>
      </c>
      <c r="D20" s="102" t="e">
        <f>'CO_attainment for FA-TH ESE'!#REF!</f>
        <v>#REF!</v>
      </c>
      <c r="E20" s="103"/>
    </row>
    <row r="21" spans="2:5" ht="15.75" hidden="1" customHeight="1" x14ac:dyDescent="0.25">
      <c r="B21" s="102"/>
      <c r="C21" s="102" t="e">
        <f>'CO_attainment for FA-TH ESE'!#REF!</f>
        <v>#REF!</v>
      </c>
      <c r="D21" s="102" t="e">
        <f>'CO_attainment for FA-TH ESE'!#REF!</f>
        <v>#REF!</v>
      </c>
      <c r="E21" s="103"/>
    </row>
    <row r="22" spans="2:5" ht="15.75" customHeight="1" x14ac:dyDescent="0.25">
      <c r="B22" s="102">
        <v>4</v>
      </c>
      <c r="C22" s="102" t="e">
        <f>'CO_attainment for FA-TH ESE'!#REF!</f>
        <v>#REF!</v>
      </c>
      <c r="D22" s="102" t="e">
        <f>'CO_attainment for FA-TH ESE'!#REF!</f>
        <v>#REF!</v>
      </c>
      <c r="E22" s="102"/>
    </row>
    <row r="23" spans="2:5" ht="15.75" hidden="1" customHeight="1" x14ac:dyDescent="0.25">
      <c r="B23" s="102"/>
      <c r="C23" s="102" t="e">
        <f>'CO_attainment for FA-TH ESE'!#REF!</f>
        <v>#REF!</v>
      </c>
      <c r="D23" s="102" t="e">
        <f>'CO_attainment for FA-TH ESE'!#REF!</f>
        <v>#REF!</v>
      </c>
      <c r="E23" s="103"/>
    </row>
    <row r="24" spans="2:5" ht="15.75" hidden="1" customHeight="1" x14ac:dyDescent="0.25">
      <c r="B24" s="102"/>
      <c r="C24" s="102" t="e">
        <f>'CO_attainment for FA-TH ESE'!#REF!</f>
        <v>#REF!</v>
      </c>
      <c r="D24" s="102" t="e">
        <f>'CO_attainment for FA-TH ESE'!#REF!</f>
        <v>#REF!</v>
      </c>
      <c r="E24" s="103"/>
    </row>
    <row r="25" spans="2:5" ht="15.75" hidden="1" customHeight="1" x14ac:dyDescent="0.25">
      <c r="B25" s="102"/>
      <c r="C25" s="102" t="e">
        <f>'CO_attainment for FA-TH ESE'!#REF!</f>
        <v>#REF!</v>
      </c>
      <c r="D25" s="102" t="e">
        <f>'CO_attainment for FA-TH ESE'!#REF!</f>
        <v>#REF!</v>
      </c>
      <c r="E25" s="102"/>
    </row>
    <row r="26" spans="2:5" ht="15.75" hidden="1" customHeight="1" x14ac:dyDescent="0.25">
      <c r="B26" s="102"/>
      <c r="C26" s="102" t="e">
        <f>'CO_attainment for FA-TH ESE'!#REF!</f>
        <v>#REF!</v>
      </c>
      <c r="D26" s="102" t="e">
        <f>'CO_attainment for FA-TH ESE'!#REF!</f>
        <v>#REF!</v>
      </c>
      <c r="E26" s="102"/>
    </row>
    <row r="27" spans="2:5" ht="15.75" hidden="1" customHeight="1" x14ac:dyDescent="0.25">
      <c r="B27" s="102"/>
      <c r="C27" s="102" t="e">
        <f>'CO_attainment for FA-TH ESE'!#REF!</f>
        <v>#REF!</v>
      </c>
      <c r="D27" s="102" t="e">
        <f>'CO_attainment for FA-TH ESE'!#REF!</f>
        <v>#REF!</v>
      </c>
      <c r="E27" s="102"/>
    </row>
    <row r="28" spans="2:5" ht="15.75" hidden="1" customHeight="1" x14ac:dyDescent="0.25">
      <c r="B28" s="102"/>
      <c r="C28" s="102" t="e">
        <f>'CO_attainment for FA-TH ESE'!#REF!</f>
        <v>#REF!</v>
      </c>
      <c r="D28" s="102" t="e">
        <f>'CO_attainment for FA-TH ESE'!#REF!</f>
        <v>#REF!</v>
      </c>
      <c r="E28" s="102"/>
    </row>
    <row r="29" spans="2:5" ht="15.75" hidden="1" customHeight="1" x14ac:dyDescent="0.25">
      <c r="B29" s="102"/>
      <c r="C29" s="102" t="e">
        <f>'CO_attainment for FA-TH ESE'!#REF!</f>
        <v>#REF!</v>
      </c>
      <c r="D29" s="102" t="e">
        <f>'CO_attainment for FA-TH ESE'!#REF!</f>
        <v>#REF!</v>
      </c>
      <c r="E29" s="102"/>
    </row>
    <row r="30" spans="2:5" ht="15.75" hidden="1" customHeight="1" x14ac:dyDescent="0.25">
      <c r="B30" s="102"/>
      <c r="C30" s="102" t="e">
        <f>'CO_attainment for FA-TH ESE'!#REF!</f>
        <v>#REF!</v>
      </c>
      <c r="D30" s="102" t="e">
        <f>'CO_attainment for FA-TH ESE'!#REF!</f>
        <v>#REF!</v>
      </c>
      <c r="E30" s="102"/>
    </row>
    <row r="31" spans="2:5" ht="15.75" customHeight="1" x14ac:dyDescent="0.25">
      <c r="B31" s="102">
        <v>5</v>
      </c>
      <c r="C31" s="102" t="e">
        <f>'CO_attainment for FA-TH ESE'!#REF!</f>
        <v>#REF!</v>
      </c>
      <c r="D31" s="102" t="e">
        <f>'CO_attainment for FA-TH ESE'!#REF!</f>
        <v>#REF!</v>
      </c>
      <c r="E31" s="102"/>
    </row>
    <row r="32" spans="2:5" ht="15.75" hidden="1" customHeight="1" x14ac:dyDescent="0.25">
      <c r="B32" s="102"/>
      <c r="C32" s="102" t="e">
        <f>'CO_attainment for FA-TH ESE'!#REF!</f>
        <v>#REF!</v>
      </c>
      <c r="D32" s="102" t="e">
        <f>'CO_attainment for FA-TH ESE'!#REF!</f>
        <v>#REF!</v>
      </c>
      <c r="E32" s="102"/>
    </row>
    <row r="33" spans="2:5" ht="15.75" hidden="1" customHeight="1" x14ac:dyDescent="0.25">
      <c r="B33" s="102"/>
      <c r="C33" s="102" t="e">
        <f>'CO_attainment for FA-TH ESE'!#REF!</f>
        <v>#REF!</v>
      </c>
      <c r="D33" s="102" t="e">
        <f>'CO_attainment for FA-TH ESE'!#REF!</f>
        <v>#REF!</v>
      </c>
      <c r="E33" s="102"/>
    </row>
    <row r="34" spans="2:5" ht="15.75" hidden="1" customHeight="1" x14ac:dyDescent="0.25">
      <c r="B34" s="102"/>
      <c r="C34" s="102" t="e">
        <f>'CO_attainment for FA-TH ESE'!#REF!</f>
        <v>#REF!</v>
      </c>
      <c r="D34" s="102" t="e">
        <f>'CO_attainment for FA-TH ESE'!#REF!</f>
        <v>#REF!</v>
      </c>
      <c r="E34" s="102"/>
    </row>
    <row r="35" spans="2:5" ht="15.75" hidden="1" customHeight="1" x14ac:dyDescent="0.25">
      <c r="B35" s="102"/>
      <c r="C35" s="102" t="e">
        <f>'CO_attainment for FA-TH ESE'!#REF!</f>
        <v>#REF!</v>
      </c>
      <c r="D35" s="102" t="e">
        <f>'CO_attainment for FA-TH ESE'!#REF!</f>
        <v>#REF!</v>
      </c>
      <c r="E35" s="102"/>
    </row>
    <row r="36" spans="2:5" ht="15.75" hidden="1" customHeight="1" x14ac:dyDescent="0.25">
      <c r="B36" s="102"/>
      <c r="C36" s="102" t="e">
        <f>'CO_attainment for FA-TH ESE'!#REF!</f>
        <v>#REF!</v>
      </c>
      <c r="D36" s="102" t="e">
        <f>'CO_attainment for FA-TH ESE'!#REF!</f>
        <v>#REF!</v>
      </c>
      <c r="E36" s="102"/>
    </row>
    <row r="37" spans="2:5" ht="15.75" hidden="1" customHeight="1" x14ac:dyDescent="0.25">
      <c r="B37" s="102"/>
      <c r="C37" s="102" t="e">
        <f>'CO_attainment for FA-TH ESE'!#REF!</f>
        <v>#REF!</v>
      </c>
      <c r="D37" s="102" t="e">
        <f>'CO_attainment for FA-TH ESE'!#REF!</f>
        <v>#REF!</v>
      </c>
      <c r="E37" s="102"/>
    </row>
    <row r="38" spans="2:5" ht="15.75" customHeight="1" x14ac:dyDescent="0.25">
      <c r="B38" s="102">
        <v>6</v>
      </c>
      <c r="C38" s="102" t="e">
        <f>'CO_attainment for FA-TH ESE'!#REF!</f>
        <v>#REF!</v>
      </c>
      <c r="D38" s="102" t="e">
        <f>'CO_attainment for FA-TH ESE'!#REF!</f>
        <v>#REF!</v>
      </c>
      <c r="E38" s="102"/>
    </row>
    <row r="39" spans="2:5" ht="15.75" hidden="1" customHeight="1" x14ac:dyDescent="0.25">
      <c r="B39" s="102"/>
      <c r="C39" s="102" t="e">
        <f>'CO_attainment for FA-TH ESE'!#REF!</f>
        <v>#REF!</v>
      </c>
      <c r="D39" s="102" t="e">
        <f>'CO_attainment for FA-TH ESE'!#REF!</f>
        <v>#REF!</v>
      </c>
      <c r="E39" s="102"/>
    </row>
    <row r="40" spans="2:5" ht="15.75" hidden="1" customHeight="1" x14ac:dyDescent="0.25">
      <c r="B40" s="102"/>
      <c r="C40" s="102" t="e">
        <f>'CO_attainment for FA-TH ESE'!#REF!</f>
        <v>#REF!</v>
      </c>
      <c r="D40" s="102" t="e">
        <f>'CO_attainment for FA-TH ESE'!#REF!</f>
        <v>#REF!</v>
      </c>
      <c r="E40" s="102"/>
    </row>
    <row r="41" spans="2:5" ht="15.75" hidden="1" customHeight="1" x14ac:dyDescent="0.25">
      <c r="B41" s="102"/>
      <c r="C41" s="102" t="e">
        <f>'CO_attainment for FA-TH ESE'!#REF!</f>
        <v>#REF!</v>
      </c>
      <c r="D41" s="102" t="e">
        <f>'CO_attainment for FA-TH ESE'!#REF!</f>
        <v>#REF!</v>
      </c>
      <c r="E41" s="102"/>
    </row>
    <row r="42" spans="2:5" ht="15.75" hidden="1" customHeight="1" x14ac:dyDescent="0.25">
      <c r="B42" s="102"/>
      <c r="C42" s="102" t="e">
        <f>'CO_attainment for FA-TH ESE'!#REF!</f>
        <v>#REF!</v>
      </c>
      <c r="D42" s="102" t="e">
        <f>'CO_attainment for FA-TH ESE'!#REF!</f>
        <v>#REF!</v>
      </c>
      <c r="E42" s="102"/>
    </row>
    <row r="43" spans="2:5" ht="15.75" hidden="1" customHeight="1" x14ac:dyDescent="0.25">
      <c r="B43" s="102"/>
      <c r="C43" s="102" t="e">
        <f>'CO_attainment for FA-TH ESE'!#REF!</f>
        <v>#REF!</v>
      </c>
      <c r="D43" s="102" t="e">
        <f>'CO_attainment for FA-TH ESE'!#REF!</f>
        <v>#REF!</v>
      </c>
      <c r="E43" s="102"/>
    </row>
    <row r="44" spans="2:5" ht="15.75" hidden="1" customHeight="1" x14ac:dyDescent="0.25">
      <c r="B44" s="102"/>
      <c r="C44" s="102" t="e">
        <f>'CO_attainment for FA-TH ESE'!#REF!</f>
        <v>#REF!</v>
      </c>
      <c r="D44" s="102" t="e">
        <f>'CO_attainment for FA-TH ESE'!#REF!</f>
        <v>#REF!</v>
      </c>
      <c r="E44" s="102"/>
    </row>
    <row r="45" spans="2:5" ht="15.75" hidden="1" customHeight="1" x14ac:dyDescent="0.25">
      <c r="B45" s="102"/>
      <c r="C45" s="102" t="e">
        <f>'CO_attainment for FA-TH ESE'!#REF!</f>
        <v>#REF!</v>
      </c>
      <c r="D45" s="102" t="e">
        <f>'CO_attainment for FA-TH ESE'!#REF!</f>
        <v>#REF!</v>
      </c>
      <c r="E45" s="102"/>
    </row>
    <row r="46" spans="2:5" ht="15.75" hidden="1" customHeight="1" x14ac:dyDescent="0.25">
      <c r="B46" s="102"/>
      <c r="C46" s="102" t="e">
        <f>'CO_attainment for FA-TH ESE'!#REF!</f>
        <v>#REF!</v>
      </c>
      <c r="D46" s="102" t="e">
        <f>'CO_attainment for FA-TH ESE'!#REF!</f>
        <v>#REF!</v>
      </c>
      <c r="E46" s="102"/>
    </row>
    <row r="47" spans="2:5" ht="15.75" hidden="1" customHeight="1" x14ac:dyDescent="0.25">
      <c r="B47" s="102"/>
      <c r="C47" s="102" t="e">
        <f>'CO_attainment for FA-TH ESE'!#REF!</f>
        <v>#REF!</v>
      </c>
      <c r="D47" s="102" t="e">
        <f>'CO_attainment for FA-TH ESE'!#REF!</f>
        <v>#REF!</v>
      </c>
      <c r="E47" s="102"/>
    </row>
    <row r="48" spans="2:5" ht="15.75" hidden="1" customHeight="1" x14ac:dyDescent="0.25">
      <c r="B48" s="102"/>
      <c r="C48" s="102" t="e">
        <f>'CO_attainment for FA-TH ESE'!#REF!</f>
        <v>#REF!</v>
      </c>
      <c r="D48" s="102" t="e">
        <f>'CO_attainment for FA-TH ESE'!#REF!</f>
        <v>#REF!</v>
      </c>
      <c r="E48" s="102"/>
    </row>
    <row r="49" spans="2:5" ht="15.75" hidden="1" customHeight="1" x14ac:dyDescent="0.25">
      <c r="B49" s="102"/>
      <c r="C49" s="102" t="e">
        <f>'CO_attainment for FA-TH ESE'!#REF!</f>
        <v>#REF!</v>
      </c>
      <c r="D49" s="102" t="e">
        <f>'CO_attainment for FA-TH ESE'!#REF!</f>
        <v>#REF!</v>
      </c>
      <c r="E49" s="102"/>
    </row>
    <row r="50" spans="2:5" ht="15.75" hidden="1" customHeight="1" x14ac:dyDescent="0.25">
      <c r="B50" s="102"/>
      <c r="C50" s="102" t="e">
        <f>'CO_attainment for FA-TH ESE'!#REF!</f>
        <v>#REF!</v>
      </c>
      <c r="D50" s="102" t="e">
        <f>'CO_attainment for FA-TH ESE'!#REF!</f>
        <v>#REF!</v>
      </c>
      <c r="E50" s="102"/>
    </row>
    <row r="51" spans="2:5" ht="15.75" hidden="1" customHeight="1" x14ac:dyDescent="0.25">
      <c r="B51" s="102"/>
      <c r="C51" s="102" t="e">
        <f>'CO_attainment for FA-TH ESE'!#REF!</f>
        <v>#REF!</v>
      </c>
      <c r="D51" s="102" t="e">
        <f>'CO_attainment for FA-TH ESE'!#REF!</f>
        <v>#REF!</v>
      </c>
      <c r="E51" s="102"/>
    </row>
    <row r="52" spans="2:5" ht="15.75" hidden="1" customHeight="1" x14ac:dyDescent="0.25">
      <c r="B52" s="102"/>
      <c r="C52" s="102" t="e">
        <f>'CO_attainment for FA-TH ESE'!#REF!</f>
        <v>#REF!</v>
      </c>
      <c r="D52" s="102" t="e">
        <f>'CO_attainment for FA-TH ESE'!#REF!</f>
        <v>#REF!</v>
      </c>
      <c r="E52" s="102"/>
    </row>
    <row r="53" spans="2:5" ht="15.75" hidden="1" customHeight="1" x14ac:dyDescent="0.25">
      <c r="B53" s="102"/>
      <c r="C53" s="102" t="e">
        <f>'CO_attainment for FA-TH ESE'!#REF!</f>
        <v>#REF!</v>
      </c>
      <c r="D53" s="102" t="e">
        <f>'CO_attainment for FA-TH ESE'!#REF!</f>
        <v>#REF!</v>
      </c>
      <c r="E53" s="102"/>
    </row>
    <row r="54" spans="2:5" ht="15.75" hidden="1" customHeight="1" x14ac:dyDescent="0.25">
      <c r="B54" s="102"/>
      <c r="C54" s="102" t="e">
        <f>'CO_attainment for FA-TH ESE'!#REF!</f>
        <v>#REF!</v>
      </c>
      <c r="D54" s="102" t="e">
        <f>'CO_attainment for FA-TH ESE'!#REF!</f>
        <v>#REF!</v>
      </c>
      <c r="E54" s="102"/>
    </row>
    <row r="55" spans="2:5" ht="15.75" hidden="1" customHeight="1" x14ac:dyDescent="0.25">
      <c r="B55" s="102"/>
      <c r="C55" s="102" t="e">
        <f>'CO_attainment for FA-TH ESE'!#REF!</f>
        <v>#REF!</v>
      </c>
      <c r="D55" s="102" t="e">
        <f>'CO_attainment for FA-TH ESE'!#REF!</f>
        <v>#REF!</v>
      </c>
      <c r="E55" s="102"/>
    </row>
    <row r="56" spans="2:5" ht="15.75" hidden="1" customHeight="1" x14ac:dyDescent="0.25">
      <c r="B56" s="102"/>
      <c r="C56" s="102" t="e">
        <f>'CO_attainment for FA-TH ESE'!#REF!</f>
        <v>#REF!</v>
      </c>
      <c r="D56" s="102" t="e">
        <f>'CO_attainment for FA-TH ESE'!#REF!</f>
        <v>#REF!</v>
      </c>
      <c r="E56" s="102"/>
    </row>
    <row r="57" spans="2:5" ht="15.75" hidden="1" customHeight="1" x14ac:dyDescent="0.25">
      <c r="B57" s="102"/>
      <c r="C57" s="102" t="e">
        <f>'CO_attainment for FA-TH ESE'!#REF!</f>
        <v>#REF!</v>
      </c>
      <c r="D57" s="102" t="e">
        <f>'CO_attainment for FA-TH ESE'!#REF!</f>
        <v>#REF!</v>
      </c>
      <c r="E57" s="102"/>
    </row>
    <row r="58" spans="2:5" ht="15.75" hidden="1" customHeight="1" x14ac:dyDescent="0.25">
      <c r="B58" s="102"/>
      <c r="C58" s="102" t="e">
        <f>'CO_attainment for FA-TH ESE'!#REF!</f>
        <v>#REF!</v>
      </c>
      <c r="D58" s="102" t="e">
        <f>'CO_attainment for FA-TH ESE'!#REF!</f>
        <v>#REF!</v>
      </c>
      <c r="E58" s="102"/>
    </row>
    <row r="59" spans="2:5" ht="15.75" hidden="1" customHeight="1" x14ac:dyDescent="0.25">
      <c r="B59" s="102"/>
      <c r="C59" s="102" t="e">
        <f>'CO_attainment for FA-TH ESE'!#REF!</f>
        <v>#REF!</v>
      </c>
      <c r="D59" s="102" t="e">
        <f>'CO_attainment for FA-TH ESE'!#REF!</f>
        <v>#REF!</v>
      </c>
      <c r="E59" s="102"/>
    </row>
    <row r="60" spans="2:5" ht="15.75" hidden="1" customHeight="1" x14ac:dyDescent="0.25">
      <c r="B60" s="102"/>
      <c r="C60" s="102" t="e">
        <f>'CO_attainment for FA-TH ESE'!#REF!</f>
        <v>#REF!</v>
      </c>
      <c r="D60" s="102" t="e">
        <f>'CO_attainment for FA-TH ESE'!#REF!</f>
        <v>#REF!</v>
      </c>
      <c r="E60" s="102"/>
    </row>
    <row r="61" spans="2:5" ht="15.75" hidden="1" customHeight="1" x14ac:dyDescent="0.25">
      <c r="B61" s="102"/>
      <c r="C61" s="102" t="e">
        <f>'CO_attainment for FA-TH ESE'!#REF!</f>
        <v>#REF!</v>
      </c>
      <c r="D61" s="102" t="e">
        <f>'CO_attainment for FA-TH ESE'!#REF!</f>
        <v>#REF!</v>
      </c>
      <c r="E61" s="102"/>
    </row>
    <row r="62" spans="2:5" ht="15.75" hidden="1" customHeight="1" x14ac:dyDescent="0.25">
      <c r="B62" s="102"/>
      <c r="C62" s="102" t="e">
        <f>'CO_attainment for FA-TH ESE'!#REF!</f>
        <v>#REF!</v>
      </c>
      <c r="D62" s="102" t="e">
        <f>'CO_attainment for FA-TH ESE'!#REF!</f>
        <v>#REF!</v>
      </c>
      <c r="E62" s="102"/>
    </row>
    <row r="63" spans="2:5" ht="15.75" hidden="1" customHeight="1" x14ac:dyDescent="0.25">
      <c r="B63" s="102"/>
      <c r="C63" s="102" t="e">
        <f>'CO_attainment for FA-TH ESE'!#REF!</f>
        <v>#REF!</v>
      </c>
      <c r="D63" s="102" t="e">
        <f>'CO_attainment for FA-TH ESE'!#REF!</f>
        <v>#REF!</v>
      </c>
      <c r="E63" s="102"/>
    </row>
    <row r="64" spans="2:5" ht="15.75" customHeight="1" x14ac:dyDescent="0.25">
      <c r="B64" s="102">
        <v>7</v>
      </c>
      <c r="C64" s="102" t="e">
        <f>'CO_attainment for FA-TH ESE'!#REF!</f>
        <v>#REF!</v>
      </c>
      <c r="D64" s="102" t="e">
        <f>'CO_attainment for FA-TH ESE'!#REF!</f>
        <v>#REF!</v>
      </c>
      <c r="E64" s="102"/>
    </row>
    <row r="65" spans="2:5" ht="15.75" hidden="1" customHeight="1" x14ac:dyDescent="0.25">
      <c r="B65" s="102"/>
      <c r="C65" s="102" t="e">
        <f>'CO_attainment for FA-TH ESE'!#REF!</f>
        <v>#REF!</v>
      </c>
      <c r="D65" s="102" t="e">
        <f>'CO_attainment for FA-TH ESE'!#REF!</f>
        <v>#REF!</v>
      </c>
      <c r="E65" s="102"/>
    </row>
    <row r="66" spans="2:5" ht="15.75" hidden="1" customHeight="1" x14ac:dyDescent="0.25">
      <c r="B66" s="102"/>
      <c r="C66" s="102" t="e">
        <f>'CO_attainment for FA-TH ESE'!#REF!</f>
        <v>#REF!</v>
      </c>
      <c r="D66" s="102" t="e">
        <f>'CO_attainment for FA-TH ESE'!#REF!</f>
        <v>#REF!</v>
      </c>
      <c r="E66" s="102"/>
    </row>
    <row r="67" spans="2:5" ht="15.75" hidden="1" customHeight="1" x14ac:dyDescent="0.25">
      <c r="B67" s="102"/>
      <c r="C67" s="102" t="e">
        <f>'CO_attainment for FA-TH ESE'!#REF!</f>
        <v>#REF!</v>
      </c>
      <c r="D67" s="102" t="e">
        <f>'CO_attainment for FA-TH ESE'!#REF!</f>
        <v>#REF!</v>
      </c>
      <c r="E67" s="102"/>
    </row>
    <row r="68" spans="2:5" ht="15.75" customHeight="1" x14ac:dyDescent="0.25">
      <c r="B68" s="102">
        <v>8</v>
      </c>
      <c r="C68" s="102" t="e">
        <f>'CO_attainment for FA-TH ESE'!#REF!</f>
        <v>#REF!</v>
      </c>
      <c r="D68" s="102" t="e">
        <f>'CO_attainment for FA-TH ESE'!#REF!</f>
        <v>#REF!</v>
      </c>
      <c r="E68" s="102"/>
    </row>
    <row r="69" spans="2:5" ht="15.75" hidden="1" customHeight="1" x14ac:dyDescent="0.25">
      <c r="B69" s="102"/>
      <c r="C69" s="102" t="e">
        <f>'CO_attainment for FA-TH ESE'!#REF!</f>
        <v>#REF!</v>
      </c>
      <c r="D69" s="102" t="e">
        <f>'CO_attainment for FA-TH ESE'!#REF!</f>
        <v>#REF!</v>
      </c>
      <c r="E69" s="102"/>
    </row>
    <row r="70" spans="2:5" ht="15.75" hidden="1" customHeight="1" x14ac:dyDescent="0.25">
      <c r="B70" s="102"/>
      <c r="C70" s="102" t="e">
        <f>'CO_attainment for FA-TH ESE'!#REF!</f>
        <v>#REF!</v>
      </c>
      <c r="D70" s="102" t="e">
        <f>'CO_attainment for FA-TH ESE'!#REF!</f>
        <v>#REF!</v>
      </c>
      <c r="E70" s="102"/>
    </row>
    <row r="71" spans="2:5" ht="15.75" customHeight="1" x14ac:dyDescent="0.25">
      <c r="B71" s="102">
        <v>9</v>
      </c>
      <c r="C71" s="102" t="e">
        <f>'CO_attainment for FA-TH ESE'!#REF!</f>
        <v>#REF!</v>
      </c>
      <c r="D71" s="102" t="e">
        <f>'CO_attainment for FA-TH ESE'!#REF!</f>
        <v>#REF!</v>
      </c>
      <c r="E71" s="102"/>
    </row>
    <row r="72" spans="2:5" ht="15.75" hidden="1" customHeight="1" x14ac:dyDescent="0.25">
      <c r="B72" s="102"/>
      <c r="C72" s="102" t="e">
        <f>'CO_attainment for FA-TH ESE'!#REF!</f>
        <v>#REF!</v>
      </c>
      <c r="D72" s="102" t="e">
        <f>'CO_attainment for FA-TH ESE'!#REF!</f>
        <v>#REF!</v>
      </c>
      <c r="E72" s="102"/>
    </row>
    <row r="73" spans="2:5" ht="15.75" customHeight="1" x14ac:dyDescent="0.25">
      <c r="B73" s="102"/>
      <c r="C73" s="102"/>
      <c r="D73" s="102"/>
      <c r="E73" s="102"/>
    </row>
    <row r="74" spans="2:5" ht="15.75" customHeight="1" x14ac:dyDescent="0.25">
      <c r="B74" s="102"/>
      <c r="C74" s="102"/>
      <c r="D74" s="102"/>
      <c r="E74" s="102"/>
    </row>
    <row r="75" spans="2:5" ht="15.75" customHeight="1" x14ac:dyDescent="0.25">
      <c r="B75" s="102"/>
      <c r="C75" s="102"/>
      <c r="D75" s="102"/>
      <c r="E75" s="102"/>
    </row>
    <row r="76" spans="2:5" ht="15.75" customHeight="1" x14ac:dyDescent="0.25">
      <c r="B76" s="102"/>
      <c r="C76" s="102"/>
      <c r="D76" s="102"/>
      <c r="E76" s="102"/>
    </row>
    <row r="77" spans="2:5" ht="15.75" customHeight="1" x14ac:dyDescent="0.25">
      <c r="B77" s="102"/>
      <c r="C77" s="102"/>
      <c r="D77" s="102"/>
      <c r="E77" s="102"/>
    </row>
    <row r="78" spans="2:5" ht="15.75" customHeight="1" x14ac:dyDescent="0.25">
      <c r="B78" s="102"/>
      <c r="C78" s="102"/>
      <c r="D78" s="102"/>
      <c r="E78" s="102"/>
    </row>
    <row r="79" spans="2:5" ht="15.75" customHeight="1" x14ac:dyDescent="0.25">
      <c r="B79" s="102"/>
      <c r="C79" s="104"/>
      <c r="D79" s="104"/>
      <c r="E79" s="104"/>
    </row>
    <row r="80" spans="2:5" ht="15.75" customHeight="1" x14ac:dyDescent="0.25">
      <c r="D80" s="105" t="s">
        <v>176</v>
      </c>
      <c r="E80" s="106">
        <f>ROUNDUP(AVERAGE(E15:E79),1)</f>
        <v>0</v>
      </c>
    </row>
    <row r="81" spans="1:7" ht="15.75" customHeight="1" x14ac:dyDescent="0.25">
      <c r="D81" s="105" t="s">
        <v>177</v>
      </c>
      <c r="E81" s="106">
        <f>(E80/5)*100</f>
        <v>0</v>
      </c>
    </row>
    <row r="82" spans="1:7" ht="15.75" customHeight="1" x14ac:dyDescent="0.25">
      <c r="A82" s="10" t="s">
        <v>178</v>
      </c>
      <c r="D82" s="98"/>
      <c r="E82" s="26"/>
    </row>
    <row r="83" spans="1:7" ht="15.75" customHeight="1" x14ac:dyDescent="0.25">
      <c r="A83" s="10" t="s">
        <v>179</v>
      </c>
      <c r="D83" s="98"/>
      <c r="E83" s="26"/>
    </row>
    <row r="84" spans="1:7" ht="15.75" customHeight="1" x14ac:dyDescent="0.25"/>
    <row r="85" spans="1:7" ht="42.75" customHeight="1" x14ac:dyDescent="0.25">
      <c r="A85" s="285" t="s">
        <v>180</v>
      </c>
      <c r="B85" s="197"/>
      <c r="C85" s="197"/>
      <c r="D85" s="198"/>
      <c r="E85" s="107" t="s">
        <v>142</v>
      </c>
    </row>
    <row r="86" spans="1:7" ht="15.75" customHeight="1" x14ac:dyDescent="0.25">
      <c r="A86" s="286" t="s">
        <v>143</v>
      </c>
      <c r="B86" s="287" t="s">
        <v>181</v>
      </c>
      <c r="C86" s="288"/>
      <c r="D86" s="267"/>
      <c r="E86" s="108">
        <v>1</v>
      </c>
    </row>
    <row r="87" spans="1:7" ht="15.75" customHeight="1" x14ac:dyDescent="0.25">
      <c r="A87" s="232"/>
      <c r="B87" s="275" t="s">
        <v>182</v>
      </c>
      <c r="C87" s="276"/>
      <c r="D87" s="254"/>
      <c r="E87" s="109">
        <v>2</v>
      </c>
    </row>
    <row r="88" spans="1:7" ht="15.75" customHeight="1" x14ac:dyDescent="0.25">
      <c r="A88" s="233"/>
      <c r="B88" s="277" t="s">
        <v>183</v>
      </c>
      <c r="C88" s="278"/>
      <c r="D88" s="226"/>
      <c r="E88" s="110">
        <v>3</v>
      </c>
    </row>
    <row r="89" spans="1:7" ht="15.75" customHeight="1" x14ac:dyDescent="0.25"/>
    <row r="90" spans="1:7" ht="30.75" customHeight="1" x14ac:dyDescent="0.25">
      <c r="A90" s="279" t="s">
        <v>168</v>
      </c>
      <c r="B90" s="271"/>
      <c r="C90" s="111" t="s">
        <v>9</v>
      </c>
      <c r="D90" s="111" t="s">
        <v>11</v>
      </c>
      <c r="E90" s="111" t="s">
        <v>13</v>
      </c>
      <c r="F90" s="111" t="s">
        <v>146</v>
      </c>
      <c r="G90" s="112" t="s">
        <v>147</v>
      </c>
    </row>
    <row r="91" spans="1:7" ht="30" customHeight="1" x14ac:dyDescent="0.25">
      <c r="A91" s="280" t="s">
        <v>184</v>
      </c>
      <c r="B91" s="262"/>
      <c r="C91" s="113">
        <f>IF(E81&gt;=80,3,IF(E81&gt;=65,2,IF(E81&gt;=40,1,0)))</f>
        <v>0</v>
      </c>
      <c r="D91" s="113">
        <f t="shared" ref="D91:G91" si="0">$C91</f>
        <v>0</v>
      </c>
      <c r="E91" s="113">
        <f t="shared" si="0"/>
        <v>0</v>
      </c>
      <c r="F91" s="113">
        <f t="shared" si="0"/>
        <v>0</v>
      </c>
      <c r="G91" s="114">
        <f t="shared" si="0"/>
        <v>0</v>
      </c>
    </row>
    <row r="92" spans="1:7" ht="15" customHeight="1" x14ac:dyDescent="0.25">
      <c r="A92" s="10" t="s">
        <v>185</v>
      </c>
      <c r="E92" s="9"/>
    </row>
    <row r="93" spans="1:7" ht="12" customHeight="1" x14ac:dyDescent="0.25">
      <c r="B93" s="10" t="s">
        <v>186</v>
      </c>
    </row>
    <row r="94" spans="1:7" ht="15.75" customHeight="1" x14ac:dyDescent="0.25"/>
    <row r="95" spans="1:7" ht="15.75" customHeight="1" x14ac:dyDescent="0.25"/>
    <row r="96" spans="1:7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1">
    <mergeCell ref="E10:E13"/>
    <mergeCell ref="A85:D85"/>
    <mergeCell ref="A86:A88"/>
    <mergeCell ref="B86:D86"/>
    <mergeCell ref="B87:D87"/>
    <mergeCell ref="B88:D88"/>
    <mergeCell ref="A90:B90"/>
    <mergeCell ref="A91:B91"/>
    <mergeCell ref="B10:B14"/>
    <mergeCell ref="C10:C14"/>
    <mergeCell ref="D10:D14"/>
  </mergeCells>
  <pageMargins left="0.7" right="0.7" top="0.75" bottom="0.75" header="0" footer="0"/>
  <pageSetup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P1000"/>
  <sheetViews>
    <sheetView workbookViewId="0"/>
  </sheetViews>
  <sheetFormatPr defaultColWidth="14.42578125" defaultRowHeight="15" customHeight="1" x14ac:dyDescent="0.25"/>
  <cols>
    <col min="1" max="3" width="8.7109375" customWidth="1"/>
    <col min="4" max="4" width="31.140625" customWidth="1"/>
    <col min="5" max="5" width="11.42578125" customWidth="1"/>
    <col min="6" max="16" width="8.7109375" customWidth="1"/>
  </cols>
  <sheetData>
    <row r="1" spans="2:16" ht="28.5" x14ac:dyDescent="0.45">
      <c r="F1" s="115" t="s">
        <v>187</v>
      </c>
      <c r="G1" s="115"/>
      <c r="H1" s="115"/>
      <c r="I1" s="3"/>
    </row>
    <row r="4" spans="2:16" ht="15.75" x14ac:dyDescent="0.25">
      <c r="B4" s="9"/>
      <c r="C4" s="11" t="s">
        <v>188</v>
      </c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</row>
    <row r="5" spans="2:16" ht="15.75" x14ac:dyDescent="0.25">
      <c r="B5" s="9"/>
      <c r="C5" s="11" t="s">
        <v>189</v>
      </c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</row>
    <row r="6" spans="2:16" x14ac:dyDescent="0.25">
      <c r="B6" s="210" t="s">
        <v>23</v>
      </c>
      <c r="C6" s="190" t="s">
        <v>24</v>
      </c>
      <c r="D6" s="191"/>
      <c r="E6" s="213" t="s">
        <v>25</v>
      </c>
      <c r="F6" s="197"/>
      <c r="G6" s="197"/>
      <c r="H6" s="197"/>
      <c r="I6" s="197"/>
      <c r="J6" s="197"/>
      <c r="K6" s="197"/>
      <c r="L6" s="197"/>
      <c r="M6" s="197"/>
      <c r="N6" s="198"/>
      <c r="O6" s="213" t="s">
        <v>26</v>
      </c>
      <c r="P6" s="198"/>
    </row>
    <row r="7" spans="2:16" x14ac:dyDescent="0.25">
      <c r="B7" s="211"/>
      <c r="C7" s="192"/>
      <c r="D7" s="193"/>
      <c r="E7" s="12" t="s">
        <v>27</v>
      </c>
      <c r="F7" s="12" t="s">
        <v>28</v>
      </c>
      <c r="G7" s="12" t="s">
        <v>29</v>
      </c>
      <c r="H7" s="12" t="s">
        <v>30</v>
      </c>
      <c r="I7" s="12" t="s">
        <v>31</v>
      </c>
      <c r="J7" s="12" t="s">
        <v>32</v>
      </c>
      <c r="K7" s="12" t="s">
        <v>33</v>
      </c>
      <c r="L7" s="12" t="s">
        <v>190</v>
      </c>
      <c r="M7" s="12" t="s">
        <v>191</v>
      </c>
      <c r="N7" s="12" t="s">
        <v>192</v>
      </c>
      <c r="O7" s="12" t="s">
        <v>34</v>
      </c>
      <c r="P7" s="12" t="s">
        <v>35</v>
      </c>
    </row>
    <row r="8" spans="2:16" ht="62.25" x14ac:dyDescent="0.25">
      <c r="B8" s="212"/>
      <c r="C8" s="194"/>
      <c r="D8" s="195"/>
      <c r="E8" s="13" t="s">
        <v>193</v>
      </c>
      <c r="F8" s="13" t="s">
        <v>194</v>
      </c>
      <c r="G8" s="13" t="s">
        <v>195</v>
      </c>
      <c r="H8" s="13" t="s">
        <v>196</v>
      </c>
      <c r="I8" s="13" t="s">
        <v>197</v>
      </c>
      <c r="J8" s="13" t="s">
        <v>198</v>
      </c>
      <c r="K8" s="13" t="s">
        <v>199</v>
      </c>
      <c r="L8" s="13" t="s">
        <v>200</v>
      </c>
      <c r="M8" s="13" t="s">
        <v>201</v>
      </c>
      <c r="N8" s="13" t="s">
        <v>202</v>
      </c>
      <c r="O8" s="116" t="s">
        <v>203</v>
      </c>
      <c r="P8" s="117" t="s">
        <v>204</v>
      </c>
    </row>
    <row r="9" spans="2:16" ht="63.75" customHeight="1" x14ac:dyDescent="0.25">
      <c r="B9" s="118">
        <v>1</v>
      </c>
      <c r="C9" s="15" t="s">
        <v>9</v>
      </c>
      <c r="D9" s="16" t="s">
        <v>205</v>
      </c>
      <c r="E9" s="119">
        <v>3</v>
      </c>
      <c r="F9" s="119">
        <v>3</v>
      </c>
      <c r="G9" s="119">
        <v>2</v>
      </c>
      <c r="H9" s="119">
        <v>2</v>
      </c>
      <c r="I9" s="119">
        <v>2</v>
      </c>
      <c r="J9" s="119">
        <v>2</v>
      </c>
      <c r="K9" s="119">
        <v>2</v>
      </c>
      <c r="L9" s="119">
        <v>2</v>
      </c>
      <c r="M9" s="119">
        <v>2</v>
      </c>
      <c r="N9" s="119">
        <v>3</v>
      </c>
      <c r="O9" s="119">
        <v>3</v>
      </c>
      <c r="P9" s="119">
        <v>2</v>
      </c>
    </row>
    <row r="10" spans="2:16" ht="60.75" customHeight="1" x14ac:dyDescent="0.25">
      <c r="B10" s="118">
        <v>2</v>
      </c>
      <c r="C10" s="15" t="s">
        <v>11</v>
      </c>
      <c r="D10" s="20" t="s">
        <v>206</v>
      </c>
      <c r="E10" s="119">
        <v>3</v>
      </c>
      <c r="F10" s="119">
        <v>3</v>
      </c>
      <c r="G10" s="119">
        <v>1</v>
      </c>
      <c r="H10" s="119">
        <v>2</v>
      </c>
      <c r="I10" s="119">
        <v>2</v>
      </c>
      <c r="J10" s="119">
        <v>2</v>
      </c>
      <c r="K10" s="119">
        <v>2</v>
      </c>
      <c r="L10" s="119">
        <v>2</v>
      </c>
      <c r="M10" s="119">
        <v>2</v>
      </c>
      <c r="N10" s="119">
        <v>1</v>
      </c>
      <c r="O10" s="119">
        <v>2</v>
      </c>
      <c r="P10" s="119">
        <v>2</v>
      </c>
    </row>
    <row r="11" spans="2:16" ht="57.75" customHeight="1" x14ac:dyDescent="0.25">
      <c r="B11" s="118">
        <v>3</v>
      </c>
      <c r="C11" s="15" t="s">
        <v>13</v>
      </c>
      <c r="D11" s="20" t="s">
        <v>207</v>
      </c>
      <c r="E11" s="119">
        <v>3</v>
      </c>
      <c r="F11" s="119">
        <v>3</v>
      </c>
      <c r="G11" s="119">
        <v>2</v>
      </c>
      <c r="H11" s="119">
        <v>2</v>
      </c>
      <c r="I11" s="119">
        <v>2</v>
      </c>
      <c r="J11" s="119">
        <v>3</v>
      </c>
      <c r="K11" s="119">
        <v>2</v>
      </c>
      <c r="L11" s="119">
        <v>3</v>
      </c>
      <c r="M11" s="119">
        <v>2</v>
      </c>
      <c r="N11" s="119">
        <v>2</v>
      </c>
      <c r="O11" s="119">
        <v>2</v>
      </c>
      <c r="P11" s="119">
        <v>2</v>
      </c>
    </row>
    <row r="12" spans="2:16" ht="84" customHeight="1" x14ac:dyDescent="0.25">
      <c r="B12" s="118">
        <v>4</v>
      </c>
      <c r="C12" s="15" t="s">
        <v>15</v>
      </c>
      <c r="D12" s="20" t="s">
        <v>208</v>
      </c>
      <c r="E12" s="119">
        <v>3</v>
      </c>
      <c r="F12" s="119">
        <v>3</v>
      </c>
      <c r="G12" s="119">
        <v>2</v>
      </c>
      <c r="H12" s="119">
        <v>3</v>
      </c>
      <c r="I12" s="119">
        <v>3</v>
      </c>
      <c r="J12" s="119">
        <v>2</v>
      </c>
      <c r="K12" s="119">
        <v>3</v>
      </c>
      <c r="L12" s="119">
        <v>2</v>
      </c>
      <c r="M12" s="119">
        <v>2</v>
      </c>
      <c r="N12" s="119">
        <v>3</v>
      </c>
      <c r="O12" s="119">
        <v>2</v>
      </c>
      <c r="P12" s="119">
        <v>2</v>
      </c>
    </row>
    <row r="13" spans="2:16" ht="48" customHeight="1" x14ac:dyDescent="0.25">
      <c r="B13" s="118">
        <v>5</v>
      </c>
      <c r="C13" s="15" t="s">
        <v>17</v>
      </c>
      <c r="D13" s="20" t="s">
        <v>209</v>
      </c>
      <c r="E13" s="119">
        <v>3</v>
      </c>
      <c r="F13" s="119">
        <v>3</v>
      </c>
      <c r="G13" s="119">
        <v>3</v>
      </c>
      <c r="H13" s="119">
        <v>3</v>
      </c>
      <c r="I13" s="119">
        <v>2</v>
      </c>
      <c r="J13" s="119">
        <v>2</v>
      </c>
      <c r="K13" s="119">
        <v>1</v>
      </c>
      <c r="L13" s="119">
        <v>3</v>
      </c>
      <c r="M13" s="119">
        <v>2</v>
      </c>
      <c r="N13" s="119">
        <v>2</v>
      </c>
      <c r="O13" s="119">
        <v>3</v>
      </c>
      <c r="P13" s="119">
        <v>3</v>
      </c>
    </row>
    <row r="14" spans="2:16" ht="48" customHeight="1" x14ac:dyDescent="0.25">
      <c r="B14" s="118">
        <v>6</v>
      </c>
      <c r="C14" s="15" t="s">
        <v>19</v>
      </c>
      <c r="D14" s="20" t="s">
        <v>210</v>
      </c>
      <c r="E14" s="119">
        <v>3</v>
      </c>
      <c r="F14" s="119">
        <v>3</v>
      </c>
      <c r="G14" s="119">
        <v>2</v>
      </c>
      <c r="H14" s="119">
        <v>2</v>
      </c>
      <c r="I14" s="119">
        <v>1</v>
      </c>
      <c r="J14" s="119">
        <v>2</v>
      </c>
      <c r="K14" s="119">
        <v>1</v>
      </c>
      <c r="L14" s="119">
        <v>1</v>
      </c>
      <c r="M14" s="119">
        <v>2</v>
      </c>
      <c r="N14" s="119">
        <v>1</v>
      </c>
      <c r="O14" s="119">
        <v>2</v>
      </c>
      <c r="P14" s="119">
        <v>2</v>
      </c>
    </row>
    <row r="15" spans="2:16" x14ac:dyDescent="0.25">
      <c r="B15" s="289" t="s">
        <v>211</v>
      </c>
      <c r="C15" s="197"/>
      <c r="D15" s="198"/>
      <c r="E15" s="120">
        <f t="shared" ref="E15:P15" si="0">ROUNDUP(AVERAGE(E9:E14),2)</f>
        <v>3</v>
      </c>
      <c r="F15" s="120">
        <f t="shared" si="0"/>
        <v>3</v>
      </c>
      <c r="G15" s="120">
        <f t="shared" si="0"/>
        <v>2</v>
      </c>
      <c r="H15" s="120">
        <f t="shared" si="0"/>
        <v>2.34</v>
      </c>
      <c r="I15" s="120">
        <f t="shared" si="0"/>
        <v>2</v>
      </c>
      <c r="J15" s="120">
        <f t="shared" si="0"/>
        <v>2.17</v>
      </c>
      <c r="K15" s="120">
        <f t="shared" si="0"/>
        <v>1.84</v>
      </c>
      <c r="L15" s="120">
        <f t="shared" si="0"/>
        <v>2.17</v>
      </c>
      <c r="M15" s="120">
        <f t="shared" si="0"/>
        <v>2</v>
      </c>
      <c r="N15" s="120">
        <f t="shared" si="0"/>
        <v>2</v>
      </c>
      <c r="O15" s="120">
        <f t="shared" si="0"/>
        <v>2.34</v>
      </c>
      <c r="P15" s="120">
        <f t="shared" si="0"/>
        <v>2.17</v>
      </c>
    </row>
    <row r="16" spans="2:16" x14ac:dyDescent="0.25">
      <c r="B16" s="290" t="s">
        <v>212</v>
      </c>
      <c r="C16" s="197"/>
      <c r="D16" s="198"/>
      <c r="E16" s="121">
        <f t="shared" ref="E16:P16" si="1">ROUNDUP((E15*2.66)/3,2)</f>
        <v>2.66</v>
      </c>
      <c r="F16" s="121">
        <f t="shared" si="1"/>
        <v>2.66</v>
      </c>
      <c r="G16" s="121">
        <f t="shared" si="1"/>
        <v>1.78</v>
      </c>
      <c r="H16" s="121">
        <f t="shared" si="1"/>
        <v>2.0799999999999996</v>
      </c>
      <c r="I16" s="121">
        <f t="shared" si="1"/>
        <v>1.78</v>
      </c>
      <c r="J16" s="121">
        <f t="shared" si="1"/>
        <v>1.93</v>
      </c>
      <c r="K16" s="121">
        <f t="shared" si="1"/>
        <v>1.64</v>
      </c>
      <c r="L16" s="121">
        <f t="shared" si="1"/>
        <v>1.93</v>
      </c>
      <c r="M16" s="121">
        <f t="shared" si="1"/>
        <v>1.78</v>
      </c>
      <c r="N16" s="121">
        <f t="shared" si="1"/>
        <v>1.78</v>
      </c>
      <c r="O16" s="121">
        <f t="shared" si="1"/>
        <v>2.0799999999999996</v>
      </c>
      <c r="P16" s="121">
        <f t="shared" si="1"/>
        <v>1.93</v>
      </c>
    </row>
    <row r="17" spans="2:16" x14ac:dyDescent="0.25">
      <c r="B17" s="290" t="s">
        <v>213</v>
      </c>
      <c r="C17" s="197"/>
      <c r="D17" s="198"/>
      <c r="E17" s="121">
        <f t="shared" ref="E17:P17" si="2">ROUNDUP((E16/3)*100,2)</f>
        <v>88.67</v>
      </c>
      <c r="F17" s="121">
        <f t="shared" si="2"/>
        <v>88.67</v>
      </c>
      <c r="G17" s="121">
        <f t="shared" si="2"/>
        <v>59.339999999999996</v>
      </c>
      <c r="H17" s="121">
        <f t="shared" si="2"/>
        <v>69.34</v>
      </c>
      <c r="I17" s="121">
        <f t="shared" si="2"/>
        <v>59.339999999999996</v>
      </c>
      <c r="J17" s="121">
        <f t="shared" si="2"/>
        <v>64.34</v>
      </c>
      <c r="K17" s="121">
        <f t="shared" si="2"/>
        <v>54.669999999999995</v>
      </c>
      <c r="L17" s="121">
        <f t="shared" si="2"/>
        <v>64.34</v>
      </c>
      <c r="M17" s="121">
        <f t="shared" si="2"/>
        <v>59.339999999999996</v>
      </c>
      <c r="N17" s="121">
        <f t="shared" si="2"/>
        <v>59.339999999999996</v>
      </c>
      <c r="O17" s="121">
        <f t="shared" si="2"/>
        <v>69.34</v>
      </c>
      <c r="P17" s="121">
        <f t="shared" si="2"/>
        <v>64.34</v>
      </c>
    </row>
    <row r="21" spans="2:16" ht="15.75" customHeight="1" x14ac:dyDescent="0.25"/>
    <row r="22" spans="2:16" ht="15.75" customHeight="1" x14ac:dyDescent="0.25"/>
    <row r="23" spans="2:16" ht="15.75" customHeight="1" x14ac:dyDescent="0.25"/>
    <row r="24" spans="2:16" ht="15.75" customHeight="1" x14ac:dyDescent="0.25"/>
    <row r="25" spans="2:16" ht="15.75" customHeight="1" x14ac:dyDescent="0.25"/>
    <row r="26" spans="2:16" ht="15.75" customHeight="1" x14ac:dyDescent="0.25"/>
    <row r="27" spans="2:16" ht="15.75" customHeight="1" x14ac:dyDescent="0.25"/>
    <row r="28" spans="2:16" ht="15.75" customHeight="1" x14ac:dyDescent="0.25"/>
    <row r="29" spans="2:16" ht="15.75" customHeight="1" x14ac:dyDescent="0.25"/>
    <row r="30" spans="2:16" ht="15.75" customHeight="1" x14ac:dyDescent="0.25"/>
    <row r="31" spans="2:16" ht="15.75" customHeight="1" x14ac:dyDescent="0.25"/>
    <row r="32" spans="2:16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7">
    <mergeCell ref="B16:D16"/>
    <mergeCell ref="B17:D17"/>
    <mergeCell ref="B6:B8"/>
    <mergeCell ref="C6:D8"/>
    <mergeCell ref="E6:N6"/>
    <mergeCell ref="O6:P6"/>
    <mergeCell ref="B15:D15"/>
  </mergeCells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Z1000"/>
  <sheetViews>
    <sheetView showGridLines="0" workbookViewId="0"/>
  </sheetViews>
  <sheetFormatPr defaultColWidth="14.42578125" defaultRowHeight="15" customHeight="1" x14ac:dyDescent="0.25"/>
  <cols>
    <col min="1" max="1" width="9.140625" customWidth="1"/>
    <col min="2" max="2" width="7.140625" customWidth="1"/>
    <col min="3" max="3" width="19" customWidth="1"/>
    <col min="4" max="4" width="26.85546875" customWidth="1"/>
    <col min="5" max="5" width="9.7109375" customWidth="1"/>
    <col min="6" max="6" width="7.140625" customWidth="1"/>
    <col min="7" max="7" width="6.5703125" customWidth="1"/>
    <col min="8" max="8" width="10.28515625" customWidth="1"/>
    <col min="9" max="9" width="13.7109375" customWidth="1"/>
    <col min="10" max="10" width="10.7109375" customWidth="1"/>
    <col min="11" max="26" width="9.140625" customWidth="1"/>
  </cols>
  <sheetData>
    <row r="1" spans="1:26" ht="23.25" x14ac:dyDescent="0.25">
      <c r="A1" s="9"/>
      <c r="B1" s="9"/>
      <c r="C1" s="9"/>
      <c r="D1" s="9"/>
      <c r="E1" s="122" t="s">
        <v>214</v>
      </c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 spans="1:26" x14ac:dyDescent="0.25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 spans="1:26" x14ac:dyDescent="0.25">
      <c r="A3" s="9"/>
      <c r="B3" s="28"/>
      <c r="C3" s="29" t="s">
        <v>1</v>
      </c>
      <c r="D3" s="57" t="str">
        <f>'CO_attainment for Indirect'!D4</f>
        <v>DATA STRUCTURE USING C</v>
      </c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 spans="1:26" x14ac:dyDescent="0.25">
      <c r="A4" s="9"/>
      <c r="B4" s="28"/>
      <c r="C4" s="29" t="s">
        <v>3</v>
      </c>
      <c r="D4" s="57">
        <f>'CO_attainment for Indirect'!D5</f>
        <v>313301</v>
      </c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spans="1:26" x14ac:dyDescent="0.25">
      <c r="A5" s="9"/>
      <c r="B5" s="28"/>
      <c r="C5" s="29" t="s">
        <v>55</v>
      </c>
      <c r="D5" s="57" t="str">
        <f>'CO_attainment for Indirect'!D6</f>
        <v>3rd SEM(CO3K SCHEME)</v>
      </c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 spans="1:26" x14ac:dyDescent="0.25">
      <c r="A6" s="9"/>
      <c r="B6" s="28"/>
      <c r="C6" s="29" t="s">
        <v>162</v>
      </c>
      <c r="D6" s="57" t="str">
        <f>'CO_attain_SLA_FA-PR_SA-PR'!D7</f>
        <v>2024-25</v>
      </c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 spans="1:26" x14ac:dyDescent="0.25">
      <c r="A7" s="9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 spans="1:26" ht="21" x14ac:dyDescent="0.25">
      <c r="A8" s="9"/>
      <c r="B8" s="9"/>
      <c r="C8" s="291" t="s">
        <v>215</v>
      </c>
      <c r="D8" s="197"/>
      <c r="E8" s="197"/>
      <c r="F8" s="197"/>
      <c r="G8" s="197"/>
      <c r="H8" s="197"/>
      <c r="I8" s="197"/>
      <c r="J8" s="198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 spans="1:26" x14ac:dyDescent="0.25">
      <c r="A9" s="9"/>
      <c r="B9" s="9"/>
      <c r="C9" s="292" t="s">
        <v>216</v>
      </c>
      <c r="D9" s="197"/>
      <c r="E9" s="197"/>
      <c r="F9" s="197"/>
      <c r="G9" s="197"/>
      <c r="H9" s="198"/>
      <c r="I9" s="293" t="s">
        <v>217</v>
      </c>
      <c r="J9" s="191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spans="1:26" x14ac:dyDescent="0.25">
      <c r="A10" s="9"/>
      <c r="B10" s="9"/>
      <c r="C10" s="294" t="s">
        <v>218</v>
      </c>
      <c r="D10" s="295" t="s">
        <v>219</v>
      </c>
      <c r="E10" s="296"/>
      <c r="F10" s="296"/>
      <c r="G10" s="195"/>
      <c r="H10" s="123" t="s">
        <v>220</v>
      </c>
      <c r="I10" s="194"/>
      <c r="J10" s="195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spans="1:26" ht="45.75" customHeight="1" x14ac:dyDescent="0.25">
      <c r="A11" s="9"/>
      <c r="B11" s="9"/>
      <c r="C11" s="212"/>
      <c r="D11" s="124" t="s">
        <v>221</v>
      </c>
      <c r="E11" s="125" t="s">
        <v>222</v>
      </c>
      <c r="F11" s="125" t="s">
        <v>223</v>
      </c>
      <c r="G11" s="126" t="s">
        <v>224</v>
      </c>
      <c r="H11" s="127" t="s">
        <v>225</v>
      </c>
      <c r="I11" s="297" t="s">
        <v>226</v>
      </c>
      <c r="J11" s="198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spans="1:26" x14ac:dyDescent="0.25">
      <c r="A12" s="9"/>
      <c r="B12" s="9"/>
      <c r="C12" s="128" t="s">
        <v>9</v>
      </c>
      <c r="D12" s="129">
        <f>'CO_Attainment for Unit Tests'!D110</f>
        <v>3</v>
      </c>
      <c r="E12" s="130">
        <f>'CO_attain_SLA_FA-PR_SA-PR'!C111</f>
        <v>3</v>
      </c>
      <c r="F12" s="130">
        <f>'CO_attain_SLA_FA-PR_SA-PR'!C110</f>
        <v>0</v>
      </c>
      <c r="G12" s="130">
        <f>'CO_attain_SLA_FA-PR_SA-PR'!C112</f>
        <v>3</v>
      </c>
      <c r="H12" s="131">
        <f>'CO_attainment for FA-TH ESE'!C110</f>
        <v>3</v>
      </c>
      <c r="I12" s="298">
        <f>'CO_attainment for Indirect'!C91</f>
        <v>0</v>
      </c>
      <c r="J12" s="267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spans="1:26" x14ac:dyDescent="0.25">
      <c r="A13" s="9"/>
      <c r="B13" s="9"/>
      <c r="C13" s="132" t="s">
        <v>11</v>
      </c>
      <c r="D13" s="133">
        <f>'CO_Attainment for Unit Tests'!E110</f>
        <v>3</v>
      </c>
      <c r="E13" s="134">
        <f t="shared" ref="E13:E17" si="0">$E12</f>
        <v>3</v>
      </c>
      <c r="F13" s="134">
        <f t="shared" ref="F13:F17" si="1">$F12</f>
        <v>0</v>
      </c>
      <c r="G13" s="134">
        <f t="shared" ref="G13:G17" si="2">$G12</f>
        <v>3</v>
      </c>
      <c r="H13" s="135">
        <f t="shared" ref="H13:H17" si="3">$H12</f>
        <v>3</v>
      </c>
      <c r="I13" s="302">
        <f t="shared" ref="I13:I17" si="4">$I12</f>
        <v>0</v>
      </c>
      <c r="J13" s="254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spans="1:26" x14ac:dyDescent="0.25">
      <c r="A14" s="9"/>
      <c r="B14" s="9"/>
      <c r="C14" s="132" t="s">
        <v>13</v>
      </c>
      <c r="D14" s="133">
        <f>'CO_Attainment for Unit Tests'!F110</f>
        <v>1</v>
      </c>
      <c r="E14" s="134">
        <f t="shared" si="0"/>
        <v>3</v>
      </c>
      <c r="F14" s="134">
        <f t="shared" si="1"/>
        <v>0</v>
      </c>
      <c r="G14" s="134">
        <f t="shared" si="2"/>
        <v>3</v>
      </c>
      <c r="H14" s="135">
        <f t="shared" si="3"/>
        <v>3</v>
      </c>
      <c r="I14" s="302">
        <f t="shared" si="4"/>
        <v>0</v>
      </c>
      <c r="J14" s="254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spans="1:26" x14ac:dyDescent="0.25">
      <c r="A15" s="9"/>
      <c r="B15" s="9"/>
      <c r="C15" s="132" t="s">
        <v>15</v>
      </c>
      <c r="D15" s="133">
        <f>'CO_Attainment for Unit Tests'!G110</f>
        <v>3</v>
      </c>
      <c r="E15" s="134">
        <f t="shared" si="0"/>
        <v>3</v>
      </c>
      <c r="F15" s="134">
        <f t="shared" si="1"/>
        <v>0</v>
      </c>
      <c r="G15" s="134">
        <f t="shared" si="2"/>
        <v>3</v>
      </c>
      <c r="H15" s="135">
        <f t="shared" si="3"/>
        <v>3</v>
      </c>
      <c r="I15" s="302">
        <f t="shared" si="4"/>
        <v>0</v>
      </c>
      <c r="J15" s="254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 spans="1:26" x14ac:dyDescent="0.25">
      <c r="A16" s="9"/>
      <c r="B16" s="9"/>
      <c r="C16" s="132" t="s">
        <v>17</v>
      </c>
      <c r="D16" s="133">
        <f>'CO_Attainment for Unit Tests'!H110</f>
        <v>3</v>
      </c>
      <c r="E16" s="134">
        <f t="shared" si="0"/>
        <v>3</v>
      </c>
      <c r="F16" s="134">
        <f t="shared" si="1"/>
        <v>0</v>
      </c>
      <c r="G16" s="134">
        <f t="shared" si="2"/>
        <v>3</v>
      </c>
      <c r="H16" s="135">
        <f t="shared" si="3"/>
        <v>3</v>
      </c>
      <c r="I16" s="302">
        <f t="shared" si="4"/>
        <v>0</v>
      </c>
      <c r="J16" s="254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spans="1:26" x14ac:dyDescent="0.25">
      <c r="A17" s="9"/>
      <c r="B17" s="9"/>
      <c r="C17" s="136" t="s">
        <v>19</v>
      </c>
      <c r="D17" s="137">
        <f>'CO_Attainment for Unit Tests'!I110</f>
        <v>3</v>
      </c>
      <c r="E17" s="138">
        <f t="shared" si="0"/>
        <v>3</v>
      </c>
      <c r="F17" s="138">
        <f t="shared" si="1"/>
        <v>0</v>
      </c>
      <c r="G17" s="138">
        <f t="shared" si="2"/>
        <v>3</v>
      </c>
      <c r="H17" s="139">
        <f t="shared" si="3"/>
        <v>3</v>
      </c>
      <c r="I17" s="302">
        <f t="shared" si="4"/>
        <v>0</v>
      </c>
      <c r="J17" s="254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spans="1:26" x14ac:dyDescent="0.25">
      <c r="A18" s="9"/>
      <c r="B18" s="9"/>
      <c r="C18" s="128" t="s">
        <v>227</v>
      </c>
      <c r="D18" s="129">
        <f t="shared" ref="D18:I18" si="5">ROUND(AVERAGE(D12:D17),2)</f>
        <v>2.67</v>
      </c>
      <c r="E18" s="130">
        <f t="shared" si="5"/>
        <v>3</v>
      </c>
      <c r="F18" s="130">
        <f t="shared" si="5"/>
        <v>0</v>
      </c>
      <c r="G18" s="130">
        <f t="shared" si="5"/>
        <v>3</v>
      </c>
      <c r="H18" s="131">
        <f t="shared" si="5"/>
        <v>3</v>
      </c>
      <c r="I18" s="298">
        <f t="shared" si="5"/>
        <v>0</v>
      </c>
      <c r="J18" s="267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spans="1:26" ht="27" customHeight="1" x14ac:dyDescent="0.25">
      <c r="A19" s="9"/>
      <c r="B19" s="9"/>
      <c r="C19" s="140" t="s">
        <v>228</v>
      </c>
      <c r="D19" s="141">
        <v>10</v>
      </c>
      <c r="E19" s="141">
        <v>10</v>
      </c>
      <c r="F19" s="141">
        <v>10</v>
      </c>
      <c r="G19" s="141">
        <v>10</v>
      </c>
      <c r="H19" s="141">
        <v>60</v>
      </c>
      <c r="I19" s="303">
        <v>100</v>
      </c>
      <c r="J19" s="241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spans="1:26" ht="31.5" customHeight="1" x14ac:dyDescent="0.25">
      <c r="A20" s="9"/>
      <c r="B20" s="9"/>
      <c r="C20" s="142" t="s">
        <v>229</v>
      </c>
      <c r="D20" s="137">
        <f t="shared" ref="D20:I20" si="6">D18*D19/100</f>
        <v>0.26700000000000002</v>
      </c>
      <c r="E20" s="137">
        <f t="shared" si="6"/>
        <v>0.3</v>
      </c>
      <c r="F20" s="137">
        <f t="shared" si="6"/>
        <v>0</v>
      </c>
      <c r="G20" s="137">
        <f t="shared" si="6"/>
        <v>0.3</v>
      </c>
      <c r="H20" s="137">
        <f t="shared" si="6"/>
        <v>1.8</v>
      </c>
      <c r="I20" s="299">
        <f t="shared" si="6"/>
        <v>0</v>
      </c>
      <c r="J20" s="226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spans="1:26" ht="48" customHeight="1" x14ac:dyDescent="0.25">
      <c r="A21" s="9"/>
      <c r="B21" s="9"/>
      <c r="C21" s="300" t="s">
        <v>230</v>
      </c>
      <c r="D21" s="197"/>
      <c r="E21" s="197"/>
      <c r="F21" s="197"/>
      <c r="G21" s="198"/>
      <c r="H21" s="143">
        <f>SUM(D20:H20)</f>
        <v>2.6669999999999998</v>
      </c>
      <c r="I21" s="144" t="s">
        <v>231</v>
      </c>
      <c r="J21" s="143">
        <f>I20</f>
        <v>0</v>
      </c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spans="1:26" ht="22.5" customHeight="1" x14ac:dyDescent="0.25">
      <c r="A22" s="9"/>
      <c r="B22" s="9"/>
      <c r="C22" s="300" t="s">
        <v>232</v>
      </c>
      <c r="D22" s="197"/>
      <c r="E22" s="197"/>
      <c r="F22" s="197"/>
      <c r="G22" s="198"/>
      <c r="H22" s="145">
        <v>0.8</v>
      </c>
      <c r="I22" s="146" t="s">
        <v>233</v>
      </c>
      <c r="J22" s="145">
        <v>0.2</v>
      </c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spans="1:26" ht="45" customHeight="1" x14ac:dyDescent="0.25">
      <c r="A23" s="9"/>
      <c r="B23" s="9"/>
      <c r="C23" s="300" t="s">
        <v>234</v>
      </c>
      <c r="D23" s="197"/>
      <c r="E23" s="197"/>
      <c r="F23" s="197"/>
      <c r="G23" s="198"/>
      <c r="H23" s="143">
        <f>0.8*H21</f>
        <v>2.1335999999999999</v>
      </c>
      <c r="I23" s="144" t="s">
        <v>235</v>
      </c>
      <c r="J23" s="146">
        <f>0.2*J21</f>
        <v>0</v>
      </c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spans="1:26" ht="25.5" customHeight="1" x14ac:dyDescent="0.25">
      <c r="A24" s="9"/>
      <c r="B24" s="9"/>
      <c r="C24" s="301" t="s">
        <v>236</v>
      </c>
      <c r="D24" s="197"/>
      <c r="E24" s="197"/>
      <c r="F24" s="197"/>
      <c r="G24" s="197"/>
      <c r="H24" s="198"/>
      <c r="I24" s="147">
        <f>ROUNDUP(H23+J23,2)</f>
        <v>2.1399999999999997</v>
      </c>
      <c r="J24" s="148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spans="1:26" ht="15.75" customHeight="1" x14ac:dyDescent="0.25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spans="1:26" ht="15.75" customHeight="1" x14ac:dyDescent="0.25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 spans="1:26" ht="15.75" customHeight="1" x14ac:dyDescent="0.25">
      <c r="A27" s="9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 spans="1:26" ht="15.75" customHeight="1" x14ac:dyDescent="0.25">
      <c r="A28" s="9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spans="1:26" ht="15.75" customHeight="1" x14ac:dyDescent="0.25">
      <c r="A29" s="9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spans="1:26" ht="15.75" customHeight="1" x14ac:dyDescent="0.25">
      <c r="A30" s="9"/>
      <c r="B30" s="9"/>
      <c r="C30" s="9"/>
      <c r="D30" s="9"/>
      <c r="E30" s="9"/>
      <c r="F30" s="9"/>
      <c r="G30" s="9" t="s">
        <v>237</v>
      </c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spans="1:26" ht="15.75" customHeight="1" x14ac:dyDescent="0.25">
      <c r="A31" s="9"/>
      <c r="B31" s="9"/>
      <c r="C31" s="9"/>
      <c r="D31" s="9"/>
      <c r="E31" s="9"/>
      <c r="F31" s="9"/>
      <c r="G31" s="9" t="s">
        <v>238</v>
      </c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 spans="1:26" ht="60.75" customHeight="1" x14ac:dyDescent="0.25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 spans="1:26" ht="48" customHeight="1" x14ac:dyDescent="0.25">
      <c r="A33" s="9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 spans="1:26" ht="48" customHeight="1" x14ac:dyDescent="0.25">
      <c r="A34" s="9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 spans="1:26" ht="48" customHeight="1" x14ac:dyDescent="0.25">
      <c r="A35" s="9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 spans="1:26" ht="48" customHeight="1" x14ac:dyDescent="0.25">
      <c r="A36" s="9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 spans="1:26" ht="48" customHeight="1" x14ac:dyDescent="0.25">
      <c r="A37" s="9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 spans="1:26" ht="48" customHeight="1" x14ac:dyDescent="0.25">
      <c r="A38" s="9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 spans="1:26" ht="15.75" customHeight="1" x14ac:dyDescent="0.25">
      <c r="A39" s="9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 spans="1:26" ht="15.75" customHeight="1" x14ac:dyDescent="0.25">
      <c r="A40" s="9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 spans="1:26" ht="15.75" customHeight="1" x14ac:dyDescent="0.25">
      <c r="A41" s="9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 spans="1:26" ht="15.75" customHeight="1" x14ac:dyDescent="0.25">
      <c r="A42" s="9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 spans="1:26" ht="15.75" customHeight="1" x14ac:dyDescent="0.25">
      <c r="A43" s="9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 spans="1:26" ht="15.75" customHeight="1" x14ac:dyDescent="0.25">
      <c r="A44" s="9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 spans="1:26" ht="15.75" customHeight="1" x14ac:dyDescent="0.25">
      <c r="A45" s="9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 spans="1:26" ht="15.75" customHeight="1" x14ac:dyDescent="0.25">
      <c r="A46" s="9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 spans="1:26" ht="15.75" customHeight="1" x14ac:dyDescent="0.25">
      <c r="A47" s="9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 spans="1:26" ht="15.75" customHeight="1" x14ac:dyDescent="0.25">
      <c r="A48" s="9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 spans="1:26" ht="15.75" customHeight="1" x14ac:dyDescent="0.25">
      <c r="A49" s="9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</row>
    <row r="50" spans="1:26" ht="15.75" customHeight="1" x14ac:dyDescent="0.25">
      <c r="A50" s="9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 spans="1:26" ht="15.75" customHeight="1" x14ac:dyDescent="0.25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 spans="1:26" ht="15.75" customHeight="1" x14ac:dyDescent="0.25">
      <c r="A52" s="9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</row>
    <row r="53" spans="1:26" ht="15.75" customHeight="1" x14ac:dyDescent="0.25">
      <c r="A53" s="9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 spans="1:26" ht="15.75" customHeight="1" x14ac:dyDescent="0.25">
      <c r="A54" s="9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 spans="1:26" ht="15.75" customHeight="1" x14ac:dyDescent="0.25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 spans="1:26" ht="15.75" customHeight="1" x14ac:dyDescent="0.25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 spans="1:26" ht="15.75" customHeight="1" x14ac:dyDescent="0.25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</row>
    <row r="58" spans="1:26" ht="15.75" customHeight="1" x14ac:dyDescent="0.25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</row>
    <row r="59" spans="1:26" ht="15.75" customHeight="1" x14ac:dyDescent="0.25">
      <c r="A59" s="9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 spans="1:26" ht="15.75" customHeight="1" x14ac:dyDescent="0.25">
      <c r="A60" s="9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 spans="1:26" ht="15.75" customHeight="1" x14ac:dyDescent="0.25">
      <c r="A61" s="9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</row>
    <row r="62" spans="1:26" ht="15.75" customHeight="1" x14ac:dyDescent="0.25">
      <c r="A62" s="9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 spans="1:26" ht="15.75" customHeight="1" x14ac:dyDescent="0.25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</row>
    <row r="64" spans="1:26" ht="15.75" customHeight="1" x14ac:dyDescent="0.25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</row>
    <row r="65" spans="1:26" ht="15.75" customHeight="1" x14ac:dyDescent="0.25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</row>
    <row r="66" spans="1:26" ht="15.75" customHeight="1" x14ac:dyDescent="0.25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 spans="1:26" ht="15.75" customHeight="1" x14ac:dyDescent="0.25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 spans="1:26" ht="15.75" customHeight="1" x14ac:dyDescent="0.25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 spans="1:26" ht="15.75" customHeight="1" x14ac:dyDescent="0.25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 spans="1:26" ht="15.75" customHeight="1" x14ac:dyDescent="0.25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 spans="1:26" ht="15.75" customHeight="1" x14ac:dyDescent="0.25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</row>
    <row r="72" spans="1:26" ht="15.75" customHeight="1" x14ac:dyDescent="0.25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 spans="1:26" ht="15.75" customHeight="1" x14ac:dyDescent="0.25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 spans="1:26" ht="15.75" customHeight="1" x14ac:dyDescent="0.25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</row>
    <row r="75" spans="1:26" ht="15.75" customHeight="1" x14ac:dyDescent="0.25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 spans="1:26" ht="15.75" customHeight="1" x14ac:dyDescent="0.25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 spans="1:26" ht="15.75" customHeight="1" x14ac:dyDescent="0.25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</row>
    <row r="78" spans="1:26" ht="15.75" customHeight="1" x14ac:dyDescent="0.25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 spans="1:26" ht="15.75" customHeight="1" x14ac:dyDescent="0.25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 spans="1:26" ht="15.75" customHeight="1" x14ac:dyDescent="0.25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 spans="1:26" ht="15.75" customHeight="1" x14ac:dyDescent="0.25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</row>
    <row r="82" spans="1:26" ht="15.75" customHeight="1" x14ac:dyDescent="0.25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</row>
    <row r="83" spans="1:26" ht="15.75" customHeight="1" x14ac:dyDescent="0.25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 spans="1:26" ht="15.75" customHeight="1" x14ac:dyDescent="0.25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 spans="1:26" ht="15.75" customHeight="1" x14ac:dyDescent="0.25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 spans="1:26" ht="15.75" customHeight="1" x14ac:dyDescent="0.25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 spans="1:26" ht="15.75" customHeight="1" x14ac:dyDescent="0.25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 spans="1:26" ht="15.75" customHeight="1" x14ac:dyDescent="0.25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 spans="1:26" ht="15.75" customHeight="1" x14ac:dyDescent="0.25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 spans="1:26" ht="15.75" customHeight="1" x14ac:dyDescent="0.25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 spans="1:26" ht="15.75" customHeight="1" x14ac:dyDescent="0.25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 spans="1:26" ht="15.75" customHeight="1" x14ac:dyDescent="0.25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 spans="1:26" ht="15.75" customHeight="1" x14ac:dyDescent="0.25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 spans="1:26" ht="15.75" customHeight="1" x14ac:dyDescent="0.25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 spans="1:26" ht="15.75" customHeight="1" x14ac:dyDescent="0.25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 spans="1:26" ht="15.75" customHeight="1" x14ac:dyDescent="0.25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 spans="1:26" ht="15.75" customHeight="1" x14ac:dyDescent="0.25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 spans="1:26" ht="15.75" customHeight="1" x14ac:dyDescent="0.25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 spans="1:26" ht="15.75" customHeight="1" x14ac:dyDescent="0.25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 spans="1:26" ht="15.75" customHeight="1" x14ac:dyDescent="0.25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 spans="1:26" ht="15.75" customHeight="1" x14ac:dyDescent="0.25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 spans="1:26" ht="15.75" customHeight="1" x14ac:dyDescent="0.25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 spans="1:26" ht="15.75" customHeight="1" x14ac:dyDescent="0.25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 spans="1:26" ht="15.75" customHeight="1" x14ac:dyDescent="0.25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 spans="1:26" ht="15.75" customHeight="1" x14ac:dyDescent="0.25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 spans="1:26" ht="15.75" customHeight="1" x14ac:dyDescent="0.25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 spans="1:26" ht="15.75" customHeight="1" x14ac:dyDescent="0.25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 spans="1:26" ht="15.75" customHeight="1" x14ac:dyDescent="0.25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 spans="1:26" ht="15.75" customHeight="1" x14ac:dyDescent="0.25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 spans="1:26" ht="15.75" customHeight="1" x14ac:dyDescent="0.25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 spans="1:26" ht="15.75" customHeight="1" x14ac:dyDescent="0.25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 spans="1:26" ht="15.75" customHeight="1" x14ac:dyDescent="0.25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 spans="1:26" ht="15.75" customHeight="1" x14ac:dyDescent="0.25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 spans="1:26" ht="15.75" customHeight="1" x14ac:dyDescent="0.25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 spans="1:26" ht="15.75" customHeight="1" x14ac:dyDescent="0.25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 spans="1:26" ht="15.75" customHeight="1" x14ac:dyDescent="0.25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 spans="1:26" ht="15.75" customHeight="1" x14ac:dyDescent="0.25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 spans="1:26" ht="15.75" customHeight="1" x14ac:dyDescent="0.25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 spans="1:26" ht="15.75" customHeight="1" x14ac:dyDescent="0.25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 spans="1:26" ht="15.75" customHeight="1" x14ac:dyDescent="0.25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 spans="1:26" ht="15.75" customHeight="1" x14ac:dyDescent="0.25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 spans="1:26" ht="15.75" customHeight="1" x14ac:dyDescent="0.25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 spans="1:26" ht="15.75" customHeight="1" x14ac:dyDescent="0.25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 spans="1:26" ht="15.75" customHeight="1" x14ac:dyDescent="0.25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 spans="1:26" ht="15.75" customHeight="1" x14ac:dyDescent="0.25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 spans="1:26" ht="15.75" customHeight="1" x14ac:dyDescent="0.25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 spans="1:26" ht="15.75" customHeight="1" x14ac:dyDescent="0.25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 spans="1:26" ht="15.75" customHeight="1" x14ac:dyDescent="0.25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 spans="1:26" ht="15.75" customHeight="1" x14ac:dyDescent="0.25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 spans="1:26" ht="15.75" customHeight="1" x14ac:dyDescent="0.25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 spans="1:26" ht="15.75" customHeight="1" x14ac:dyDescent="0.25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 spans="1:26" ht="15.75" customHeight="1" x14ac:dyDescent="0.25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 spans="1:26" ht="15.75" customHeight="1" x14ac:dyDescent="0.25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 spans="1:26" ht="15.75" customHeight="1" x14ac:dyDescent="0.25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 spans="1:26" ht="15.75" customHeight="1" x14ac:dyDescent="0.25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 spans="1:26" ht="15.75" customHeight="1" x14ac:dyDescent="0.25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 spans="1:26" ht="15.75" customHeight="1" x14ac:dyDescent="0.25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</row>
    <row r="138" spans="1:26" ht="15.75" customHeight="1" x14ac:dyDescent="0.25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</row>
    <row r="139" spans="1:26" ht="15.75" customHeight="1" x14ac:dyDescent="0.25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</row>
    <row r="140" spans="1:26" ht="15.75" customHeight="1" x14ac:dyDescent="0.25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</row>
    <row r="141" spans="1:26" ht="15.75" customHeight="1" x14ac:dyDescent="0.25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</row>
    <row r="142" spans="1:26" ht="15.75" customHeight="1" x14ac:dyDescent="0.25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</row>
    <row r="143" spans="1:26" ht="15.75" customHeight="1" x14ac:dyDescent="0.25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</row>
    <row r="144" spans="1:26" ht="15.75" customHeight="1" x14ac:dyDescent="0.25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</row>
    <row r="145" spans="1:26" ht="15.75" customHeight="1" x14ac:dyDescent="0.25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</row>
    <row r="146" spans="1:26" ht="15.75" customHeight="1" x14ac:dyDescent="0.25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</row>
    <row r="147" spans="1:26" ht="15.75" customHeight="1" x14ac:dyDescent="0.25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</row>
    <row r="148" spans="1:26" ht="15.75" customHeight="1" x14ac:dyDescent="0.25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</row>
    <row r="149" spans="1:26" ht="15.75" customHeight="1" x14ac:dyDescent="0.25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</row>
    <row r="150" spans="1:26" ht="15.75" customHeight="1" x14ac:dyDescent="0.25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</row>
    <row r="151" spans="1:26" ht="15.75" customHeight="1" x14ac:dyDescent="0.25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</row>
    <row r="152" spans="1:26" ht="15.75" customHeight="1" x14ac:dyDescent="0.25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</row>
    <row r="153" spans="1:26" ht="15.75" customHeight="1" x14ac:dyDescent="0.25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</row>
    <row r="154" spans="1:26" ht="15.75" customHeight="1" x14ac:dyDescent="0.25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</row>
    <row r="155" spans="1:26" ht="15.75" customHeight="1" x14ac:dyDescent="0.25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</row>
    <row r="156" spans="1:26" ht="15.75" customHeight="1" x14ac:dyDescent="0.25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</row>
    <row r="157" spans="1:26" ht="15.75" customHeight="1" x14ac:dyDescent="0.25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</row>
    <row r="158" spans="1:26" ht="15.75" customHeight="1" x14ac:dyDescent="0.25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</row>
    <row r="159" spans="1:26" ht="15.75" customHeight="1" x14ac:dyDescent="0.25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</row>
    <row r="160" spans="1:26" ht="15.75" customHeight="1" x14ac:dyDescent="0.25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</row>
    <row r="161" spans="1:26" ht="15.75" customHeight="1" x14ac:dyDescent="0.25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</row>
    <row r="162" spans="1:26" ht="15.75" customHeight="1" x14ac:dyDescent="0.25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</row>
    <row r="163" spans="1:26" ht="15.75" customHeight="1" x14ac:dyDescent="0.25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</row>
    <row r="164" spans="1:26" ht="15.75" customHeight="1" x14ac:dyDescent="0.25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</row>
    <row r="165" spans="1:26" ht="15.75" customHeight="1" x14ac:dyDescent="0.25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</row>
    <row r="166" spans="1:26" ht="15.75" customHeight="1" x14ac:dyDescent="0.25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</row>
    <row r="167" spans="1:26" ht="15.75" customHeight="1" x14ac:dyDescent="0.25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</row>
    <row r="168" spans="1:26" ht="15.75" customHeight="1" x14ac:dyDescent="0.25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</row>
    <row r="169" spans="1:26" ht="15.75" customHeight="1" x14ac:dyDescent="0.25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</row>
    <row r="170" spans="1:26" ht="15.75" customHeight="1" x14ac:dyDescent="0.25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</row>
    <row r="171" spans="1:26" ht="15.75" customHeight="1" x14ac:dyDescent="0.25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</row>
    <row r="172" spans="1:26" ht="15.75" customHeight="1" x14ac:dyDescent="0.25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</row>
    <row r="173" spans="1:26" ht="15.75" customHeight="1" x14ac:dyDescent="0.25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</row>
    <row r="174" spans="1:26" ht="15.75" customHeight="1" x14ac:dyDescent="0.25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</row>
    <row r="175" spans="1:26" ht="15.75" customHeight="1" x14ac:dyDescent="0.25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</row>
    <row r="176" spans="1:26" ht="15.75" customHeight="1" x14ac:dyDescent="0.25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</row>
    <row r="177" spans="1:26" ht="15.75" customHeight="1" x14ac:dyDescent="0.25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</row>
    <row r="178" spans="1:26" ht="15.75" customHeight="1" x14ac:dyDescent="0.25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</row>
    <row r="179" spans="1:26" ht="15.75" customHeight="1" x14ac:dyDescent="0.25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</row>
    <row r="180" spans="1:26" ht="15.75" customHeight="1" x14ac:dyDescent="0.25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</row>
    <row r="181" spans="1:26" ht="15.75" customHeight="1" x14ac:dyDescent="0.25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</row>
    <row r="182" spans="1:26" ht="15.75" customHeight="1" x14ac:dyDescent="0.25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</row>
    <row r="183" spans="1:26" ht="15.75" customHeight="1" x14ac:dyDescent="0.25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</row>
    <row r="184" spans="1:26" ht="15.75" customHeight="1" x14ac:dyDescent="0.25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</row>
    <row r="185" spans="1:26" ht="15.75" customHeight="1" x14ac:dyDescent="0.25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</row>
    <row r="186" spans="1:26" ht="15.75" customHeight="1" x14ac:dyDescent="0.25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</row>
    <row r="187" spans="1:26" ht="15.75" customHeight="1" x14ac:dyDescent="0.25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</row>
    <row r="188" spans="1:26" ht="15.75" customHeight="1" x14ac:dyDescent="0.25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</row>
    <row r="189" spans="1:26" ht="15.75" customHeight="1" x14ac:dyDescent="0.25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</row>
    <row r="190" spans="1:26" ht="15.75" customHeight="1" x14ac:dyDescent="0.25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</row>
    <row r="191" spans="1:26" ht="15.75" customHeight="1" x14ac:dyDescent="0.25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</row>
    <row r="192" spans="1:26" ht="15.75" customHeight="1" x14ac:dyDescent="0.25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</row>
    <row r="193" spans="1:26" ht="15.75" customHeight="1" x14ac:dyDescent="0.25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</row>
    <row r="194" spans="1:26" ht="15.75" customHeight="1" x14ac:dyDescent="0.25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</row>
    <row r="195" spans="1:26" ht="15.75" customHeight="1" x14ac:dyDescent="0.25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</row>
    <row r="196" spans="1:26" ht="15.75" customHeight="1" x14ac:dyDescent="0.25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</row>
    <row r="197" spans="1:26" ht="15.75" customHeight="1" x14ac:dyDescent="0.25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</row>
    <row r="198" spans="1:26" ht="15.75" customHeight="1" x14ac:dyDescent="0.25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</row>
    <row r="199" spans="1:26" ht="15.75" customHeight="1" x14ac:dyDescent="0.25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</row>
    <row r="200" spans="1:26" ht="15.75" customHeight="1" x14ac:dyDescent="0.25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</row>
    <row r="201" spans="1:26" ht="15.75" customHeight="1" x14ac:dyDescent="0.25">
      <c r="A201" s="9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</row>
    <row r="202" spans="1:26" ht="15.75" customHeight="1" x14ac:dyDescent="0.25">
      <c r="A202" s="9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</row>
    <row r="203" spans="1:26" ht="15.75" customHeight="1" x14ac:dyDescent="0.25">
      <c r="A203" s="9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</row>
    <row r="204" spans="1:26" ht="15.75" customHeight="1" x14ac:dyDescent="0.25">
      <c r="A204" s="9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</row>
    <row r="205" spans="1:26" ht="15.75" customHeight="1" x14ac:dyDescent="0.25">
      <c r="A205" s="9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</row>
    <row r="206" spans="1:26" ht="15.75" customHeight="1" x14ac:dyDescent="0.25">
      <c r="A206" s="9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</row>
    <row r="207" spans="1:26" ht="15.75" customHeight="1" x14ac:dyDescent="0.25">
      <c r="A207" s="9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</row>
    <row r="208" spans="1:26" ht="15.75" customHeight="1" x14ac:dyDescent="0.25">
      <c r="A208" s="9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</row>
    <row r="209" spans="1:26" ht="15.75" customHeight="1" x14ac:dyDescent="0.25">
      <c r="A209" s="9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</row>
    <row r="210" spans="1:26" ht="15.75" customHeight="1" x14ac:dyDescent="0.25">
      <c r="A210" s="9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</row>
    <row r="211" spans="1:26" ht="15.75" customHeight="1" x14ac:dyDescent="0.25">
      <c r="A211" s="9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</row>
    <row r="212" spans="1:26" ht="15.75" customHeight="1" x14ac:dyDescent="0.25">
      <c r="A212" s="9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</row>
    <row r="213" spans="1:26" ht="15.75" customHeight="1" x14ac:dyDescent="0.25">
      <c r="A213" s="9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</row>
    <row r="214" spans="1:26" ht="15.75" customHeight="1" x14ac:dyDescent="0.25">
      <c r="A214" s="9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</row>
    <row r="215" spans="1:26" ht="15.75" customHeight="1" x14ac:dyDescent="0.25">
      <c r="A215" s="9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</row>
    <row r="216" spans="1:26" ht="15.75" customHeight="1" x14ac:dyDescent="0.25">
      <c r="A216" s="9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</row>
    <row r="217" spans="1:26" ht="15.75" customHeight="1" x14ac:dyDescent="0.25">
      <c r="A217" s="9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</row>
    <row r="218" spans="1:26" ht="15.75" customHeight="1" x14ac:dyDescent="0.25">
      <c r="A218" s="9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</row>
    <row r="219" spans="1:26" ht="15.75" customHeight="1" x14ac:dyDescent="0.25">
      <c r="A219" s="9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</row>
    <row r="220" spans="1:26" ht="15.75" customHeight="1" x14ac:dyDescent="0.25">
      <c r="A220" s="9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</row>
    <row r="221" spans="1:26" ht="15.75" customHeight="1" x14ac:dyDescent="0.25">
      <c r="A221" s="9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</row>
    <row r="222" spans="1:26" ht="15.75" customHeight="1" x14ac:dyDescent="0.25">
      <c r="A222" s="9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</row>
    <row r="223" spans="1:26" ht="15.75" customHeight="1" x14ac:dyDescent="0.25">
      <c r="A223" s="9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</row>
    <row r="224" spans="1:26" ht="15.75" customHeight="1" x14ac:dyDescent="0.25">
      <c r="A224" s="9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</row>
    <row r="225" spans="1:26" ht="15.75" customHeight="1" x14ac:dyDescent="0.25">
      <c r="A225" s="9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</row>
    <row r="226" spans="1:26" ht="15.75" customHeight="1" x14ac:dyDescent="0.25">
      <c r="A226" s="9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</row>
    <row r="227" spans="1:26" ht="15.75" customHeight="1" x14ac:dyDescent="0.25">
      <c r="A227" s="9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</row>
    <row r="228" spans="1:26" ht="15.75" customHeight="1" x14ac:dyDescent="0.25">
      <c r="A228" s="9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</row>
    <row r="229" spans="1:26" ht="15.75" customHeight="1" x14ac:dyDescent="0.25">
      <c r="A229" s="9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</row>
    <row r="230" spans="1:26" ht="15.75" customHeight="1" x14ac:dyDescent="0.25">
      <c r="A230" s="9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</row>
    <row r="231" spans="1:26" ht="15.75" customHeight="1" x14ac:dyDescent="0.25">
      <c r="A231" s="9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</row>
    <row r="232" spans="1:26" ht="15.75" customHeight="1" x14ac:dyDescent="0.25"/>
    <row r="233" spans="1:26" ht="15.75" customHeight="1" x14ac:dyDescent="0.25"/>
    <row r="234" spans="1:26" ht="15.75" customHeight="1" x14ac:dyDescent="0.25"/>
    <row r="235" spans="1:26" ht="15.75" customHeight="1" x14ac:dyDescent="0.25"/>
    <row r="236" spans="1:26" ht="15.75" customHeight="1" x14ac:dyDescent="0.25"/>
    <row r="237" spans="1:26" ht="15.75" customHeight="1" x14ac:dyDescent="0.25"/>
    <row r="238" spans="1:26" ht="15.75" customHeight="1" x14ac:dyDescent="0.25"/>
    <row r="239" spans="1:26" ht="15.75" customHeight="1" x14ac:dyDescent="0.25"/>
    <row r="240" spans="1:26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9">
    <mergeCell ref="C24:H24"/>
    <mergeCell ref="I13:J13"/>
    <mergeCell ref="I14:J14"/>
    <mergeCell ref="I15:J15"/>
    <mergeCell ref="I16:J16"/>
    <mergeCell ref="I17:J17"/>
    <mergeCell ref="I18:J18"/>
    <mergeCell ref="I19:J19"/>
    <mergeCell ref="I12:J12"/>
    <mergeCell ref="I20:J20"/>
    <mergeCell ref="C21:G21"/>
    <mergeCell ref="C22:G22"/>
    <mergeCell ref="C23:G23"/>
    <mergeCell ref="C8:J8"/>
    <mergeCell ref="C9:H9"/>
    <mergeCell ref="I9:J10"/>
    <mergeCell ref="C10:C11"/>
    <mergeCell ref="D10:G10"/>
    <mergeCell ref="I11:J11"/>
  </mergeCells>
  <pageMargins left="0.7" right="0.7" top="0.75" bottom="0.75" header="0" footer="0"/>
  <pageSetup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Z1000"/>
  <sheetViews>
    <sheetView showGridLines="0" topLeftCell="A19" workbookViewId="0">
      <selection activeCell="M13" sqref="M13"/>
    </sheetView>
  </sheetViews>
  <sheetFormatPr defaultColWidth="14.42578125" defaultRowHeight="15" customHeight="1" x14ac:dyDescent="0.25"/>
  <cols>
    <col min="1" max="1" width="9.140625" customWidth="1"/>
    <col min="2" max="2" width="7.140625" customWidth="1"/>
    <col min="3" max="3" width="19" customWidth="1"/>
    <col min="4" max="4" width="26.85546875" customWidth="1"/>
    <col min="5" max="5" width="10.28515625" customWidth="1"/>
    <col min="6" max="6" width="7.28515625" customWidth="1"/>
    <col min="7" max="7" width="9.7109375" customWidth="1"/>
    <col min="8" max="8" width="12.7109375" customWidth="1"/>
    <col min="9" max="9" width="11.7109375" customWidth="1"/>
    <col min="10" max="10" width="14.140625" customWidth="1"/>
    <col min="11" max="11" width="7.85546875" customWidth="1"/>
    <col min="12" max="26" width="9.140625" customWidth="1"/>
  </cols>
  <sheetData>
    <row r="1" spans="1:26" ht="23.25" x14ac:dyDescent="0.25">
      <c r="A1" s="9"/>
      <c r="B1" s="9"/>
      <c r="C1" s="9"/>
      <c r="D1" s="9"/>
      <c r="E1" s="122" t="s">
        <v>214</v>
      </c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 spans="1:26" x14ac:dyDescent="0.25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 spans="1:26" x14ac:dyDescent="0.25">
      <c r="A3" s="9"/>
      <c r="B3" s="28"/>
      <c r="C3" s="29" t="s">
        <v>1</v>
      </c>
      <c r="D3" s="95" t="str">
        <f>'CO_attainment for Indirect'!D4</f>
        <v>DATA STRUCTURE USING C</v>
      </c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 spans="1:26" x14ac:dyDescent="0.25">
      <c r="A4" s="9"/>
      <c r="B4" s="28"/>
      <c r="C4" s="29" t="s">
        <v>3</v>
      </c>
      <c r="D4" s="95">
        <f>'CO_attainment for Indirect'!D5</f>
        <v>313301</v>
      </c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spans="1:26" x14ac:dyDescent="0.25">
      <c r="A5" s="9"/>
      <c r="B5" s="28"/>
      <c r="C5" s="29" t="s">
        <v>55</v>
      </c>
      <c r="D5" s="95" t="str">
        <f>'CO_attainment for Indirect'!D6</f>
        <v>3rd SEM(CO3K SCHEME)</v>
      </c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 spans="1:26" x14ac:dyDescent="0.25">
      <c r="A6" s="9"/>
      <c r="B6" s="28"/>
      <c r="C6" s="29" t="s">
        <v>162</v>
      </c>
      <c r="D6" s="95" t="str">
        <f>'CO_attain_SLA_FA-PR_SA-PR'!D7</f>
        <v>2024-25</v>
      </c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 spans="1:26" x14ac:dyDescent="0.25">
      <c r="A7" s="9"/>
      <c r="B7" s="28"/>
      <c r="C7" s="29"/>
      <c r="D7" s="98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 spans="1:26" x14ac:dyDescent="0.25">
      <c r="A8" s="9"/>
      <c r="B8" s="28"/>
      <c r="C8" s="304" t="s">
        <v>239</v>
      </c>
      <c r="D8" s="305"/>
      <c r="E8" s="307" t="s">
        <v>240</v>
      </c>
      <c r="F8" s="288"/>
      <c r="G8" s="262"/>
      <c r="H8" s="149" t="s">
        <v>241</v>
      </c>
      <c r="I8" s="149" t="s">
        <v>242</v>
      </c>
      <c r="J8" s="149" t="s">
        <v>243</v>
      </c>
      <c r="K8" s="308" t="s">
        <v>244</v>
      </c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 spans="1:26" ht="30" x14ac:dyDescent="0.25">
      <c r="A9" s="9"/>
      <c r="B9" s="28"/>
      <c r="C9" s="194"/>
      <c r="D9" s="306"/>
      <c r="E9" s="150" t="s">
        <v>245</v>
      </c>
      <c r="F9" s="150" t="s">
        <v>246</v>
      </c>
      <c r="G9" s="150" t="s">
        <v>247</v>
      </c>
      <c r="H9" s="150" t="s">
        <v>222</v>
      </c>
      <c r="I9" s="150" t="s">
        <v>248</v>
      </c>
      <c r="J9" s="151" t="s">
        <v>225</v>
      </c>
      <c r="K9" s="30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spans="1:26" ht="19.5" customHeight="1" x14ac:dyDescent="0.25">
      <c r="A10" s="9"/>
      <c r="B10" s="28"/>
      <c r="C10" s="310" t="s">
        <v>249</v>
      </c>
      <c r="D10" s="262"/>
      <c r="E10" s="311">
        <v>30</v>
      </c>
      <c r="F10" s="262"/>
      <c r="G10" s="152">
        <v>0</v>
      </c>
      <c r="H10" s="152">
        <v>50</v>
      </c>
      <c r="I10" s="153">
        <v>25</v>
      </c>
      <c r="J10" s="153">
        <v>70</v>
      </c>
      <c r="K10" s="131">
        <f t="shared" ref="K10:K11" si="0">SUM(E10:J10)</f>
        <v>175</v>
      </c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spans="1:26" ht="17.25" customHeight="1" x14ac:dyDescent="0.25">
      <c r="A11" s="9"/>
      <c r="B11" s="28"/>
      <c r="C11" s="312" t="s">
        <v>250</v>
      </c>
      <c r="D11" s="264"/>
      <c r="E11" s="313">
        <f>(E10/$K10)*100</f>
        <v>17.142857142857142</v>
      </c>
      <c r="F11" s="264"/>
      <c r="G11" s="154">
        <f t="shared" ref="G11:J11" si="1">(G10/$K10)*100</f>
        <v>0</v>
      </c>
      <c r="H11" s="154">
        <f t="shared" si="1"/>
        <v>28.571428571428569</v>
      </c>
      <c r="I11" s="154">
        <f t="shared" si="1"/>
        <v>14.285714285714285</v>
      </c>
      <c r="J11" s="154">
        <f t="shared" si="1"/>
        <v>40</v>
      </c>
      <c r="K11" s="155">
        <f t="shared" si="0"/>
        <v>100</v>
      </c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spans="1:26" x14ac:dyDescent="0.25">
      <c r="A12" s="9"/>
      <c r="B12" s="28"/>
      <c r="C12" s="29"/>
      <c r="D12" s="98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spans="1:26" x14ac:dyDescent="0.25">
      <c r="A13" s="9"/>
      <c r="B13" s="28"/>
      <c r="C13" s="29"/>
      <c r="D13" s="98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spans="1:26" x14ac:dyDescent="0.25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spans="1:26" ht="21" x14ac:dyDescent="0.25">
      <c r="A15" s="9"/>
      <c r="B15" s="9"/>
      <c r="C15" s="314" t="s">
        <v>215</v>
      </c>
      <c r="D15" s="197"/>
      <c r="E15" s="197"/>
      <c r="F15" s="197"/>
      <c r="G15" s="197"/>
      <c r="H15" s="197"/>
      <c r="I15" s="197"/>
      <c r="J15" s="198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 spans="1:26" ht="21" x14ac:dyDescent="0.25">
      <c r="A16" s="9"/>
      <c r="B16" s="9"/>
      <c r="C16" s="315" t="s">
        <v>216</v>
      </c>
      <c r="D16" s="197"/>
      <c r="E16" s="197"/>
      <c r="F16" s="197"/>
      <c r="G16" s="197"/>
      <c r="H16" s="198"/>
      <c r="I16" s="316"/>
      <c r="J16" s="191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spans="1:26" x14ac:dyDescent="0.25">
      <c r="A17" s="9"/>
      <c r="B17" s="9"/>
      <c r="C17" s="317" t="s">
        <v>251</v>
      </c>
      <c r="D17" s="156"/>
      <c r="E17" s="157" t="s">
        <v>219</v>
      </c>
      <c r="F17" s="158"/>
      <c r="G17" s="159"/>
      <c r="H17" s="160" t="s">
        <v>220</v>
      </c>
      <c r="I17" s="194"/>
      <c r="J17" s="195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spans="1:26" ht="45.75" customHeight="1" x14ac:dyDescent="0.25">
      <c r="A18" s="9"/>
      <c r="B18" s="9"/>
      <c r="C18" s="212"/>
      <c r="D18" s="161" t="s">
        <v>221</v>
      </c>
      <c r="E18" s="162" t="s">
        <v>222</v>
      </c>
      <c r="F18" s="162" t="s">
        <v>223</v>
      </c>
      <c r="G18" s="163" t="s">
        <v>224</v>
      </c>
      <c r="H18" s="164" t="s">
        <v>225</v>
      </c>
      <c r="I18" s="318"/>
      <c r="J18" s="198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spans="1:26" x14ac:dyDescent="0.25">
      <c r="A19" s="9"/>
      <c r="B19" s="9"/>
      <c r="C19" s="165" t="s">
        <v>9</v>
      </c>
      <c r="D19" s="166">
        <f>'CO_Attainment for Unit Tests'!D110</f>
        <v>3</v>
      </c>
      <c r="E19" s="149">
        <f>'CO_attain_SLA_FA-PR_SA-PR'!C111</f>
        <v>3</v>
      </c>
      <c r="F19" s="149">
        <f>'CO_attain_SLA_FA-PR_SA-PR'!C110</f>
        <v>0</v>
      </c>
      <c r="G19" s="149">
        <f>'CO_attain_SLA_FA-PR_SA-PR'!C112</f>
        <v>3</v>
      </c>
      <c r="H19" s="167">
        <f>'CO_attainment for FA-TH ESE'!C110</f>
        <v>3</v>
      </c>
      <c r="I19" s="319"/>
      <c r="J19" s="267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spans="1:26" x14ac:dyDescent="0.25">
      <c r="A20" s="9"/>
      <c r="B20" s="9"/>
      <c r="C20" s="168" t="s">
        <v>11</v>
      </c>
      <c r="D20" s="169">
        <f>'CO_Attainment for Unit Tests'!E110</f>
        <v>3</v>
      </c>
      <c r="E20" s="170">
        <f t="shared" ref="E20:E24" si="2">$E19</f>
        <v>3</v>
      </c>
      <c r="F20" s="170">
        <f t="shared" ref="F20:F24" si="3">$F19</f>
        <v>0</v>
      </c>
      <c r="G20" s="170">
        <f t="shared" ref="G20:G24" si="4">$G19</f>
        <v>3</v>
      </c>
      <c r="H20" s="171">
        <f t="shared" ref="H20:H24" si="5">$H19</f>
        <v>3</v>
      </c>
      <c r="I20" s="320"/>
      <c r="J20" s="254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spans="1:26" ht="15.75" customHeight="1" x14ac:dyDescent="0.25">
      <c r="A21" s="9"/>
      <c r="B21" s="9"/>
      <c r="C21" s="168" t="s">
        <v>13</v>
      </c>
      <c r="D21" s="169">
        <f>'CO_Attainment for Unit Tests'!F110</f>
        <v>1</v>
      </c>
      <c r="E21" s="170">
        <f t="shared" si="2"/>
        <v>3</v>
      </c>
      <c r="F21" s="170">
        <f t="shared" si="3"/>
        <v>0</v>
      </c>
      <c r="G21" s="170">
        <f t="shared" si="4"/>
        <v>3</v>
      </c>
      <c r="H21" s="171">
        <f t="shared" si="5"/>
        <v>3</v>
      </c>
      <c r="I21" s="320"/>
      <c r="J21" s="254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spans="1:26" ht="15.75" customHeight="1" x14ac:dyDescent="0.25">
      <c r="A22" s="9"/>
      <c r="B22" s="9"/>
      <c r="C22" s="168" t="s">
        <v>15</v>
      </c>
      <c r="D22" s="169">
        <f>'CO_Attainment for Unit Tests'!G110</f>
        <v>3</v>
      </c>
      <c r="E22" s="170">
        <f t="shared" si="2"/>
        <v>3</v>
      </c>
      <c r="F22" s="170">
        <f t="shared" si="3"/>
        <v>0</v>
      </c>
      <c r="G22" s="170">
        <f t="shared" si="4"/>
        <v>3</v>
      </c>
      <c r="H22" s="171">
        <f t="shared" si="5"/>
        <v>3</v>
      </c>
      <c r="I22" s="320"/>
      <c r="J22" s="254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spans="1:26" ht="15.75" customHeight="1" x14ac:dyDescent="0.25">
      <c r="A23" s="9"/>
      <c r="B23" s="9"/>
      <c r="C23" s="168" t="s">
        <v>17</v>
      </c>
      <c r="D23" s="169">
        <f>'CO_Attainment for Unit Tests'!H110</f>
        <v>3</v>
      </c>
      <c r="E23" s="170">
        <f t="shared" si="2"/>
        <v>3</v>
      </c>
      <c r="F23" s="170">
        <f t="shared" si="3"/>
        <v>0</v>
      </c>
      <c r="G23" s="170">
        <f t="shared" si="4"/>
        <v>3</v>
      </c>
      <c r="H23" s="171">
        <f t="shared" si="5"/>
        <v>3</v>
      </c>
      <c r="I23" s="320"/>
      <c r="J23" s="254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spans="1:26" ht="15.75" customHeight="1" x14ac:dyDescent="0.25">
      <c r="A24" s="9"/>
      <c r="B24" s="9"/>
      <c r="C24" s="172" t="s">
        <v>19</v>
      </c>
      <c r="D24" s="173">
        <f>'CO_Attainment for Unit Tests'!I110</f>
        <v>3</v>
      </c>
      <c r="E24" s="151">
        <f t="shared" si="2"/>
        <v>3</v>
      </c>
      <c r="F24" s="151">
        <f t="shared" si="3"/>
        <v>0</v>
      </c>
      <c r="G24" s="151">
        <f t="shared" si="4"/>
        <v>3</v>
      </c>
      <c r="H24" s="174">
        <f t="shared" si="5"/>
        <v>3</v>
      </c>
      <c r="I24" s="320"/>
      <c r="J24" s="254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spans="1:26" ht="15.75" customHeight="1" x14ac:dyDescent="0.25">
      <c r="A25" s="9"/>
      <c r="B25" s="9"/>
      <c r="C25" s="165" t="s">
        <v>227</v>
      </c>
      <c r="D25" s="166">
        <f t="shared" ref="D25:H25" si="6">ROUND(AVERAGE(D19:D24),2)</f>
        <v>2.67</v>
      </c>
      <c r="E25" s="149">
        <f t="shared" si="6"/>
        <v>3</v>
      </c>
      <c r="F25" s="149">
        <f t="shared" si="6"/>
        <v>0</v>
      </c>
      <c r="G25" s="149">
        <f t="shared" si="6"/>
        <v>3</v>
      </c>
      <c r="H25" s="167">
        <f t="shared" si="6"/>
        <v>3</v>
      </c>
      <c r="I25" s="319"/>
      <c r="J25" s="267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spans="1:26" ht="15.75" customHeight="1" x14ac:dyDescent="0.25">
      <c r="A26" s="9"/>
      <c r="B26" s="9"/>
      <c r="C26" s="175" t="s">
        <v>228</v>
      </c>
      <c r="D26" s="176">
        <f>E11</f>
        <v>17.142857142857142</v>
      </c>
      <c r="E26" s="176">
        <f>H11</f>
        <v>28.571428571428569</v>
      </c>
      <c r="F26" s="176">
        <f>G11</f>
        <v>0</v>
      </c>
      <c r="G26" s="176">
        <f t="shared" ref="G26:H26" si="7">I11</f>
        <v>14.285714285714285</v>
      </c>
      <c r="H26" s="176">
        <f t="shared" si="7"/>
        <v>40</v>
      </c>
      <c r="I26" s="324"/>
      <c r="J26" s="254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 spans="1:26" ht="15.75" customHeight="1" x14ac:dyDescent="0.25">
      <c r="A27" s="9"/>
      <c r="B27" s="9"/>
      <c r="C27" s="177" t="s">
        <v>229</v>
      </c>
      <c r="D27" s="178">
        <f t="shared" ref="D27:H27" si="8">D25*D26/100</f>
        <v>0.45771428571428574</v>
      </c>
      <c r="E27" s="178">
        <f t="shared" si="8"/>
        <v>0.8571428571428571</v>
      </c>
      <c r="F27" s="178">
        <f t="shared" si="8"/>
        <v>0</v>
      </c>
      <c r="G27" s="178">
        <f t="shared" si="8"/>
        <v>0.42857142857142855</v>
      </c>
      <c r="H27" s="178">
        <f t="shared" si="8"/>
        <v>1.2</v>
      </c>
      <c r="I27" s="325"/>
      <c r="J27" s="226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 spans="1:26" ht="30" customHeight="1" x14ac:dyDescent="0.25">
      <c r="A28" s="9"/>
      <c r="B28" s="9"/>
      <c r="C28" s="321" t="s">
        <v>230</v>
      </c>
      <c r="D28" s="197"/>
      <c r="E28" s="197"/>
      <c r="F28" s="197"/>
      <c r="G28" s="198"/>
      <c r="H28" s="179">
        <f>SUM(D27:H27)</f>
        <v>2.9434285714285715</v>
      </c>
      <c r="I28" s="180"/>
      <c r="J28" s="181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spans="1:26" ht="15.75" customHeight="1" x14ac:dyDescent="0.25">
      <c r="A29" s="9"/>
      <c r="B29" s="9"/>
      <c r="C29" s="321" t="s">
        <v>232</v>
      </c>
      <c r="D29" s="197"/>
      <c r="E29" s="197"/>
      <c r="F29" s="197"/>
      <c r="G29" s="198"/>
      <c r="H29" s="182">
        <v>1</v>
      </c>
      <c r="I29" s="183"/>
      <c r="J29" s="182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spans="1:26" ht="62.25" customHeight="1" x14ac:dyDescent="0.25">
      <c r="A30" s="9"/>
      <c r="B30" s="9"/>
      <c r="C30" s="321" t="s">
        <v>234</v>
      </c>
      <c r="D30" s="197"/>
      <c r="E30" s="197"/>
      <c r="F30" s="197"/>
      <c r="G30" s="198"/>
      <c r="H30" s="179">
        <f>H29*H28</f>
        <v>2.9434285714285715</v>
      </c>
      <c r="I30" s="180"/>
      <c r="J30" s="183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spans="1:26" ht="25.5" customHeight="1" x14ac:dyDescent="0.25">
      <c r="A31" s="9"/>
      <c r="B31" s="9"/>
      <c r="C31" s="322" t="s">
        <v>236</v>
      </c>
      <c r="D31" s="197"/>
      <c r="E31" s="197"/>
      <c r="F31" s="197"/>
      <c r="G31" s="197"/>
      <c r="H31" s="198"/>
      <c r="I31" s="184">
        <f>H30+J30</f>
        <v>2.9434285714285715</v>
      </c>
      <c r="J31" s="185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 spans="1:26" ht="15.75" customHeight="1" x14ac:dyDescent="0.25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 spans="1:26" ht="15.75" customHeight="1" x14ac:dyDescent="0.25">
      <c r="A33" s="9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 spans="1:26" ht="15.75" customHeight="1" x14ac:dyDescent="0.25">
      <c r="A34" s="9"/>
      <c r="B34" s="9"/>
      <c r="C34" s="9"/>
      <c r="D34" s="9"/>
      <c r="E34" s="9"/>
      <c r="F34" s="9"/>
      <c r="G34" s="9"/>
      <c r="H34" s="205" t="s">
        <v>48</v>
      </c>
      <c r="I34" s="203"/>
      <c r="J34" s="203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 spans="1:26" ht="15.75" customHeight="1" x14ac:dyDescent="0.25">
      <c r="A35" s="9"/>
      <c r="B35" s="9"/>
      <c r="C35" s="9"/>
      <c r="D35" s="9"/>
      <c r="E35" s="9"/>
      <c r="F35" s="9"/>
      <c r="G35" s="9"/>
      <c r="H35" s="323" t="s">
        <v>49</v>
      </c>
      <c r="I35" s="207"/>
      <c r="J35" s="208"/>
      <c r="K35" s="10"/>
      <c r="L35" s="10"/>
      <c r="M35" s="10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 spans="1:26" ht="15.75" customHeight="1" x14ac:dyDescent="0.25">
      <c r="A36" s="9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 spans="1:26" ht="15.75" customHeight="1" x14ac:dyDescent="0.25">
      <c r="A37" s="9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 spans="1:26" ht="15.75" customHeight="1" x14ac:dyDescent="0.25">
      <c r="A38" s="9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 spans="1:26" ht="60.75" customHeight="1" x14ac:dyDescent="0.25">
      <c r="A39" s="9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 spans="1:26" ht="48" customHeight="1" x14ac:dyDescent="0.25">
      <c r="A40" s="9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 spans="1:26" ht="48" customHeight="1" x14ac:dyDescent="0.25">
      <c r="A41" s="9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 spans="1:26" ht="48" customHeight="1" x14ac:dyDescent="0.25">
      <c r="A42" s="9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 spans="1:26" ht="48" customHeight="1" x14ac:dyDescent="0.25">
      <c r="A43" s="9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 spans="1:26" ht="48" customHeight="1" x14ac:dyDescent="0.25">
      <c r="A44" s="9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 spans="1:26" ht="48" customHeight="1" x14ac:dyDescent="0.25">
      <c r="A45" s="9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 spans="1:26" ht="15.75" customHeight="1" x14ac:dyDescent="0.25">
      <c r="A46" s="9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 spans="1:26" ht="15.75" customHeight="1" x14ac:dyDescent="0.25">
      <c r="A47" s="9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 spans="1:26" ht="15.75" customHeight="1" x14ac:dyDescent="0.25">
      <c r="A48" s="9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 spans="1:26" ht="15.75" customHeight="1" x14ac:dyDescent="0.25">
      <c r="A49" s="9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</row>
    <row r="50" spans="1:26" ht="15.75" customHeight="1" x14ac:dyDescent="0.25">
      <c r="A50" s="9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 spans="1:26" ht="15.75" customHeight="1" x14ac:dyDescent="0.25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 spans="1:26" ht="15.75" customHeight="1" x14ac:dyDescent="0.25">
      <c r="A52" s="9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</row>
    <row r="53" spans="1:26" ht="15.75" customHeight="1" x14ac:dyDescent="0.25">
      <c r="A53" s="9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 spans="1:26" ht="15.75" customHeight="1" x14ac:dyDescent="0.25">
      <c r="A54" s="9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 spans="1:26" ht="15.75" customHeight="1" x14ac:dyDescent="0.25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 spans="1:26" ht="15.75" customHeight="1" x14ac:dyDescent="0.25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 spans="1:26" ht="15.75" customHeight="1" x14ac:dyDescent="0.25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</row>
    <row r="58" spans="1:26" ht="15.75" customHeight="1" x14ac:dyDescent="0.25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</row>
    <row r="59" spans="1:26" ht="15.75" customHeight="1" x14ac:dyDescent="0.25">
      <c r="A59" s="9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 spans="1:26" ht="15.75" customHeight="1" x14ac:dyDescent="0.25">
      <c r="A60" s="9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 spans="1:26" ht="15.75" customHeight="1" x14ac:dyDescent="0.25">
      <c r="A61" s="9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</row>
    <row r="62" spans="1:26" ht="15.75" customHeight="1" x14ac:dyDescent="0.25">
      <c r="A62" s="9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 spans="1:26" ht="15.75" customHeight="1" x14ac:dyDescent="0.25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</row>
    <row r="64" spans="1:26" ht="15.75" customHeight="1" x14ac:dyDescent="0.25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</row>
    <row r="65" spans="1:26" ht="15.75" customHeight="1" x14ac:dyDescent="0.25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</row>
    <row r="66" spans="1:26" ht="15.75" customHeight="1" x14ac:dyDescent="0.25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 spans="1:26" ht="15.75" customHeight="1" x14ac:dyDescent="0.25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 spans="1:26" ht="15.75" customHeight="1" x14ac:dyDescent="0.25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 spans="1:26" ht="15.75" customHeight="1" x14ac:dyDescent="0.25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 spans="1:26" ht="15.75" customHeight="1" x14ac:dyDescent="0.25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 spans="1:26" ht="15.75" customHeight="1" x14ac:dyDescent="0.25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</row>
    <row r="72" spans="1:26" ht="15.75" customHeight="1" x14ac:dyDescent="0.25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 spans="1:26" ht="15.75" customHeight="1" x14ac:dyDescent="0.25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 spans="1:26" ht="15.75" customHeight="1" x14ac:dyDescent="0.25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</row>
    <row r="75" spans="1:26" ht="15.75" customHeight="1" x14ac:dyDescent="0.25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 spans="1:26" ht="15.75" customHeight="1" x14ac:dyDescent="0.25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 spans="1:26" ht="15.75" customHeight="1" x14ac:dyDescent="0.25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</row>
    <row r="78" spans="1:26" ht="15.75" customHeight="1" x14ac:dyDescent="0.25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 spans="1:26" ht="15.75" customHeight="1" x14ac:dyDescent="0.25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 spans="1:26" ht="15.75" customHeight="1" x14ac:dyDescent="0.25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 spans="1:26" ht="15.75" customHeight="1" x14ac:dyDescent="0.25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</row>
    <row r="82" spans="1:26" ht="15.75" customHeight="1" x14ac:dyDescent="0.25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</row>
    <row r="83" spans="1:26" ht="15.75" customHeight="1" x14ac:dyDescent="0.25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 spans="1:26" ht="15.75" customHeight="1" x14ac:dyDescent="0.25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 spans="1:26" ht="15.75" customHeight="1" x14ac:dyDescent="0.25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 spans="1:26" ht="15.75" customHeight="1" x14ac:dyDescent="0.25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 spans="1:26" ht="15.75" customHeight="1" x14ac:dyDescent="0.25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 spans="1:26" ht="15.75" customHeight="1" x14ac:dyDescent="0.25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 spans="1:26" ht="15.75" customHeight="1" x14ac:dyDescent="0.25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 spans="1:26" ht="15.75" customHeight="1" x14ac:dyDescent="0.25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 spans="1:26" ht="15.75" customHeight="1" x14ac:dyDescent="0.25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 spans="1:26" ht="15.75" customHeight="1" x14ac:dyDescent="0.25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 spans="1:26" ht="15.75" customHeight="1" x14ac:dyDescent="0.25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 spans="1:26" ht="15.75" customHeight="1" x14ac:dyDescent="0.25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 spans="1:26" ht="15.75" customHeight="1" x14ac:dyDescent="0.25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 spans="1:26" ht="15.75" customHeight="1" x14ac:dyDescent="0.25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 spans="1:26" ht="15.75" customHeight="1" x14ac:dyDescent="0.25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 spans="1:26" ht="15.75" customHeight="1" x14ac:dyDescent="0.25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 spans="1:26" ht="15.75" customHeight="1" x14ac:dyDescent="0.25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 spans="1:26" ht="15.75" customHeight="1" x14ac:dyDescent="0.25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 spans="1:26" ht="15.75" customHeight="1" x14ac:dyDescent="0.25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 spans="1:26" ht="15.75" customHeight="1" x14ac:dyDescent="0.25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 spans="1:26" ht="15.75" customHeight="1" x14ac:dyDescent="0.25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 spans="1:26" ht="15.75" customHeight="1" x14ac:dyDescent="0.25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 spans="1:26" ht="15.75" customHeight="1" x14ac:dyDescent="0.25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 spans="1:26" ht="15.75" customHeight="1" x14ac:dyDescent="0.25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 spans="1:26" ht="15.75" customHeight="1" x14ac:dyDescent="0.25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 spans="1:26" ht="15.75" customHeight="1" x14ac:dyDescent="0.25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 spans="1:26" ht="15.75" customHeight="1" x14ac:dyDescent="0.25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 spans="1:26" ht="15.75" customHeight="1" x14ac:dyDescent="0.25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 spans="1:26" ht="15.75" customHeight="1" x14ac:dyDescent="0.25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 spans="1:26" ht="15.75" customHeight="1" x14ac:dyDescent="0.25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 spans="1:26" ht="15.75" customHeight="1" x14ac:dyDescent="0.25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 spans="1:26" ht="15.75" customHeight="1" x14ac:dyDescent="0.25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 spans="1:26" ht="15.75" customHeight="1" x14ac:dyDescent="0.25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 spans="1:26" ht="15.75" customHeight="1" x14ac:dyDescent="0.25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 spans="1:26" ht="15.75" customHeight="1" x14ac:dyDescent="0.25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 spans="1:26" ht="15.75" customHeight="1" x14ac:dyDescent="0.25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 spans="1:26" ht="15.75" customHeight="1" x14ac:dyDescent="0.25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 spans="1:26" ht="15.75" customHeight="1" x14ac:dyDescent="0.25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 spans="1:26" ht="15.75" customHeight="1" x14ac:dyDescent="0.25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 spans="1:26" ht="15.75" customHeight="1" x14ac:dyDescent="0.25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 spans="1:26" ht="15.75" customHeight="1" x14ac:dyDescent="0.25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 spans="1:26" ht="15.75" customHeight="1" x14ac:dyDescent="0.25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 spans="1:26" ht="15.75" customHeight="1" x14ac:dyDescent="0.25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 spans="1:26" ht="15.75" customHeight="1" x14ac:dyDescent="0.25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 spans="1:26" ht="15.75" customHeight="1" x14ac:dyDescent="0.25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 spans="1:26" ht="15.75" customHeight="1" x14ac:dyDescent="0.25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 spans="1:26" ht="15.75" customHeight="1" x14ac:dyDescent="0.25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 spans="1:26" ht="15.75" customHeight="1" x14ac:dyDescent="0.25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 spans="1:26" ht="15.75" customHeight="1" x14ac:dyDescent="0.25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 spans="1:26" ht="15.75" customHeight="1" x14ac:dyDescent="0.25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 spans="1:26" ht="15.75" customHeight="1" x14ac:dyDescent="0.25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 spans="1:26" ht="15.75" customHeight="1" x14ac:dyDescent="0.25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 spans="1:26" ht="15.75" customHeight="1" x14ac:dyDescent="0.25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 spans="1:26" ht="15.75" customHeight="1" x14ac:dyDescent="0.25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 spans="1:26" ht="15.75" customHeight="1" x14ac:dyDescent="0.25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</row>
    <row r="138" spans="1:26" ht="15.75" customHeight="1" x14ac:dyDescent="0.25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</row>
    <row r="139" spans="1:26" ht="15.75" customHeight="1" x14ac:dyDescent="0.25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</row>
    <row r="140" spans="1:26" ht="15.75" customHeight="1" x14ac:dyDescent="0.25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</row>
    <row r="141" spans="1:26" ht="15.75" customHeight="1" x14ac:dyDescent="0.25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</row>
    <row r="142" spans="1:26" ht="15.75" customHeight="1" x14ac:dyDescent="0.25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</row>
    <row r="143" spans="1:26" ht="15.75" customHeight="1" x14ac:dyDescent="0.25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</row>
    <row r="144" spans="1:26" ht="15.75" customHeight="1" x14ac:dyDescent="0.25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</row>
    <row r="145" spans="1:26" ht="15.75" customHeight="1" x14ac:dyDescent="0.25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</row>
    <row r="146" spans="1:26" ht="15.75" customHeight="1" x14ac:dyDescent="0.25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</row>
    <row r="147" spans="1:26" ht="15.75" customHeight="1" x14ac:dyDescent="0.25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</row>
    <row r="148" spans="1:26" ht="15.75" customHeight="1" x14ac:dyDescent="0.25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</row>
    <row r="149" spans="1:26" ht="15.75" customHeight="1" x14ac:dyDescent="0.25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</row>
    <row r="150" spans="1:26" ht="15.75" customHeight="1" x14ac:dyDescent="0.25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</row>
    <row r="151" spans="1:26" ht="15.75" customHeight="1" x14ac:dyDescent="0.25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</row>
    <row r="152" spans="1:26" ht="15.75" customHeight="1" x14ac:dyDescent="0.25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</row>
    <row r="153" spans="1:26" ht="15.75" customHeight="1" x14ac:dyDescent="0.25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</row>
    <row r="154" spans="1:26" ht="15.75" customHeight="1" x14ac:dyDescent="0.25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</row>
    <row r="155" spans="1:26" ht="15.75" customHeight="1" x14ac:dyDescent="0.25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</row>
    <row r="156" spans="1:26" ht="15.75" customHeight="1" x14ac:dyDescent="0.25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</row>
    <row r="157" spans="1:26" ht="15.75" customHeight="1" x14ac:dyDescent="0.25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</row>
    <row r="158" spans="1:26" ht="15.75" customHeight="1" x14ac:dyDescent="0.25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</row>
    <row r="159" spans="1:26" ht="15.75" customHeight="1" x14ac:dyDescent="0.25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</row>
    <row r="160" spans="1:26" ht="15.75" customHeight="1" x14ac:dyDescent="0.25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</row>
    <row r="161" spans="1:26" ht="15.75" customHeight="1" x14ac:dyDescent="0.25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</row>
    <row r="162" spans="1:26" ht="15.75" customHeight="1" x14ac:dyDescent="0.25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</row>
    <row r="163" spans="1:26" ht="15.75" customHeight="1" x14ac:dyDescent="0.25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</row>
    <row r="164" spans="1:26" ht="15.75" customHeight="1" x14ac:dyDescent="0.25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</row>
    <row r="165" spans="1:26" ht="15.75" customHeight="1" x14ac:dyDescent="0.25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</row>
    <row r="166" spans="1:26" ht="15.75" customHeight="1" x14ac:dyDescent="0.25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</row>
    <row r="167" spans="1:26" ht="15.75" customHeight="1" x14ac:dyDescent="0.25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</row>
    <row r="168" spans="1:26" ht="15.75" customHeight="1" x14ac:dyDescent="0.25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</row>
    <row r="169" spans="1:26" ht="15.75" customHeight="1" x14ac:dyDescent="0.25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</row>
    <row r="170" spans="1:26" ht="15.75" customHeight="1" x14ac:dyDescent="0.25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</row>
    <row r="171" spans="1:26" ht="15.75" customHeight="1" x14ac:dyDescent="0.25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</row>
    <row r="172" spans="1:26" ht="15.75" customHeight="1" x14ac:dyDescent="0.25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</row>
    <row r="173" spans="1:26" ht="15.75" customHeight="1" x14ac:dyDescent="0.25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</row>
    <row r="174" spans="1:26" ht="15.75" customHeight="1" x14ac:dyDescent="0.25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</row>
    <row r="175" spans="1:26" ht="15.75" customHeight="1" x14ac:dyDescent="0.25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</row>
    <row r="176" spans="1:26" ht="15.75" customHeight="1" x14ac:dyDescent="0.25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</row>
    <row r="177" spans="1:26" ht="15.75" customHeight="1" x14ac:dyDescent="0.25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</row>
    <row r="178" spans="1:26" ht="15.75" customHeight="1" x14ac:dyDescent="0.25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</row>
    <row r="179" spans="1:26" ht="15.75" customHeight="1" x14ac:dyDescent="0.25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</row>
    <row r="180" spans="1:26" ht="15.75" customHeight="1" x14ac:dyDescent="0.25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</row>
    <row r="181" spans="1:26" ht="15.75" customHeight="1" x14ac:dyDescent="0.25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</row>
    <row r="182" spans="1:26" ht="15.75" customHeight="1" x14ac:dyDescent="0.25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</row>
    <row r="183" spans="1:26" ht="15.75" customHeight="1" x14ac:dyDescent="0.25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</row>
    <row r="184" spans="1:26" ht="15.75" customHeight="1" x14ac:dyDescent="0.25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</row>
    <row r="185" spans="1:26" ht="15.75" customHeight="1" x14ac:dyDescent="0.25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</row>
    <row r="186" spans="1:26" ht="15.75" customHeight="1" x14ac:dyDescent="0.25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</row>
    <row r="187" spans="1:26" ht="15.75" customHeight="1" x14ac:dyDescent="0.25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</row>
    <row r="188" spans="1:26" ht="15.75" customHeight="1" x14ac:dyDescent="0.25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</row>
    <row r="189" spans="1:26" ht="15.75" customHeight="1" x14ac:dyDescent="0.25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</row>
    <row r="190" spans="1:26" ht="15.75" customHeight="1" x14ac:dyDescent="0.25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</row>
    <row r="191" spans="1:26" ht="15.75" customHeight="1" x14ac:dyDescent="0.25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</row>
    <row r="192" spans="1:26" ht="15.75" customHeight="1" x14ac:dyDescent="0.25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</row>
    <row r="193" spans="1:26" ht="15.75" customHeight="1" x14ac:dyDescent="0.25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</row>
    <row r="194" spans="1:26" ht="15.75" customHeight="1" x14ac:dyDescent="0.25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</row>
    <row r="195" spans="1:26" ht="15.75" customHeight="1" x14ac:dyDescent="0.25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</row>
    <row r="196" spans="1:26" ht="15.75" customHeight="1" x14ac:dyDescent="0.25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</row>
    <row r="197" spans="1:26" ht="15.75" customHeight="1" x14ac:dyDescent="0.25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</row>
    <row r="198" spans="1:26" ht="15.75" customHeight="1" x14ac:dyDescent="0.25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</row>
    <row r="199" spans="1:26" ht="15.75" customHeight="1" x14ac:dyDescent="0.25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</row>
    <row r="200" spans="1:26" ht="15.75" customHeight="1" x14ac:dyDescent="0.25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</row>
    <row r="201" spans="1:26" ht="15.75" customHeight="1" x14ac:dyDescent="0.25">
      <c r="A201" s="9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</row>
    <row r="202" spans="1:26" ht="15.75" customHeight="1" x14ac:dyDescent="0.25">
      <c r="A202" s="9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</row>
    <row r="203" spans="1:26" ht="15.75" customHeight="1" x14ac:dyDescent="0.25">
      <c r="A203" s="9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</row>
    <row r="204" spans="1:26" ht="15.75" customHeight="1" x14ac:dyDescent="0.25">
      <c r="A204" s="9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</row>
    <row r="205" spans="1:26" ht="15.75" customHeight="1" x14ac:dyDescent="0.25">
      <c r="A205" s="9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</row>
    <row r="206" spans="1:26" ht="15.75" customHeight="1" x14ac:dyDescent="0.25">
      <c r="A206" s="9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</row>
    <row r="207" spans="1:26" ht="15.75" customHeight="1" x14ac:dyDescent="0.25">
      <c r="A207" s="9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</row>
    <row r="208" spans="1:26" ht="15.75" customHeight="1" x14ac:dyDescent="0.25">
      <c r="A208" s="9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</row>
    <row r="209" spans="1:26" ht="15.75" customHeight="1" x14ac:dyDescent="0.25">
      <c r="A209" s="9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</row>
    <row r="210" spans="1:26" ht="15.75" customHeight="1" x14ac:dyDescent="0.25">
      <c r="A210" s="9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</row>
    <row r="211" spans="1:26" ht="15.75" customHeight="1" x14ac:dyDescent="0.25">
      <c r="A211" s="9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</row>
    <row r="212" spans="1:26" ht="15.75" customHeight="1" x14ac:dyDescent="0.25">
      <c r="A212" s="9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</row>
    <row r="213" spans="1:26" ht="15.75" customHeight="1" x14ac:dyDescent="0.25">
      <c r="A213" s="9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</row>
    <row r="214" spans="1:26" ht="15.75" customHeight="1" x14ac:dyDescent="0.25">
      <c r="A214" s="9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</row>
    <row r="215" spans="1:26" ht="15.75" customHeight="1" x14ac:dyDescent="0.25">
      <c r="A215" s="9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</row>
    <row r="216" spans="1:26" ht="15.75" customHeight="1" x14ac:dyDescent="0.25">
      <c r="A216" s="9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</row>
    <row r="217" spans="1:26" ht="15.75" customHeight="1" x14ac:dyDescent="0.25">
      <c r="A217" s="9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</row>
    <row r="218" spans="1:26" ht="15.75" customHeight="1" x14ac:dyDescent="0.25">
      <c r="A218" s="9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</row>
    <row r="219" spans="1:26" ht="15.75" customHeight="1" x14ac:dyDescent="0.25">
      <c r="A219" s="9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</row>
    <row r="220" spans="1:26" ht="15.75" customHeight="1" x14ac:dyDescent="0.25">
      <c r="A220" s="9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</row>
    <row r="221" spans="1:26" ht="15.75" customHeight="1" x14ac:dyDescent="0.25">
      <c r="A221" s="9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</row>
    <row r="222" spans="1:26" ht="15.75" customHeight="1" x14ac:dyDescent="0.25">
      <c r="A222" s="9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</row>
    <row r="223" spans="1:26" ht="15.75" customHeight="1" x14ac:dyDescent="0.25">
      <c r="A223" s="9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</row>
    <row r="224" spans="1:26" ht="15.75" customHeight="1" x14ac:dyDescent="0.25">
      <c r="A224" s="9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</row>
    <row r="225" spans="1:26" ht="15.75" customHeight="1" x14ac:dyDescent="0.25">
      <c r="A225" s="9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</row>
    <row r="226" spans="1:26" ht="15.75" customHeight="1" x14ac:dyDescent="0.25">
      <c r="A226" s="9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</row>
    <row r="227" spans="1:26" ht="15.75" customHeight="1" x14ac:dyDescent="0.25">
      <c r="A227" s="9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</row>
    <row r="228" spans="1:26" ht="15.75" customHeight="1" x14ac:dyDescent="0.25">
      <c r="A228" s="9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</row>
    <row r="229" spans="1:26" ht="15.75" customHeight="1" x14ac:dyDescent="0.25">
      <c r="A229" s="9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</row>
    <row r="230" spans="1:26" ht="15.75" customHeight="1" x14ac:dyDescent="0.25">
      <c r="A230" s="9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</row>
    <row r="231" spans="1:26" ht="15.75" customHeight="1" x14ac:dyDescent="0.25">
      <c r="A231" s="9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</row>
    <row r="232" spans="1:26" ht="15.75" customHeight="1" x14ac:dyDescent="0.25">
      <c r="A232" s="9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</row>
    <row r="233" spans="1:26" ht="15.75" customHeight="1" x14ac:dyDescent="0.25">
      <c r="A233" s="9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</row>
    <row r="234" spans="1:26" ht="15.75" customHeight="1" x14ac:dyDescent="0.25">
      <c r="A234" s="9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</row>
    <row r="235" spans="1:26" ht="15.75" customHeight="1" x14ac:dyDescent="0.25">
      <c r="A235" s="9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</row>
    <row r="236" spans="1:26" ht="15.75" customHeight="1" x14ac:dyDescent="0.25"/>
    <row r="237" spans="1:26" ht="15.75" customHeight="1" x14ac:dyDescent="0.25"/>
    <row r="238" spans="1:26" ht="15.75" customHeight="1" x14ac:dyDescent="0.25"/>
    <row r="239" spans="1:26" ht="15.75" customHeight="1" x14ac:dyDescent="0.25"/>
    <row r="240" spans="1:26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27">
    <mergeCell ref="C31:H31"/>
    <mergeCell ref="H34:J34"/>
    <mergeCell ref="H35:J35"/>
    <mergeCell ref="I21:J21"/>
    <mergeCell ref="I22:J22"/>
    <mergeCell ref="I23:J23"/>
    <mergeCell ref="I24:J24"/>
    <mergeCell ref="I25:J25"/>
    <mergeCell ref="I26:J26"/>
    <mergeCell ref="I27:J27"/>
    <mergeCell ref="I19:J19"/>
    <mergeCell ref="I20:J20"/>
    <mergeCell ref="C28:G28"/>
    <mergeCell ref="C29:G29"/>
    <mergeCell ref="C30:G30"/>
    <mergeCell ref="C11:D11"/>
    <mergeCell ref="E11:F11"/>
    <mergeCell ref="C15:J15"/>
    <mergeCell ref="C16:H16"/>
    <mergeCell ref="I16:J17"/>
    <mergeCell ref="C17:C18"/>
    <mergeCell ref="I18:J18"/>
    <mergeCell ref="C8:D9"/>
    <mergeCell ref="E8:G8"/>
    <mergeCell ref="K8:K9"/>
    <mergeCell ref="C10:D10"/>
    <mergeCell ref="E10:F10"/>
  </mergeCells>
  <pageMargins left="0.7" right="0.7" top="0.75" bottom="0.75" header="0" footer="0"/>
  <pageSetup orientation="landscape"/>
  <colBreaks count="1" manualBreakCount="1">
    <brk id="12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Y1000"/>
  <sheetViews>
    <sheetView topLeftCell="A4" workbookViewId="0">
      <selection activeCell="M18" sqref="M18"/>
    </sheetView>
  </sheetViews>
  <sheetFormatPr defaultColWidth="14.42578125" defaultRowHeight="15" customHeight="1" x14ac:dyDescent="0.25"/>
  <cols>
    <col min="1" max="1" width="11" customWidth="1"/>
    <col min="2" max="2" width="12" customWidth="1"/>
    <col min="3" max="3" width="13.28515625" customWidth="1"/>
    <col min="4" max="4" width="37.85546875" customWidth="1"/>
    <col min="5" max="5" width="17.7109375" customWidth="1"/>
    <col min="6" max="7" width="11.7109375" customWidth="1"/>
    <col min="8" max="8" width="13.5703125" customWidth="1"/>
    <col min="9" max="9" width="16.42578125" customWidth="1"/>
    <col min="10" max="13" width="11.7109375" customWidth="1"/>
    <col min="14" max="25" width="9.140625" customWidth="1"/>
  </cols>
  <sheetData>
    <row r="1" spans="1:25" ht="28.5" x14ac:dyDescent="0.45">
      <c r="A1" s="10"/>
      <c r="B1" s="10"/>
      <c r="C1" s="10"/>
      <c r="D1" s="10"/>
      <c r="E1" s="115" t="s">
        <v>252</v>
      </c>
      <c r="F1" s="115"/>
      <c r="G1" s="115"/>
      <c r="H1" s="3"/>
      <c r="I1" s="3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</row>
    <row r="2" spans="1:25" x14ac:dyDescent="0.25">
      <c r="A2" s="10"/>
      <c r="B2" s="10"/>
      <c r="C2" s="29" t="s">
        <v>1</v>
      </c>
      <c r="D2" s="240" t="str">
        <f>'Overall CO attainment'!D3</f>
        <v>DATA STRUCTURE USING C</v>
      </c>
      <c r="E2" s="241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</row>
    <row r="3" spans="1:25" x14ac:dyDescent="0.25">
      <c r="A3" s="10"/>
      <c r="B3" s="10"/>
      <c r="C3" s="29" t="s">
        <v>3</v>
      </c>
      <c r="D3" s="240">
        <f>'Overall CO attainment'!D4</f>
        <v>313301</v>
      </c>
      <c r="E3" s="241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</row>
    <row r="4" spans="1:25" x14ac:dyDescent="0.25">
      <c r="A4" s="10"/>
      <c r="B4" s="10"/>
      <c r="C4" s="29" t="s">
        <v>4</v>
      </c>
      <c r="D4" s="240" t="str">
        <f>'Overall CO attainment'!D5</f>
        <v>3rd SEM(CO3K SCHEME)</v>
      </c>
      <c r="E4" s="241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</row>
    <row r="5" spans="1:25" x14ac:dyDescent="0.25">
      <c r="A5" s="10"/>
      <c r="B5" s="10"/>
      <c r="C5" s="29" t="s">
        <v>162</v>
      </c>
      <c r="D5" s="240" t="str">
        <f>'Overall CO attainment'!D6</f>
        <v>2024-25</v>
      </c>
      <c r="E5" s="241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</row>
    <row r="6" spans="1:25" x14ac:dyDescent="0.25">
      <c r="A6" s="10"/>
      <c r="B6" s="10"/>
      <c r="C6" s="10"/>
      <c r="D6" s="68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</row>
    <row r="7" spans="1:25" ht="18.75" x14ac:dyDescent="0.25">
      <c r="A7" s="10"/>
      <c r="B7" s="8"/>
      <c r="C7" s="9"/>
      <c r="D7" s="10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10"/>
      <c r="Q7" s="10"/>
      <c r="R7" s="10"/>
      <c r="S7" s="10"/>
      <c r="T7" s="10"/>
      <c r="U7" s="10"/>
      <c r="V7" s="10"/>
      <c r="W7" s="10"/>
      <c r="X7" s="10"/>
      <c r="Y7" s="10"/>
    </row>
    <row r="8" spans="1:25" ht="15.75" x14ac:dyDescent="0.25">
      <c r="A8" s="10"/>
      <c r="B8" s="11" t="s">
        <v>253</v>
      </c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</row>
    <row r="9" spans="1:25" x14ac:dyDescent="0.25">
      <c r="A9" s="10"/>
      <c r="B9" s="210" t="s">
        <v>23</v>
      </c>
      <c r="C9" s="190" t="s">
        <v>24</v>
      </c>
      <c r="D9" s="191"/>
      <c r="E9" s="213" t="s">
        <v>25</v>
      </c>
      <c r="F9" s="197"/>
      <c r="G9" s="197"/>
      <c r="H9" s="197"/>
      <c r="I9" s="197"/>
      <c r="J9" s="197"/>
      <c r="K9" s="198"/>
      <c r="L9" s="213" t="s">
        <v>26</v>
      </c>
      <c r="M9" s="198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</row>
    <row r="10" spans="1:25" ht="15.75" customHeight="1" x14ac:dyDescent="0.25">
      <c r="A10" s="10"/>
      <c r="B10" s="211"/>
      <c r="C10" s="192"/>
      <c r="D10" s="193"/>
      <c r="E10" s="12" t="s">
        <v>27</v>
      </c>
      <c r="F10" s="12" t="s">
        <v>28</v>
      </c>
      <c r="G10" s="12" t="s">
        <v>29</v>
      </c>
      <c r="H10" s="12" t="s">
        <v>30</v>
      </c>
      <c r="I10" s="12" t="s">
        <v>31</v>
      </c>
      <c r="J10" s="12" t="s">
        <v>32</v>
      </c>
      <c r="K10" s="12" t="s">
        <v>33</v>
      </c>
      <c r="L10" s="12" t="s">
        <v>34</v>
      </c>
      <c r="M10" s="12" t="s">
        <v>35</v>
      </c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</row>
    <row r="11" spans="1:25" ht="119.25" customHeight="1" x14ac:dyDescent="0.25">
      <c r="A11" s="10"/>
      <c r="B11" s="212"/>
      <c r="C11" s="194"/>
      <c r="D11" s="195"/>
      <c r="E11" s="13" t="s">
        <v>36</v>
      </c>
      <c r="F11" s="13" t="s">
        <v>37</v>
      </c>
      <c r="G11" s="13" t="s">
        <v>38</v>
      </c>
      <c r="H11" s="13" t="s">
        <v>39</v>
      </c>
      <c r="I11" s="13" t="s">
        <v>40</v>
      </c>
      <c r="J11" s="13" t="s">
        <v>41</v>
      </c>
      <c r="K11" s="13" t="s">
        <v>42</v>
      </c>
      <c r="L11" s="186" t="s">
        <v>43</v>
      </c>
      <c r="M11" s="186" t="s">
        <v>44</v>
      </c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</row>
    <row r="12" spans="1:25" ht="40.5" customHeight="1" x14ac:dyDescent="0.25">
      <c r="A12" s="10"/>
      <c r="B12" s="14">
        <f>'PO Set Target attain level'!B19</f>
        <v>1</v>
      </c>
      <c r="C12" s="15" t="str">
        <f>'PO Set Target attain level'!C19</f>
        <v>CO1</v>
      </c>
      <c r="D12" s="16" t="str">
        <f>'PO Set Target attain level'!D19</f>
        <v>Perform basic operations on Arrays.</v>
      </c>
      <c r="E12" s="187">
        <f>'PO Set Target attain level'!E19</f>
        <v>2</v>
      </c>
      <c r="F12" s="187" t="str">
        <f>'PO Set Target attain level'!F19</f>
        <v>-</v>
      </c>
      <c r="G12" s="187" t="str">
        <f>'PO Set Target attain level'!G19</f>
        <v>-</v>
      </c>
      <c r="H12" s="187">
        <f>'PO Set Target attain level'!H19</f>
        <v>1</v>
      </c>
      <c r="I12" s="187" t="str">
        <f>'PO Set Target attain level'!I19</f>
        <v>-</v>
      </c>
      <c r="J12" s="187" t="str">
        <f>'PO Set Target attain level'!J19</f>
        <v>-</v>
      </c>
      <c r="K12" s="187">
        <f>'PO Set Target attain level'!K19</f>
        <v>1</v>
      </c>
      <c r="L12" s="187">
        <f>'PO Set Target attain level'!L19</f>
        <v>3</v>
      </c>
      <c r="M12" s="187">
        <f>'PO Set Target attain level'!M19</f>
        <v>1</v>
      </c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</row>
    <row r="13" spans="1:25" ht="40.5" customHeight="1" x14ac:dyDescent="0.25">
      <c r="A13" s="10"/>
      <c r="B13" s="14">
        <f>'PO Set Target attain level'!B20</f>
        <v>2</v>
      </c>
      <c r="C13" s="15" t="str">
        <f>'PO Set Target attain level'!C20</f>
        <v>CO2</v>
      </c>
      <c r="D13" s="20" t="str">
        <f>'PO Set Target attain level'!D20</f>
        <v>Apply different Searching and Sorting methods.</v>
      </c>
      <c r="E13" s="187">
        <f>'PO Set Target attain level'!E20</f>
        <v>2</v>
      </c>
      <c r="F13" s="187">
        <f>'PO Set Target attain level'!F20</f>
        <v>2</v>
      </c>
      <c r="G13" s="187">
        <f>'PO Set Target attain level'!G20</f>
        <v>2</v>
      </c>
      <c r="H13" s="187">
        <f>'PO Set Target attain level'!H20</f>
        <v>1</v>
      </c>
      <c r="I13" s="187" t="str">
        <f>'PO Set Target attain level'!I20</f>
        <v>-</v>
      </c>
      <c r="J13" s="187" t="str">
        <f>'PO Set Target attain level'!J20</f>
        <v>-</v>
      </c>
      <c r="K13" s="187">
        <f>'PO Set Target attain level'!K20</f>
        <v>1</v>
      </c>
      <c r="L13" s="187">
        <f>'PO Set Target attain level'!L20</f>
        <v>3</v>
      </c>
      <c r="M13" s="187">
        <f>'PO Set Target attain level'!M20</f>
        <v>2</v>
      </c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</row>
    <row r="14" spans="1:25" ht="40.5" customHeight="1" x14ac:dyDescent="0.25">
      <c r="A14" s="10"/>
      <c r="B14" s="14">
        <f>'PO Set Target attain level'!B21</f>
        <v>3</v>
      </c>
      <c r="C14" s="15" t="str">
        <f>'PO Set Target attain level'!C21</f>
        <v>CO3</v>
      </c>
      <c r="D14" s="20" t="str">
        <f>'PO Set Target attain level'!D21</f>
        <v>Implement basic operations on Linked List.</v>
      </c>
      <c r="E14" s="187">
        <f>'PO Set Target attain level'!E21</f>
        <v>2</v>
      </c>
      <c r="F14" s="187">
        <f>'PO Set Target attain level'!F21</f>
        <v>2</v>
      </c>
      <c r="G14" s="187">
        <f>'PO Set Target attain level'!G21</f>
        <v>2</v>
      </c>
      <c r="H14" s="187">
        <f>'PO Set Target attain level'!H21</f>
        <v>1</v>
      </c>
      <c r="I14" s="187">
        <f>'PO Set Target attain level'!I21</f>
        <v>1</v>
      </c>
      <c r="J14" s="187">
        <f>'PO Set Target attain level'!J21</f>
        <v>1</v>
      </c>
      <c r="K14" s="187">
        <f>'PO Set Target attain level'!K21</f>
        <v>1</v>
      </c>
      <c r="L14" s="187">
        <f>'PO Set Target attain level'!L21</f>
        <v>3</v>
      </c>
      <c r="M14" s="187">
        <f>'PO Set Target attain level'!M21</f>
        <v>1</v>
      </c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</row>
    <row r="15" spans="1:25" ht="40.5" customHeight="1" x14ac:dyDescent="0.25">
      <c r="A15" s="10"/>
      <c r="B15" s="14">
        <f>'PO Set Target attain level'!B22</f>
        <v>4</v>
      </c>
      <c r="C15" s="15" t="str">
        <f>'PO Set Target attain level'!C22</f>
        <v>CO4</v>
      </c>
      <c r="D15" s="20" t="str">
        <f>'PO Set Target attain level'!D22</f>
        <v xml:space="preserve"> Perform operations on Stack using Array and Linked List Implementations.</v>
      </c>
      <c r="E15" s="187">
        <f>'PO Set Target attain level'!E22</f>
        <v>2</v>
      </c>
      <c r="F15" s="187">
        <f>'PO Set Target attain level'!F22</f>
        <v>2</v>
      </c>
      <c r="G15" s="187">
        <f>'PO Set Target attain level'!G22</f>
        <v>2</v>
      </c>
      <c r="H15" s="187">
        <f>'PO Set Target attain level'!H22</f>
        <v>1</v>
      </c>
      <c r="I15" s="187" t="str">
        <f>'PO Set Target attain level'!I22</f>
        <v>-</v>
      </c>
      <c r="J15" s="187">
        <f>'PO Set Target attain level'!J22</f>
        <v>1</v>
      </c>
      <c r="K15" s="187">
        <f>'PO Set Target attain level'!K22</f>
        <v>1</v>
      </c>
      <c r="L15" s="187">
        <f>'PO Set Target attain level'!L22</f>
        <v>3</v>
      </c>
      <c r="M15" s="187">
        <f>'PO Set Target attain level'!M22</f>
        <v>2</v>
      </c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</row>
    <row r="16" spans="1:25" ht="40.5" customHeight="1" x14ac:dyDescent="0.25">
      <c r="A16" s="10"/>
      <c r="B16" s="14">
        <f>'PO Set Target attain level'!B23</f>
        <v>5</v>
      </c>
      <c r="C16" s="15" t="str">
        <f>'PO Set Target attain level'!C23</f>
        <v>CO5</v>
      </c>
      <c r="D16" s="20" t="str">
        <f>'PO Set Target attain level'!D23</f>
        <v>Perform operations on Queue using Array and Linked List Implementations.</v>
      </c>
      <c r="E16" s="187">
        <v>2</v>
      </c>
      <c r="F16" s="187">
        <f>'PO Set Target attain level'!F23</f>
        <v>2</v>
      </c>
      <c r="G16" s="187">
        <f>'PO Set Target attain level'!G23</f>
        <v>2</v>
      </c>
      <c r="H16" s="187">
        <f>'PO Set Target attain level'!H23</f>
        <v>1</v>
      </c>
      <c r="I16" s="187" t="str">
        <f>'PO Set Target attain level'!I23</f>
        <v>-</v>
      </c>
      <c r="J16" s="187">
        <f>'PO Set Target attain level'!J23</f>
        <v>1</v>
      </c>
      <c r="K16" s="187">
        <f>'PO Set Target attain level'!K23</f>
        <v>1</v>
      </c>
      <c r="L16" s="187">
        <f>'PO Set Target attain level'!L23</f>
        <v>3</v>
      </c>
      <c r="M16" s="187">
        <f>'PO Set Target attain level'!M23</f>
        <v>2</v>
      </c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</row>
    <row r="17" spans="1:25" ht="33.75" customHeight="1" x14ac:dyDescent="0.25">
      <c r="A17" s="10"/>
      <c r="B17" s="196" t="s">
        <v>254</v>
      </c>
      <c r="C17" s="197"/>
      <c r="D17" s="198"/>
      <c r="E17" s="15">
        <f t="shared" ref="E17:M17" si="0">IFERROR(AVERAGE(E12:E16),0)</f>
        <v>2</v>
      </c>
      <c r="F17" s="15">
        <f t="shared" si="0"/>
        <v>2</v>
      </c>
      <c r="G17" s="15">
        <f t="shared" si="0"/>
        <v>2</v>
      </c>
      <c r="H17" s="15">
        <f t="shared" si="0"/>
        <v>1</v>
      </c>
      <c r="I17" s="15">
        <f t="shared" si="0"/>
        <v>1</v>
      </c>
      <c r="J17" s="15">
        <f t="shared" si="0"/>
        <v>1</v>
      </c>
      <c r="K17" s="15">
        <f t="shared" si="0"/>
        <v>1</v>
      </c>
      <c r="L17" s="15">
        <f t="shared" si="0"/>
        <v>3</v>
      </c>
      <c r="M17" s="15">
        <f t="shared" si="0"/>
        <v>1.6</v>
      </c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</row>
    <row r="18" spans="1:25" ht="28.5" customHeight="1" x14ac:dyDescent="0.25">
      <c r="A18" s="10"/>
      <c r="B18" s="199" t="s">
        <v>255</v>
      </c>
      <c r="C18" s="197"/>
      <c r="D18" s="198"/>
      <c r="E18" s="188">
        <f>E17*'Overall CO attainment'!I31/3</f>
        <v>1.9622857142857144</v>
      </c>
      <c r="F18" s="188">
        <f>F17*'Overall CO attainment'!I31/3</f>
        <v>1.9622857142857144</v>
      </c>
      <c r="G18" s="188">
        <f>G17*'Overall CO attainment'!I31/3</f>
        <v>1.9622857142857144</v>
      </c>
      <c r="H18" s="188">
        <f>H17*'Overall CO attainment'!I31/3</f>
        <v>0.98114285714285721</v>
      </c>
      <c r="I18" s="188">
        <f>I17*'Overall CO attainment'!I31/3</f>
        <v>0.98114285714285721</v>
      </c>
      <c r="J18" s="188">
        <f>J17*'Overall CO attainment'!I31/3</f>
        <v>0.98114285714285721</v>
      </c>
      <c r="K18" s="188">
        <f>K17*'Overall CO attainment'!I31/3</f>
        <v>0.98114285714285721</v>
      </c>
      <c r="L18" s="188">
        <f>L17*'Overall CO attainment'!I31/3</f>
        <v>2.9434285714285715</v>
      </c>
      <c r="M18" s="188">
        <f>M17*'Overall CO attainment'!I31/3</f>
        <v>1.5698285714285716</v>
      </c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</row>
    <row r="19" spans="1:25" ht="15.75" hidden="1" customHeight="1" x14ac:dyDescent="0.25">
      <c r="A19" s="10"/>
      <c r="B19" s="290" t="s">
        <v>213</v>
      </c>
      <c r="C19" s="197"/>
      <c r="D19" s="198"/>
      <c r="E19" s="121">
        <f t="shared" ref="E19:M19" si="1">ROUNDUP((E18/3)*100,2)</f>
        <v>65.410000000000011</v>
      </c>
      <c r="F19" s="121">
        <f t="shared" si="1"/>
        <v>65.410000000000011</v>
      </c>
      <c r="G19" s="121">
        <f t="shared" si="1"/>
        <v>65.410000000000011</v>
      </c>
      <c r="H19" s="121">
        <f t="shared" si="1"/>
        <v>32.71</v>
      </c>
      <c r="I19" s="121">
        <f t="shared" si="1"/>
        <v>32.71</v>
      </c>
      <c r="J19" s="121">
        <f t="shared" si="1"/>
        <v>32.71</v>
      </c>
      <c r="K19" s="121">
        <f t="shared" si="1"/>
        <v>32.71</v>
      </c>
      <c r="L19" s="121">
        <f t="shared" si="1"/>
        <v>98.12</v>
      </c>
      <c r="M19" s="121">
        <f t="shared" si="1"/>
        <v>52.33</v>
      </c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</row>
    <row r="20" spans="1:25" ht="15.75" customHeight="1" x14ac:dyDescent="0.25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</row>
    <row r="21" spans="1:25" ht="15.75" customHeight="1" x14ac:dyDescent="0.25">
      <c r="A21" s="10"/>
      <c r="B21" s="10"/>
      <c r="C21" s="10"/>
      <c r="D21" s="10"/>
      <c r="E21" s="189"/>
      <c r="F21" s="189"/>
      <c r="G21" s="189"/>
      <c r="H21" s="189"/>
      <c r="I21" s="189"/>
      <c r="J21" s="189"/>
      <c r="K21" s="189"/>
      <c r="L21" s="189"/>
      <c r="M21" s="189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</row>
    <row r="22" spans="1:25" ht="15.75" customHeight="1" x14ac:dyDescent="0.25">
      <c r="A22" s="10"/>
      <c r="B22" s="10"/>
      <c r="C22" s="10"/>
      <c r="D22" s="10"/>
      <c r="E22" s="10"/>
      <c r="F22" s="10"/>
      <c r="G22" s="10"/>
      <c r="H22" s="10"/>
      <c r="I22" s="10"/>
      <c r="J22" s="205" t="s">
        <v>48</v>
      </c>
      <c r="K22" s="203"/>
      <c r="L22" s="203"/>
      <c r="M22" s="203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</row>
    <row r="23" spans="1:25" ht="15.75" customHeight="1" x14ac:dyDescent="0.25">
      <c r="A23" s="10"/>
      <c r="B23" s="10"/>
      <c r="C23" s="10"/>
      <c r="D23" s="10"/>
      <c r="E23" s="10"/>
      <c r="F23" s="10"/>
      <c r="G23" s="10"/>
      <c r="H23" s="10"/>
      <c r="I23" s="10"/>
      <c r="J23" s="206" t="s">
        <v>49</v>
      </c>
      <c r="K23" s="207"/>
      <c r="L23" s="207"/>
      <c r="M23" s="208"/>
      <c r="N23" s="27"/>
      <c r="O23" s="27"/>
      <c r="P23" s="10"/>
      <c r="Q23" s="10"/>
      <c r="R23" s="10"/>
      <c r="S23" s="10"/>
      <c r="T23" s="10"/>
      <c r="U23" s="10"/>
      <c r="V23" s="10"/>
      <c r="W23" s="10"/>
      <c r="X23" s="10"/>
      <c r="Y23" s="10"/>
    </row>
    <row r="24" spans="1:25" ht="15.75" customHeight="1" x14ac:dyDescent="0.25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</row>
    <row r="25" spans="1:25" ht="15.75" customHeight="1" x14ac:dyDescent="0.25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</row>
    <row r="26" spans="1:25" ht="15.75" customHeight="1" x14ac:dyDescent="0.25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</row>
    <row r="27" spans="1:25" ht="15.75" customHeight="1" x14ac:dyDescent="0.25">
      <c r="A27" s="10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</row>
    <row r="28" spans="1:25" ht="15.75" customHeight="1" x14ac:dyDescent="0.25">
      <c r="A28" s="10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</row>
    <row r="29" spans="1:25" ht="15.75" customHeight="1" x14ac:dyDescent="0.25">
      <c r="A29" s="10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</row>
    <row r="30" spans="1:25" ht="15.75" customHeight="1" x14ac:dyDescent="0.25">
      <c r="A30" s="10"/>
      <c r="B30" s="10"/>
      <c r="C30" s="10"/>
      <c r="D30" s="10"/>
      <c r="E30" s="10"/>
      <c r="F30" s="10"/>
      <c r="G30" s="10"/>
      <c r="H30" s="9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</row>
    <row r="31" spans="1:25" ht="15.75" customHeight="1" x14ac:dyDescent="0.25">
      <c r="A31" s="10"/>
      <c r="B31" s="10"/>
      <c r="C31" s="10"/>
      <c r="D31" s="10"/>
      <c r="E31" s="10"/>
      <c r="F31" s="10"/>
      <c r="G31" s="10"/>
      <c r="H31" s="9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</row>
    <row r="32" spans="1:25" ht="15.75" customHeight="1" x14ac:dyDescent="0.25">
      <c r="A32" s="10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</row>
    <row r="33" spans="1:25" ht="15.75" customHeight="1" x14ac:dyDescent="0.25">
      <c r="A33" s="10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</row>
    <row r="34" spans="1:25" ht="15.75" customHeight="1" x14ac:dyDescent="0.25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</row>
    <row r="35" spans="1:25" ht="15.75" customHeight="1" x14ac:dyDescent="0.25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</row>
    <row r="36" spans="1:25" ht="15.75" customHeight="1" x14ac:dyDescent="0.25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</row>
    <row r="37" spans="1:25" ht="15.75" customHeight="1" x14ac:dyDescent="0.25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</row>
    <row r="38" spans="1:25" ht="15.75" customHeight="1" x14ac:dyDescent="0.25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</row>
    <row r="39" spans="1:25" ht="15.75" customHeight="1" x14ac:dyDescent="0.25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</row>
    <row r="40" spans="1:25" ht="15.75" customHeight="1" x14ac:dyDescent="0.25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</row>
    <row r="41" spans="1:25" ht="15.75" customHeight="1" x14ac:dyDescent="0.25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</row>
    <row r="42" spans="1:25" ht="15.75" customHeight="1" x14ac:dyDescent="0.25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</row>
    <row r="43" spans="1:25" ht="15.75" customHeight="1" x14ac:dyDescent="0.25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</row>
    <row r="44" spans="1:25" ht="15.75" customHeight="1" x14ac:dyDescent="0.25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</row>
    <row r="45" spans="1:25" ht="15.75" customHeight="1" x14ac:dyDescent="0.25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</row>
    <row r="46" spans="1:25" ht="15.75" customHeight="1" x14ac:dyDescent="0.25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</row>
    <row r="47" spans="1:25" ht="15.75" customHeight="1" x14ac:dyDescent="0.25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</row>
    <row r="48" spans="1:25" ht="15.75" customHeight="1" x14ac:dyDescent="0.25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</row>
    <row r="49" spans="1:25" ht="15.75" customHeight="1" x14ac:dyDescent="0.25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</row>
    <row r="50" spans="1:25" ht="15.75" customHeight="1" x14ac:dyDescent="0.25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</row>
    <row r="51" spans="1:25" ht="15.75" customHeight="1" x14ac:dyDescent="0.25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</row>
    <row r="52" spans="1:25" ht="15.75" customHeight="1" x14ac:dyDescent="0.25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</row>
    <row r="53" spans="1:25" ht="15.75" customHeight="1" x14ac:dyDescent="0.25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</row>
    <row r="54" spans="1:25" ht="15.75" customHeight="1" x14ac:dyDescent="0.25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</row>
    <row r="55" spans="1:25" ht="15.75" customHeight="1" x14ac:dyDescent="0.25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</row>
    <row r="56" spans="1:25" ht="15.75" customHeight="1" x14ac:dyDescent="0.25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</row>
    <row r="57" spans="1:25" ht="15.75" customHeight="1" x14ac:dyDescent="0.25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</row>
    <row r="58" spans="1:25" ht="15.75" customHeight="1" x14ac:dyDescent="0.25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</row>
    <row r="59" spans="1:25" ht="15.75" customHeight="1" x14ac:dyDescent="0.25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</row>
    <row r="60" spans="1:25" ht="15.75" customHeight="1" x14ac:dyDescent="0.25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</row>
    <row r="61" spans="1:25" ht="15.75" customHeight="1" x14ac:dyDescent="0.25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</row>
    <row r="62" spans="1:25" ht="15.75" customHeight="1" x14ac:dyDescent="0.25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</row>
    <row r="63" spans="1:25" ht="15.75" customHeight="1" x14ac:dyDescent="0.25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</row>
    <row r="64" spans="1:25" ht="15.75" customHeight="1" x14ac:dyDescent="0.25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</row>
    <row r="65" spans="1:25" ht="15.75" customHeight="1" x14ac:dyDescent="0.25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</row>
    <row r="66" spans="1:25" ht="15.75" customHeight="1" x14ac:dyDescent="0.25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</row>
    <row r="67" spans="1:25" ht="15.75" customHeight="1" x14ac:dyDescent="0.25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</row>
    <row r="68" spans="1:25" ht="15.75" customHeight="1" x14ac:dyDescent="0.25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</row>
    <row r="69" spans="1:25" ht="15.75" customHeight="1" x14ac:dyDescent="0.25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</row>
    <row r="70" spans="1:25" ht="15.75" customHeight="1" x14ac:dyDescent="0.25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</row>
    <row r="71" spans="1:25" ht="15.75" customHeight="1" x14ac:dyDescent="0.25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</row>
    <row r="72" spans="1:25" ht="15.75" customHeight="1" x14ac:dyDescent="0.25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</row>
    <row r="73" spans="1:25" ht="15.75" customHeight="1" x14ac:dyDescent="0.25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</row>
    <row r="74" spans="1:25" ht="15.75" customHeight="1" x14ac:dyDescent="0.25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</row>
    <row r="75" spans="1:25" ht="15.75" customHeight="1" x14ac:dyDescent="0.25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</row>
    <row r="76" spans="1:25" ht="15.75" customHeight="1" x14ac:dyDescent="0.25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</row>
    <row r="77" spans="1:25" ht="15.75" customHeight="1" x14ac:dyDescent="0.25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</row>
    <row r="78" spans="1:25" ht="15.75" customHeight="1" x14ac:dyDescent="0.25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</row>
    <row r="79" spans="1:25" ht="15.75" customHeight="1" x14ac:dyDescent="0.25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</row>
    <row r="80" spans="1:25" ht="15.75" customHeight="1" x14ac:dyDescent="0.25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</row>
    <row r="81" spans="1:25" ht="15.75" customHeight="1" x14ac:dyDescent="0.25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</row>
    <row r="82" spans="1:25" ht="15.75" customHeight="1" x14ac:dyDescent="0.25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</row>
    <row r="83" spans="1:25" ht="15.75" customHeight="1" x14ac:dyDescent="0.25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</row>
    <row r="84" spans="1:25" ht="15.75" customHeight="1" x14ac:dyDescent="0.25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</row>
    <row r="85" spans="1:25" ht="15.75" customHeight="1" x14ac:dyDescent="0.25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</row>
    <row r="86" spans="1:25" ht="15.75" customHeight="1" x14ac:dyDescent="0.25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</row>
    <row r="87" spans="1:25" ht="15.75" customHeight="1" x14ac:dyDescent="0.25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</row>
    <row r="88" spans="1:25" ht="15.75" customHeight="1" x14ac:dyDescent="0.25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</row>
    <row r="89" spans="1:25" ht="15.75" customHeight="1" x14ac:dyDescent="0.25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</row>
    <row r="90" spans="1:25" ht="15.75" customHeight="1" x14ac:dyDescent="0.25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</row>
    <row r="91" spans="1:25" ht="15.75" customHeight="1" x14ac:dyDescent="0.25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</row>
    <row r="92" spans="1:25" ht="15.75" customHeight="1" x14ac:dyDescent="0.25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</row>
    <row r="93" spans="1:25" ht="15.75" customHeight="1" x14ac:dyDescent="0.25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</row>
    <row r="94" spans="1:25" ht="15.75" customHeight="1" x14ac:dyDescent="0.25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</row>
    <row r="95" spans="1:25" ht="15.75" customHeight="1" x14ac:dyDescent="0.25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</row>
    <row r="96" spans="1:25" ht="15.75" customHeight="1" x14ac:dyDescent="0.25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</row>
    <row r="97" spans="1:25" ht="15.75" customHeight="1" x14ac:dyDescent="0.25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</row>
    <row r="98" spans="1:25" ht="15.75" customHeight="1" x14ac:dyDescent="0.25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</row>
    <row r="99" spans="1:25" ht="15.75" customHeight="1" x14ac:dyDescent="0.25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</row>
    <row r="100" spans="1:25" ht="15.75" customHeight="1" x14ac:dyDescent="0.25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</row>
    <row r="101" spans="1:25" ht="15.75" customHeight="1" x14ac:dyDescent="0.25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</row>
    <row r="102" spans="1:25" ht="15.75" customHeight="1" x14ac:dyDescent="0.25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</row>
    <row r="103" spans="1:25" ht="15.75" customHeight="1" x14ac:dyDescent="0.25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</row>
    <row r="104" spans="1:25" ht="15.75" customHeight="1" x14ac:dyDescent="0.25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</row>
    <row r="105" spans="1:25" ht="15.75" customHeight="1" x14ac:dyDescent="0.25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</row>
    <row r="106" spans="1:25" ht="15.75" customHeight="1" x14ac:dyDescent="0.25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</row>
    <row r="107" spans="1:25" ht="15.75" customHeight="1" x14ac:dyDescent="0.25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</row>
    <row r="108" spans="1:25" ht="15.75" customHeight="1" x14ac:dyDescent="0.25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</row>
    <row r="109" spans="1:25" ht="15.75" customHeight="1" x14ac:dyDescent="0.25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</row>
    <row r="110" spans="1:25" ht="15.75" customHeight="1" x14ac:dyDescent="0.25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</row>
    <row r="111" spans="1:25" ht="15.75" customHeight="1" x14ac:dyDescent="0.25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</row>
    <row r="112" spans="1:25" ht="15.75" customHeight="1" x14ac:dyDescent="0.25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</row>
    <row r="113" spans="1:25" ht="15.75" customHeight="1" x14ac:dyDescent="0.25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</row>
    <row r="114" spans="1:25" ht="15.75" customHeight="1" x14ac:dyDescent="0.25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</row>
    <row r="115" spans="1:25" ht="15.75" customHeight="1" x14ac:dyDescent="0.25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</row>
    <row r="116" spans="1:25" ht="15.75" customHeight="1" x14ac:dyDescent="0.25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</row>
    <row r="117" spans="1:25" ht="15.75" customHeight="1" x14ac:dyDescent="0.25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</row>
    <row r="118" spans="1:25" ht="15.75" customHeight="1" x14ac:dyDescent="0.25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</row>
    <row r="119" spans="1:25" ht="15.75" customHeight="1" x14ac:dyDescent="0.25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</row>
    <row r="120" spans="1:25" ht="15.75" customHeight="1" x14ac:dyDescent="0.25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</row>
    <row r="121" spans="1:25" ht="15.75" customHeight="1" x14ac:dyDescent="0.25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</row>
    <row r="122" spans="1:25" ht="15.75" customHeight="1" x14ac:dyDescent="0.25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</row>
    <row r="123" spans="1:25" ht="15.75" customHeight="1" x14ac:dyDescent="0.25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</row>
    <row r="124" spans="1:25" ht="15.75" customHeight="1" x14ac:dyDescent="0.25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</row>
    <row r="125" spans="1:25" ht="15.75" customHeight="1" x14ac:dyDescent="0.25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</row>
    <row r="126" spans="1:25" ht="15.75" customHeight="1" x14ac:dyDescent="0.25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</row>
    <row r="127" spans="1:25" ht="15.75" customHeight="1" x14ac:dyDescent="0.25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</row>
    <row r="128" spans="1:25" ht="15.75" customHeight="1" x14ac:dyDescent="0.25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</row>
    <row r="129" spans="1:25" ht="15.75" customHeight="1" x14ac:dyDescent="0.25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</row>
    <row r="130" spans="1:25" ht="15.75" customHeight="1" x14ac:dyDescent="0.25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</row>
    <row r="131" spans="1:25" ht="15.75" customHeight="1" x14ac:dyDescent="0.25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</row>
    <row r="132" spans="1:25" ht="15.75" customHeight="1" x14ac:dyDescent="0.25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</row>
    <row r="133" spans="1:25" ht="15.75" customHeight="1" x14ac:dyDescent="0.25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</row>
    <row r="134" spans="1:25" ht="15.75" customHeight="1" x14ac:dyDescent="0.25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</row>
    <row r="135" spans="1:25" ht="15.75" customHeight="1" x14ac:dyDescent="0.25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</row>
    <row r="136" spans="1:25" ht="15.75" customHeight="1" x14ac:dyDescent="0.25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</row>
    <row r="137" spans="1:25" ht="15.75" customHeight="1" x14ac:dyDescent="0.25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</row>
    <row r="138" spans="1:25" ht="15.75" customHeight="1" x14ac:dyDescent="0.25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</row>
    <row r="139" spans="1:25" ht="15.75" customHeight="1" x14ac:dyDescent="0.25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</row>
    <row r="140" spans="1:25" ht="15.75" customHeight="1" x14ac:dyDescent="0.25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</row>
    <row r="141" spans="1:25" ht="15.75" customHeight="1" x14ac:dyDescent="0.25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</row>
    <row r="142" spans="1:25" ht="15.75" customHeight="1" x14ac:dyDescent="0.25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</row>
    <row r="143" spans="1:25" ht="15.75" customHeight="1" x14ac:dyDescent="0.25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</row>
    <row r="144" spans="1:25" ht="15.75" customHeight="1" x14ac:dyDescent="0.25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</row>
    <row r="145" spans="1:25" ht="15.75" customHeight="1" x14ac:dyDescent="0.25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</row>
    <row r="146" spans="1:25" ht="15.75" customHeight="1" x14ac:dyDescent="0.25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</row>
    <row r="147" spans="1:25" ht="15.75" customHeight="1" x14ac:dyDescent="0.25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</row>
    <row r="148" spans="1:25" ht="15.75" customHeight="1" x14ac:dyDescent="0.25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</row>
    <row r="149" spans="1:25" ht="15.75" customHeight="1" x14ac:dyDescent="0.25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</row>
    <row r="150" spans="1:25" ht="15.75" customHeight="1" x14ac:dyDescent="0.25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</row>
    <row r="151" spans="1:25" ht="15.75" customHeight="1" x14ac:dyDescent="0.25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</row>
    <row r="152" spans="1:25" ht="15.75" customHeight="1" x14ac:dyDescent="0.25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</row>
    <row r="153" spans="1:25" ht="15.75" customHeight="1" x14ac:dyDescent="0.25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</row>
    <row r="154" spans="1:25" ht="15.75" customHeight="1" x14ac:dyDescent="0.25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</row>
    <row r="155" spans="1:25" ht="15.75" customHeight="1" x14ac:dyDescent="0.25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</row>
    <row r="156" spans="1:25" ht="15.75" customHeight="1" x14ac:dyDescent="0.25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</row>
    <row r="157" spans="1:25" ht="15.75" customHeight="1" x14ac:dyDescent="0.25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</row>
    <row r="158" spans="1:25" ht="15.75" customHeight="1" x14ac:dyDescent="0.25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</row>
    <row r="159" spans="1:25" ht="15.75" customHeight="1" x14ac:dyDescent="0.25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</row>
    <row r="160" spans="1:25" ht="15.75" customHeight="1" x14ac:dyDescent="0.25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</row>
    <row r="161" spans="1:25" ht="15.75" customHeight="1" x14ac:dyDescent="0.25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</row>
    <row r="162" spans="1:25" ht="15.75" customHeight="1" x14ac:dyDescent="0.25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</row>
    <row r="163" spans="1:25" ht="15.75" customHeight="1" x14ac:dyDescent="0.25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</row>
    <row r="164" spans="1:25" ht="15.75" customHeight="1" x14ac:dyDescent="0.25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</row>
    <row r="165" spans="1:25" ht="15.75" customHeight="1" x14ac:dyDescent="0.25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</row>
    <row r="166" spans="1:25" ht="15.75" customHeight="1" x14ac:dyDescent="0.25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</row>
    <row r="167" spans="1:25" ht="15.75" customHeight="1" x14ac:dyDescent="0.25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</row>
    <row r="168" spans="1:25" ht="15.75" customHeight="1" x14ac:dyDescent="0.25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</row>
    <row r="169" spans="1:25" ht="15.75" customHeight="1" x14ac:dyDescent="0.25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</row>
    <row r="170" spans="1:25" ht="15.75" customHeight="1" x14ac:dyDescent="0.25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</row>
    <row r="171" spans="1:25" ht="15.75" customHeight="1" x14ac:dyDescent="0.25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</row>
    <row r="172" spans="1:25" ht="15.75" customHeight="1" x14ac:dyDescent="0.25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</row>
    <row r="173" spans="1:25" ht="15.75" customHeight="1" x14ac:dyDescent="0.25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</row>
    <row r="174" spans="1:25" ht="15.75" customHeight="1" x14ac:dyDescent="0.25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</row>
    <row r="175" spans="1:25" ht="15.75" customHeight="1" x14ac:dyDescent="0.25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</row>
    <row r="176" spans="1:25" ht="15.75" customHeight="1" x14ac:dyDescent="0.25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</row>
    <row r="177" spans="1:25" ht="15.75" customHeight="1" x14ac:dyDescent="0.25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</row>
    <row r="178" spans="1:25" ht="15.75" customHeight="1" x14ac:dyDescent="0.25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</row>
    <row r="179" spans="1:25" ht="15.75" customHeight="1" x14ac:dyDescent="0.25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</row>
    <row r="180" spans="1:25" ht="15.75" customHeight="1" x14ac:dyDescent="0.25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</row>
    <row r="181" spans="1:25" ht="15.75" customHeight="1" x14ac:dyDescent="0.25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</row>
    <row r="182" spans="1:25" ht="15.75" customHeight="1" x14ac:dyDescent="0.25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</row>
    <row r="183" spans="1:25" ht="15.75" customHeight="1" x14ac:dyDescent="0.25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</row>
    <row r="184" spans="1:25" ht="15.75" customHeight="1" x14ac:dyDescent="0.25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</row>
    <row r="185" spans="1:25" ht="15.75" customHeight="1" x14ac:dyDescent="0.25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</row>
    <row r="186" spans="1:25" ht="15.75" customHeight="1" x14ac:dyDescent="0.25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</row>
    <row r="187" spans="1:25" ht="15.75" customHeight="1" x14ac:dyDescent="0.25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</row>
    <row r="188" spans="1:25" ht="15.75" customHeight="1" x14ac:dyDescent="0.25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</row>
    <row r="189" spans="1:25" ht="15.75" customHeight="1" x14ac:dyDescent="0.25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</row>
    <row r="190" spans="1:25" ht="15.75" customHeight="1" x14ac:dyDescent="0.25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</row>
    <row r="191" spans="1:25" ht="15.75" customHeight="1" x14ac:dyDescent="0.25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</row>
    <row r="192" spans="1:25" ht="15.75" customHeight="1" x14ac:dyDescent="0.25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</row>
    <row r="193" spans="1:25" ht="15.75" customHeight="1" x14ac:dyDescent="0.25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</row>
    <row r="194" spans="1:25" ht="15.75" customHeight="1" x14ac:dyDescent="0.25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</row>
    <row r="195" spans="1:25" ht="15.75" customHeight="1" x14ac:dyDescent="0.25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</row>
    <row r="196" spans="1:25" ht="15.75" customHeight="1" x14ac:dyDescent="0.25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</row>
    <row r="197" spans="1:25" ht="15.75" customHeight="1" x14ac:dyDescent="0.25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</row>
    <row r="198" spans="1:25" ht="15.75" customHeight="1" x14ac:dyDescent="0.25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</row>
    <row r="199" spans="1:25" ht="15.75" customHeight="1" x14ac:dyDescent="0.25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</row>
    <row r="200" spans="1:25" ht="15.75" customHeight="1" x14ac:dyDescent="0.25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</row>
    <row r="201" spans="1:25" ht="15.75" customHeight="1" x14ac:dyDescent="0.25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</row>
    <row r="202" spans="1:25" ht="15.75" customHeight="1" x14ac:dyDescent="0.25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</row>
    <row r="203" spans="1:25" ht="15.75" customHeight="1" x14ac:dyDescent="0.25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</row>
    <row r="204" spans="1:25" ht="15.75" customHeight="1" x14ac:dyDescent="0.25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</row>
    <row r="205" spans="1:25" ht="15.75" customHeight="1" x14ac:dyDescent="0.25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</row>
    <row r="206" spans="1:25" ht="15.75" customHeight="1" x14ac:dyDescent="0.25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</row>
    <row r="207" spans="1:25" ht="15.75" customHeight="1" x14ac:dyDescent="0.25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</row>
    <row r="208" spans="1:25" ht="15.75" customHeight="1" x14ac:dyDescent="0.25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</row>
    <row r="209" spans="1:25" ht="15.75" customHeight="1" x14ac:dyDescent="0.25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</row>
    <row r="210" spans="1:25" ht="15.75" customHeight="1" x14ac:dyDescent="0.25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</row>
    <row r="211" spans="1:25" ht="15.75" customHeight="1" x14ac:dyDescent="0.25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</row>
    <row r="212" spans="1:25" ht="15.75" customHeight="1" x14ac:dyDescent="0.25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</row>
    <row r="213" spans="1:25" ht="15.75" customHeight="1" x14ac:dyDescent="0.25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</row>
    <row r="214" spans="1:25" ht="15.75" customHeight="1" x14ac:dyDescent="0.25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</row>
    <row r="215" spans="1:25" ht="15.75" customHeight="1" x14ac:dyDescent="0.25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</row>
    <row r="216" spans="1:25" ht="15.75" customHeight="1" x14ac:dyDescent="0.25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</row>
    <row r="217" spans="1:25" ht="15.75" customHeight="1" x14ac:dyDescent="0.25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</row>
    <row r="218" spans="1:25" ht="15.75" customHeight="1" x14ac:dyDescent="0.25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</row>
    <row r="219" spans="1:25" ht="15.75" customHeight="1" x14ac:dyDescent="0.25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</row>
    <row r="220" spans="1:25" ht="15.75" customHeight="1" x14ac:dyDescent="0.25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</row>
    <row r="221" spans="1:25" ht="15.75" customHeight="1" x14ac:dyDescent="0.25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</row>
    <row r="222" spans="1:25" ht="15.75" customHeight="1" x14ac:dyDescent="0.25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</row>
    <row r="223" spans="1:25" ht="15.75" customHeight="1" x14ac:dyDescent="0.25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</row>
    <row r="224" spans="1:25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3">
    <mergeCell ref="J23:M23"/>
    <mergeCell ref="D2:E2"/>
    <mergeCell ref="D3:E3"/>
    <mergeCell ref="D4:E4"/>
    <mergeCell ref="D5:E5"/>
    <mergeCell ref="E9:K9"/>
    <mergeCell ref="L9:M9"/>
    <mergeCell ref="C9:D11"/>
    <mergeCell ref="B17:D17"/>
    <mergeCell ref="B18:D18"/>
    <mergeCell ref="B19:D19"/>
    <mergeCell ref="J22:M22"/>
    <mergeCell ref="B9:B11"/>
  </mergeCells>
  <pageMargins left="0.7" right="0.7" top="0.75" bottom="0.75" header="0" footer="0"/>
  <pageSetup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1"/>
  <sheetViews>
    <sheetView tabSelected="1" view="pageBreakPreview" zoomScale="90" zoomScaleSheetLayoutView="90" workbookViewId="0">
      <selection activeCell="F27" sqref="F27"/>
    </sheetView>
  </sheetViews>
  <sheetFormatPr defaultRowHeight="15" x14ac:dyDescent="0.25"/>
  <cols>
    <col min="1" max="1" width="12.140625" customWidth="1"/>
    <col min="20" max="20" width="8.5703125" customWidth="1"/>
    <col min="21" max="21" width="6.85546875" hidden="1" customWidth="1"/>
    <col min="22" max="22" width="9.140625" hidden="1" customWidth="1"/>
  </cols>
  <sheetData>
    <row r="1" spans="1:22" ht="17.25" x14ac:dyDescent="0.25">
      <c r="A1" s="326" t="s">
        <v>256</v>
      </c>
      <c r="B1" s="327"/>
      <c r="C1" s="327"/>
      <c r="D1" s="327"/>
      <c r="E1" s="327"/>
      <c r="F1" s="327"/>
      <c r="G1" s="327"/>
      <c r="H1" s="327"/>
      <c r="I1" s="327"/>
      <c r="J1" s="327"/>
      <c r="K1" s="327"/>
      <c r="L1" s="327"/>
      <c r="M1" s="327"/>
      <c r="N1" s="327"/>
      <c r="O1" s="327"/>
      <c r="P1" s="327"/>
      <c r="Q1" s="327"/>
      <c r="R1" s="327"/>
      <c r="S1" s="327"/>
      <c r="T1" s="327"/>
      <c r="U1" s="327"/>
      <c r="V1" s="327"/>
    </row>
    <row r="2" spans="1:22" x14ac:dyDescent="0.25">
      <c r="A2" s="328"/>
      <c r="B2" s="327"/>
      <c r="C2" s="327"/>
      <c r="D2" s="327"/>
      <c r="E2" s="327"/>
      <c r="F2" s="327"/>
      <c r="G2" s="327"/>
      <c r="H2" s="327"/>
      <c r="I2" s="327"/>
      <c r="J2" s="327"/>
      <c r="K2" s="327"/>
      <c r="L2" s="327"/>
      <c r="M2" s="327"/>
      <c r="N2" s="327"/>
      <c r="O2" s="327"/>
      <c r="P2" s="327"/>
      <c r="Q2" s="327"/>
      <c r="R2" s="327"/>
      <c r="S2" s="327"/>
      <c r="T2" s="327"/>
      <c r="U2" s="327"/>
      <c r="V2" s="327"/>
    </row>
    <row r="3" spans="1:22" x14ac:dyDescent="0.25">
      <c r="A3" s="333" t="s">
        <v>257</v>
      </c>
      <c r="B3" s="333"/>
      <c r="C3" s="333"/>
      <c r="D3" s="333"/>
      <c r="E3" s="333"/>
      <c r="F3" s="333"/>
      <c r="G3" s="333"/>
      <c r="H3" s="333"/>
      <c r="I3" s="327"/>
      <c r="J3" s="327"/>
      <c r="K3" s="327"/>
      <c r="L3" s="327"/>
      <c r="M3" s="327"/>
      <c r="N3" s="327"/>
      <c r="O3" s="327"/>
      <c r="P3" s="327"/>
      <c r="Q3" s="327"/>
      <c r="R3" s="327"/>
      <c r="S3" s="327"/>
      <c r="T3" s="327"/>
      <c r="U3" s="327"/>
      <c r="V3" s="327"/>
    </row>
    <row r="4" spans="1:22" x14ac:dyDescent="0.25">
      <c r="A4" s="332" t="s">
        <v>260</v>
      </c>
      <c r="B4" s="332"/>
      <c r="C4" s="332"/>
      <c r="D4" s="332"/>
      <c r="E4" s="332"/>
      <c r="F4" s="332"/>
      <c r="G4" s="332"/>
      <c r="H4" s="332"/>
      <c r="I4" s="332"/>
      <c r="J4" s="332"/>
      <c r="K4" s="332"/>
      <c r="L4" s="332"/>
      <c r="M4" s="327"/>
      <c r="N4" s="327"/>
      <c r="O4" s="327"/>
      <c r="P4" s="327"/>
      <c r="Q4" s="327"/>
      <c r="R4" s="327"/>
      <c r="S4" s="327"/>
      <c r="T4" s="327"/>
      <c r="U4" s="327"/>
      <c r="V4" s="327"/>
    </row>
    <row r="5" spans="1:22" x14ac:dyDescent="0.25">
      <c r="A5" s="332" t="s">
        <v>258</v>
      </c>
      <c r="B5" s="332"/>
      <c r="C5" s="332"/>
      <c r="D5" s="332"/>
      <c r="E5" s="332"/>
      <c r="F5" s="332"/>
      <c r="G5" s="332"/>
      <c r="H5" s="332"/>
      <c r="I5" s="332"/>
      <c r="J5" s="332"/>
      <c r="K5" s="332"/>
      <c r="L5" s="332"/>
      <c r="M5" s="332"/>
      <c r="N5" s="332"/>
      <c r="O5" s="332"/>
      <c r="P5" s="332"/>
      <c r="Q5" s="332"/>
      <c r="R5" s="327"/>
      <c r="S5" s="327"/>
      <c r="T5" s="327"/>
      <c r="U5" s="327"/>
      <c r="V5" s="327"/>
    </row>
    <row r="6" spans="1:22" x14ac:dyDescent="0.25">
      <c r="A6" s="328"/>
      <c r="B6" s="327"/>
      <c r="C6" s="327"/>
      <c r="D6" s="327"/>
      <c r="E6" s="327"/>
      <c r="F6" s="327"/>
      <c r="G6" s="327"/>
      <c r="H6" s="327"/>
      <c r="I6" s="327"/>
      <c r="J6" s="327"/>
      <c r="K6" s="327"/>
      <c r="L6" s="327"/>
      <c r="M6" s="327"/>
      <c r="N6" s="327"/>
      <c r="O6" s="327"/>
      <c r="P6" s="327"/>
      <c r="Q6" s="327"/>
      <c r="R6" s="327"/>
      <c r="S6" s="327"/>
      <c r="T6" s="327"/>
      <c r="U6" s="327"/>
      <c r="V6" s="327"/>
    </row>
    <row r="7" spans="1:22" x14ac:dyDescent="0.25">
      <c r="A7" s="330" t="s">
        <v>259</v>
      </c>
      <c r="B7" s="331"/>
      <c r="C7" s="331"/>
      <c r="D7" s="331"/>
      <c r="E7" s="331"/>
      <c r="F7" s="331"/>
      <c r="G7" s="331"/>
      <c r="H7" s="327"/>
      <c r="I7" s="327"/>
      <c r="J7" s="327"/>
      <c r="K7" s="327"/>
      <c r="L7" s="327"/>
      <c r="M7" s="327"/>
      <c r="N7" s="327"/>
      <c r="O7" s="327"/>
      <c r="P7" s="327"/>
      <c r="Q7" s="327"/>
      <c r="R7" s="327"/>
      <c r="S7" s="327"/>
      <c r="T7" s="327"/>
      <c r="U7" s="327"/>
      <c r="V7" s="327"/>
    </row>
    <row r="8" spans="1:22" x14ac:dyDescent="0.25">
      <c r="A8" s="329" t="s">
        <v>262</v>
      </c>
      <c r="B8" s="334" t="s">
        <v>263</v>
      </c>
      <c r="C8" s="334"/>
      <c r="D8" s="334"/>
      <c r="E8" s="334"/>
      <c r="F8" s="334"/>
      <c r="G8" s="334"/>
      <c r="H8" s="334"/>
      <c r="I8" s="334"/>
      <c r="J8" s="334"/>
      <c r="K8" s="334"/>
      <c r="L8" s="334"/>
      <c r="M8" s="334"/>
      <c r="N8" s="334"/>
      <c r="O8" s="334"/>
      <c r="P8" s="327"/>
      <c r="Q8" s="327"/>
      <c r="R8" s="327"/>
      <c r="S8" s="327"/>
      <c r="T8" s="327"/>
      <c r="U8" s="327"/>
      <c r="V8" s="327"/>
    </row>
    <row r="9" spans="1:22" x14ac:dyDescent="0.25">
      <c r="A9" s="328"/>
      <c r="B9" s="334" t="s">
        <v>261</v>
      </c>
      <c r="C9" s="334"/>
      <c r="D9" s="334"/>
      <c r="E9" s="334"/>
      <c r="F9" s="334"/>
      <c r="G9" s="334"/>
      <c r="H9" s="334"/>
      <c r="I9" s="334"/>
      <c r="J9" s="334"/>
      <c r="K9" s="334"/>
      <c r="L9" s="334"/>
      <c r="M9" s="334"/>
      <c r="N9" s="334"/>
      <c r="O9" s="334"/>
      <c r="P9" s="334"/>
      <c r="Q9" s="334"/>
      <c r="R9" s="334"/>
      <c r="S9" s="334"/>
      <c r="T9" s="334"/>
      <c r="U9" s="334"/>
      <c r="V9" s="334"/>
    </row>
    <row r="10" spans="1:22" x14ac:dyDescent="0.25">
      <c r="A10" s="329" t="s">
        <v>264</v>
      </c>
      <c r="B10" s="335" t="s">
        <v>265</v>
      </c>
      <c r="C10" s="335"/>
      <c r="D10" s="335"/>
      <c r="E10" s="335"/>
      <c r="F10" s="335"/>
      <c r="G10" s="335"/>
      <c r="H10" s="335"/>
      <c r="I10" s="335"/>
      <c r="J10" s="335"/>
      <c r="K10" s="335"/>
      <c r="L10" s="335"/>
      <c r="M10" s="335"/>
      <c r="N10" s="335"/>
      <c r="O10" s="335"/>
      <c r="P10" s="335"/>
      <c r="Q10" s="335"/>
      <c r="R10" s="335"/>
      <c r="S10" s="335"/>
      <c r="T10" s="335"/>
      <c r="U10" s="335"/>
      <c r="V10" s="335"/>
    </row>
    <row r="11" spans="1:22" x14ac:dyDescent="0.25">
      <c r="B11" s="335"/>
      <c r="C11" s="335"/>
      <c r="D11" s="335"/>
      <c r="E11" s="335"/>
      <c r="F11" s="335"/>
      <c r="G11" s="335"/>
      <c r="H11" s="335"/>
      <c r="I11" s="335"/>
      <c r="J11" s="335"/>
      <c r="K11" s="335"/>
      <c r="L11" s="335"/>
      <c r="M11" s="335"/>
      <c r="N11" s="335"/>
      <c r="O11" s="335"/>
      <c r="P11" s="335"/>
      <c r="Q11" s="335"/>
      <c r="R11" s="335"/>
      <c r="S11" s="335"/>
      <c r="T11" s="335"/>
      <c r="U11" s="335"/>
      <c r="V11" s="335"/>
    </row>
  </sheetData>
  <mergeCells count="6">
    <mergeCell ref="B10:V11"/>
    <mergeCell ref="A3:H3"/>
    <mergeCell ref="A4:L4"/>
    <mergeCell ref="A5:Q5"/>
    <mergeCell ref="B9:V9"/>
    <mergeCell ref="B8:O8"/>
  </mergeCells>
  <pageMargins left="0.7" right="0.7" top="0.75" bottom="0.75" header="0.3" footer="0.3"/>
  <pageSetup paperSize="9" scale="2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1</vt:i4>
      </vt:variant>
    </vt:vector>
  </HeadingPairs>
  <TitlesOfParts>
    <vt:vector size="11" baseType="lpstr">
      <vt:lpstr>PO Set Target attain level</vt:lpstr>
      <vt:lpstr>CO_Attainment for Unit Tests</vt:lpstr>
      <vt:lpstr>CO_attainment for FA-TH ESE</vt:lpstr>
      <vt:lpstr>CO_attain_SLA_FA-PR_SA-PR</vt:lpstr>
      <vt:lpstr>CO_attainment for Indirect</vt:lpstr>
      <vt:lpstr>CO_PO Mapping Attainment </vt:lpstr>
      <vt:lpstr>Overall CO attainment (2)</vt:lpstr>
      <vt:lpstr>Overall CO attainment</vt:lpstr>
      <vt:lpstr>CO_PO Mapping Attainment_PO7</vt:lpstr>
      <vt:lpstr>Mapping Rationale</vt:lpstr>
      <vt:lpstr>'Mapping Rationale'!Print_Area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GPO</cp:lastModifiedBy>
  <dcterms:created xsi:type="dcterms:W3CDTF">2019-05-31T18:42:57Z</dcterms:created>
  <dcterms:modified xsi:type="dcterms:W3CDTF">2026-06-11T08:24:28Z</dcterms:modified>
</cp:coreProperties>
</file>