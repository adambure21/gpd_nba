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SBTE-28\Documents\ada\gpd_nba\Attainment Calculation\Sheet from BRC for Attainment Calculation\"/>
    </mc:Choice>
  </mc:AlternateContent>
  <xr:revisionPtr revIDLastSave="0" documentId="13_ncr:1_{5B3CD1BE-8652-4EF5-B4CE-682DC17512E7}" xr6:coauthVersionLast="47" xr6:coauthVersionMax="47" xr10:uidLastSave="{00000000-0000-0000-0000-000000000000}"/>
  <bookViews>
    <workbookView xWindow="-120" yWindow="-120" windowWidth="29040" windowHeight="15720" firstSheet="3" activeTab="9" xr2:uid="{00000000-000D-0000-FFFF-FFFF00000000}"/>
  </bookViews>
  <sheets>
    <sheet name="PO Set Target attain level" sheetId="1" r:id="rId1"/>
    <sheet name="CO_Attainment for Unit Tests" sheetId="2" r:id="rId2"/>
    <sheet name="CO_attainment for FA-TH ESE" sheetId="3" r:id="rId3"/>
    <sheet name="CO_attain_SLA_FA-PR_SA-PR" sheetId="4" r:id="rId4"/>
    <sheet name="CO_attainment for Indirect" sheetId="5" state="hidden" r:id="rId5"/>
    <sheet name="CO_PO Mapping Attainment " sheetId="6" state="hidden" r:id="rId6"/>
    <sheet name="Overall CO attainment (2)" sheetId="7" state="hidden" r:id="rId7"/>
    <sheet name="Overall CO attainment" sheetId="8" r:id="rId8"/>
    <sheet name="CO_PO Mapping Attainment_PO7" sheetId="9" r:id="rId9"/>
    <sheet name="Justification for Mapping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5awzr2x8tJIi0b+nsqkJKXVxUb4mRBB0nHxVslkdC+4="/>
    </ext>
  </extLst>
</workbook>
</file>

<file path=xl/calcChain.xml><?xml version="1.0" encoding="utf-8"?>
<calcChain xmlns="http://schemas.openxmlformats.org/spreadsheetml/2006/main">
  <c r="M12" i="9" l="1"/>
  <c r="M13" i="9"/>
  <c r="M14" i="9"/>
  <c r="M15" i="9"/>
  <c r="M16" i="9"/>
  <c r="L13" i="9"/>
  <c r="L14" i="9"/>
  <c r="L15" i="9"/>
  <c r="L16" i="9"/>
  <c r="L17" i="9" s="1"/>
  <c r="L18" i="9" s="1"/>
  <c r="L19" i="9" s="1"/>
  <c r="L12" i="9"/>
  <c r="M17" i="9"/>
  <c r="M18" i="9" s="1"/>
  <c r="M19" i="9" s="1"/>
  <c r="K16" i="9"/>
  <c r="J16" i="9"/>
  <c r="I16" i="9"/>
  <c r="H16" i="9"/>
  <c r="G16" i="9"/>
  <c r="F16" i="9"/>
  <c r="B16" i="9"/>
  <c r="K15" i="9"/>
  <c r="J15" i="9"/>
  <c r="I15" i="9"/>
  <c r="H15" i="9"/>
  <c r="G15" i="9"/>
  <c r="F15" i="9"/>
  <c r="E15" i="9"/>
  <c r="B15" i="9"/>
  <c r="K14" i="9"/>
  <c r="J14" i="9"/>
  <c r="I14" i="9"/>
  <c r="H14" i="9"/>
  <c r="G14" i="9"/>
  <c r="F14" i="9"/>
  <c r="E14" i="9"/>
  <c r="B14" i="9"/>
  <c r="K13" i="9"/>
  <c r="J13" i="9"/>
  <c r="I13" i="9"/>
  <c r="H13" i="9"/>
  <c r="G13" i="9"/>
  <c r="F13" i="9"/>
  <c r="E13" i="9"/>
  <c r="B13" i="9"/>
  <c r="K12" i="9"/>
  <c r="K17" i="9" s="1"/>
  <c r="J12" i="9"/>
  <c r="J17" i="9" s="1"/>
  <c r="I12" i="9"/>
  <c r="I17" i="9" s="1"/>
  <c r="H12" i="9"/>
  <c r="H17" i="9" s="1"/>
  <c r="G12" i="9"/>
  <c r="G17" i="9" s="1"/>
  <c r="F12" i="9"/>
  <c r="F17" i="9" s="1"/>
  <c r="E12" i="9"/>
  <c r="E17" i="9" s="1"/>
  <c r="B12" i="9"/>
  <c r="K10" i="8"/>
  <c r="G11" i="8" s="1"/>
  <c r="F26" i="8" s="1"/>
  <c r="J16" i="6"/>
  <c r="J17" i="6" s="1"/>
  <c r="P15" i="6"/>
  <c r="P16" i="6" s="1"/>
  <c r="P17" i="6" s="1"/>
  <c r="O15" i="6"/>
  <c r="O16" i="6" s="1"/>
  <c r="O17" i="6" s="1"/>
  <c r="N15" i="6"/>
  <c r="N16" i="6" s="1"/>
  <c r="N17" i="6" s="1"/>
  <c r="M15" i="6"/>
  <c r="M16" i="6" s="1"/>
  <c r="M17" i="6" s="1"/>
  <c r="L15" i="6"/>
  <c r="L16" i="6" s="1"/>
  <c r="L17" i="6" s="1"/>
  <c r="K15" i="6"/>
  <c r="K16" i="6" s="1"/>
  <c r="K17" i="6" s="1"/>
  <c r="J15" i="6"/>
  <c r="I15" i="6"/>
  <c r="I16" i="6" s="1"/>
  <c r="I17" i="6" s="1"/>
  <c r="H15" i="6"/>
  <c r="H16" i="6" s="1"/>
  <c r="H17" i="6" s="1"/>
  <c r="G15" i="6"/>
  <c r="G16" i="6" s="1"/>
  <c r="G17" i="6" s="1"/>
  <c r="F15" i="6"/>
  <c r="F16" i="6" s="1"/>
  <c r="F17" i="6" s="1"/>
  <c r="E15" i="6"/>
  <c r="E16" i="6" s="1"/>
  <c r="E17" i="6" s="1"/>
  <c r="E80" i="5"/>
  <c r="E81" i="5" s="1"/>
  <c r="C91" i="5" s="1"/>
  <c r="D72" i="5"/>
  <c r="C72" i="5"/>
  <c r="D71" i="5"/>
  <c r="C71" i="5"/>
  <c r="D70" i="5"/>
  <c r="C70" i="5"/>
  <c r="D69" i="5"/>
  <c r="C69" i="5"/>
  <c r="D68" i="5"/>
  <c r="C68" i="5"/>
  <c r="D67" i="5"/>
  <c r="C67" i="5"/>
  <c r="D66" i="5"/>
  <c r="C66" i="5"/>
  <c r="D65" i="5"/>
  <c r="C65" i="5"/>
  <c r="D64" i="5"/>
  <c r="C64" i="5"/>
  <c r="D63" i="5"/>
  <c r="C63" i="5"/>
  <c r="D62" i="5"/>
  <c r="C62" i="5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D52" i="5"/>
  <c r="C52" i="5"/>
  <c r="D51" i="5"/>
  <c r="C51" i="5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E104" i="4"/>
  <c r="F106" i="4" s="1"/>
  <c r="F99" i="4"/>
  <c r="E99" i="4"/>
  <c r="C110" i="4" s="1"/>
  <c r="G97" i="4"/>
  <c r="G99" i="4" s="1"/>
  <c r="C112" i="4" s="1"/>
  <c r="F97" i="4"/>
  <c r="E97" i="4"/>
  <c r="D96" i="4"/>
  <c r="C96" i="4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6" i="4"/>
  <c r="D6" i="5" s="1"/>
  <c r="E104" i="3"/>
  <c r="F105" i="3" s="1"/>
  <c r="E99" i="3"/>
  <c r="E97" i="3"/>
  <c r="D96" i="3"/>
  <c r="C96" i="3"/>
  <c r="D95" i="3"/>
  <c r="C95" i="3"/>
  <c r="D94" i="3"/>
  <c r="C94" i="3"/>
  <c r="D93" i="3"/>
  <c r="C93" i="3"/>
  <c r="D92" i="3"/>
  <c r="C92" i="3"/>
  <c r="D91" i="3"/>
  <c r="C91" i="3"/>
  <c r="D90" i="3"/>
  <c r="C90" i="3"/>
  <c r="D89" i="3"/>
  <c r="C89" i="3"/>
  <c r="D88" i="3"/>
  <c r="C88" i="3"/>
  <c r="D87" i="3"/>
  <c r="C87" i="3"/>
  <c r="D86" i="3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D15" i="5" s="1"/>
  <c r="C14" i="3"/>
  <c r="C15" i="5" s="1"/>
  <c r="D7" i="3"/>
  <c r="D5" i="3"/>
  <c r="H106" i="2"/>
  <c r="H105" i="2"/>
  <c r="H104" i="2"/>
  <c r="I96" i="2"/>
  <c r="I98" i="2" s="1"/>
  <c r="I110" i="2" s="1"/>
  <c r="H96" i="2"/>
  <c r="H98" i="2" s="1"/>
  <c r="H110" i="2" s="1"/>
  <c r="G96" i="2"/>
  <c r="G98" i="2" s="1"/>
  <c r="G110" i="2" s="1"/>
  <c r="F96" i="2"/>
  <c r="F98" i="2" s="1"/>
  <c r="F110" i="2" s="1"/>
  <c r="E96" i="2"/>
  <c r="E98" i="2" s="1"/>
  <c r="E110" i="2" s="1"/>
  <c r="D96" i="2"/>
  <c r="D98" i="2" s="1"/>
  <c r="D110" i="2" s="1"/>
  <c r="K95" i="2"/>
  <c r="J95" i="2"/>
  <c r="K94" i="2"/>
  <c r="J94" i="2"/>
  <c r="K93" i="2"/>
  <c r="J93" i="2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K68" i="2"/>
  <c r="J68" i="2"/>
  <c r="K67" i="2"/>
  <c r="J67" i="2"/>
  <c r="K66" i="2"/>
  <c r="J66" i="2"/>
  <c r="K65" i="2"/>
  <c r="J65" i="2"/>
  <c r="K64" i="2"/>
  <c r="J64" i="2"/>
  <c r="K63" i="2"/>
  <c r="J63" i="2"/>
  <c r="K62" i="2"/>
  <c r="J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C6" i="2"/>
  <c r="D7" i="4" s="1"/>
  <c r="C5" i="2"/>
  <c r="D6" i="3" s="1"/>
  <c r="C4" i="2"/>
  <c r="D5" i="4" s="1"/>
  <c r="D5" i="5" s="1"/>
  <c r="C3" i="2"/>
  <c r="D4" i="4" s="1"/>
  <c r="D4" i="5" s="1"/>
  <c r="K25" i="1"/>
  <c r="J25" i="1"/>
  <c r="F25" i="1"/>
  <c r="M24" i="1"/>
  <c r="M25" i="1" s="1"/>
  <c r="L24" i="1"/>
  <c r="L25" i="1" s="1"/>
  <c r="K24" i="1"/>
  <c r="J24" i="1"/>
  <c r="I24" i="1"/>
  <c r="I25" i="1" s="1"/>
  <c r="H24" i="1"/>
  <c r="H25" i="1" s="1"/>
  <c r="G24" i="1"/>
  <c r="G25" i="1" s="1"/>
  <c r="F24" i="1"/>
  <c r="E24" i="1"/>
  <c r="E25" i="1" s="1"/>
  <c r="D23" i="1"/>
  <c r="D16" i="9" s="1"/>
  <c r="C23" i="1"/>
  <c r="C16" i="9" s="1"/>
  <c r="D22" i="1"/>
  <c r="D15" i="9" s="1"/>
  <c r="C22" i="1"/>
  <c r="C15" i="9" s="1"/>
  <c r="D21" i="1"/>
  <c r="D14" i="9" s="1"/>
  <c r="C21" i="1"/>
  <c r="C14" i="9" s="1"/>
  <c r="D20" i="1"/>
  <c r="D13" i="9" s="1"/>
  <c r="C20" i="1"/>
  <c r="C13" i="9" s="1"/>
  <c r="D19" i="1"/>
  <c r="D12" i="9" s="1"/>
  <c r="C19" i="1"/>
  <c r="C12" i="9" s="1"/>
  <c r="D4" i="7" l="1"/>
  <c r="D4" i="8"/>
  <c r="D3" i="9" s="1"/>
  <c r="G91" i="5"/>
  <c r="F91" i="5"/>
  <c r="I12" i="7"/>
  <c r="E91" i="5"/>
  <c r="D91" i="5"/>
  <c r="D12" i="7"/>
  <c r="D19" i="8"/>
  <c r="D5" i="7"/>
  <c r="D5" i="8"/>
  <c r="D4" i="9" s="1"/>
  <c r="G112" i="4"/>
  <c r="E112" i="4"/>
  <c r="F112" i="4"/>
  <c r="D112" i="4"/>
  <c r="G19" i="8"/>
  <c r="G12" i="7"/>
  <c r="H112" i="4"/>
  <c r="D14" i="7"/>
  <c r="D21" i="8"/>
  <c r="G110" i="4"/>
  <c r="F110" i="4"/>
  <c r="E110" i="4"/>
  <c r="D110" i="4"/>
  <c r="F19" i="8"/>
  <c r="F12" i="7"/>
  <c r="H110" i="4"/>
  <c r="D22" i="8"/>
  <c r="D15" i="7"/>
  <c r="C111" i="4"/>
  <c r="D3" i="7"/>
  <c r="D3" i="8"/>
  <c r="D2" i="9" s="1"/>
  <c r="D16" i="7"/>
  <c r="D23" i="8"/>
  <c r="D6" i="7"/>
  <c r="D6" i="8"/>
  <c r="D5" i="9" s="1"/>
  <c r="D7" i="5"/>
  <c r="D17" i="7"/>
  <c r="D24" i="8"/>
  <c r="D20" i="8"/>
  <c r="D13" i="7"/>
  <c r="H11" i="8"/>
  <c r="E26" i="8" s="1"/>
  <c r="I11" i="8"/>
  <c r="G26" i="8" s="1"/>
  <c r="J11" i="8"/>
  <c r="H26" i="8" s="1"/>
  <c r="F106" i="3"/>
  <c r="C110" i="3" s="1"/>
  <c r="F104" i="4"/>
  <c r="D4" i="3"/>
  <c r="F105" i="4"/>
  <c r="F104" i="3"/>
  <c r="E11" i="8"/>
  <c r="H19" i="8" l="1"/>
  <c r="H110" i="3"/>
  <c r="G110" i="3"/>
  <c r="H12" i="7"/>
  <c r="F110" i="3"/>
  <c r="E110" i="3"/>
  <c r="D110" i="3"/>
  <c r="D25" i="8"/>
  <c r="D27" i="8" s="1"/>
  <c r="I13" i="7"/>
  <c r="I14" i="7" s="1"/>
  <c r="I15" i="7" s="1"/>
  <c r="I16" i="7" s="1"/>
  <c r="I17" i="7" s="1"/>
  <c r="I18" i="7"/>
  <c r="I20" i="7" s="1"/>
  <c r="J21" i="7" s="1"/>
  <c r="J23" i="7" s="1"/>
  <c r="G20" i="8"/>
  <c r="G21" i="8" s="1"/>
  <c r="G22" i="8" s="1"/>
  <c r="G23" i="8" s="1"/>
  <c r="G24" i="8" s="1"/>
  <c r="D18" i="7"/>
  <c r="D20" i="7" s="1"/>
  <c r="D26" i="8"/>
  <c r="K11" i="8"/>
  <c r="H111" i="4"/>
  <c r="E111" i="4"/>
  <c r="E19" i="8"/>
  <c r="G111" i="4"/>
  <c r="F111" i="4"/>
  <c r="D111" i="4"/>
  <c r="E12" i="7"/>
  <c r="G13" i="7"/>
  <c r="G14" i="7" s="1"/>
  <c r="G15" i="7" s="1"/>
  <c r="G16" i="7" s="1"/>
  <c r="G17" i="7" s="1"/>
  <c r="G18" i="7"/>
  <c r="G20" i="7" s="1"/>
  <c r="F13" i="7"/>
  <c r="F14" i="7" s="1"/>
  <c r="F15" i="7" s="1"/>
  <c r="F16" i="7" s="1"/>
  <c r="F17" i="7" s="1"/>
  <c r="F20" i="8"/>
  <c r="F21" i="8" s="1"/>
  <c r="F22" i="8" s="1"/>
  <c r="F23" i="8" s="1"/>
  <c r="F24" i="8" s="1"/>
  <c r="F25" i="8"/>
  <c r="F27" i="8" s="1"/>
  <c r="E20" i="8" l="1"/>
  <c r="E21" i="8" s="1"/>
  <c r="E22" i="8" s="1"/>
  <c r="E23" i="8" s="1"/>
  <c r="E24" i="8" s="1"/>
  <c r="H13" i="7"/>
  <c r="H14" i="7" s="1"/>
  <c r="H15" i="7" s="1"/>
  <c r="H16" i="7" s="1"/>
  <c r="H17" i="7" s="1"/>
  <c r="G25" i="8"/>
  <c r="G27" i="8" s="1"/>
  <c r="E13" i="7"/>
  <c r="E14" i="7" s="1"/>
  <c r="E15" i="7" s="1"/>
  <c r="E16" i="7" s="1"/>
  <c r="E17" i="7" s="1"/>
  <c r="F18" i="7"/>
  <c r="F20" i="7" s="1"/>
  <c r="H20" i="8"/>
  <c r="H21" i="8" s="1"/>
  <c r="H22" i="8" s="1"/>
  <c r="H23" i="8" s="1"/>
  <c r="H24" i="8" s="1"/>
  <c r="E18" i="7" l="1"/>
  <c r="E20" i="7" s="1"/>
  <c r="E25" i="8"/>
  <c r="E27" i="8" s="1"/>
  <c r="H25" i="8"/>
  <c r="H27" i="8" s="1"/>
  <c r="H18" i="7"/>
  <c r="H20" i="7" s="1"/>
  <c r="H28" i="8" l="1"/>
  <c r="H30" i="8" s="1"/>
  <c r="I31" i="8" s="1"/>
  <c r="H21" i="7"/>
  <c r="H23" i="7" s="1"/>
  <c r="I24" i="7" s="1"/>
  <c r="I18" i="9" l="1"/>
  <c r="I19" i="9" s="1"/>
  <c r="H18" i="9"/>
  <c r="H19" i="9" s="1"/>
  <c r="K18" i="9"/>
  <c r="K19" i="9" s="1"/>
  <c r="J18" i="9"/>
  <c r="J19" i="9" s="1"/>
  <c r="G18" i="9"/>
  <c r="G19" i="9" s="1"/>
  <c r="E18" i="9"/>
  <c r="E19" i="9" s="1"/>
  <c r="F18" i="9"/>
  <c r="F19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2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ID#AAAB835Rsd8
hp    (2023-02-03 10:38:19)
Max. marks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HM8d4Gc/aKXAoNVSek6KZP57S4g=="/>
    </ext>
  </extLst>
</comments>
</file>

<file path=xl/sharedStrings.xml><?xml version="1.0" encoding="utf-8"?>
<sst xmlns="http://schemas.openxmlformats.org/spreadsheetml/2006/main" count="413" uniqueCount="256">
  <si>
    <t xml:space="preserve">                        PO-CO Mapping (Targetted Level) - Course Articulation Matrix</t>
  </si>
  <si>
    <t>Course Name :</t>
  </si>
  <si>
    <t>SEMINAR AND PROJECT INITIATION COURSE</t>
  </si>
  <si>
    <t>Course Code :</t>
  </si>
  <si>
    <t xml:space="preserve">Program/Scheme-MSBTE Inst.code : </t>
  </si>
  <si>
    <t>5th Sem Co5K K-Scheme</t>
  </si>
  <si>
    <t>Academic Year :</t>
  </si>
  <si>
    <t>2025-26</t>
  </si>
  <si>
    <t>Course Outcomes :</t>
  </si>
  <si>
    <t>CO1</t>
  </si>
  <si>
    <t>Identify topics of seminar presenting to the large gathering at the institute/conference.</t>
  </si>
  <si>
    <t>CO2</t>
  </si>
  <si>
    <t>Collect relevant and updated research-based data and information to prepare a paper of seminar presentation.</t>
  </si>
  <si>
    <t>CO3</t>
  </si>
  <si>
    <t>Apply presentation skills.</t>
  </si>
  <si>
    <t>CO4</t>
  </si>
  <si>
    <t>Create conducive environment for learning and discussion through seminar presentation.</t>
  </si>
  <si>
    <t>CO5</t>
  </si>
  <si>
    <t>Identify a problem statement and establish the action plan for the successful completion of the project.</t>
  </si>
  <si>
    <t>Set Correlation  of CO-PO Mapping</t>
  </si>
  <si>
    <r>
      <rPr>
        <b/>
        <sz val="12"/>
        <color theme="1"/>
        <rFont val="Times New Roman"/>
      </rPr>
      <t xml:space="preserve">Strength of correlation : </t>
    </r>
    <r>
      <rPr>
        <sz val="12"/>
        <color theme="1"/>
        <rFont val="Times New Roman"/>
      </rPr>
      <t>3</t>
    </r>
    <r>
      <rPr>
        <b/>
        <sz val="12"/>
        <color theme="1"/>
        <rFont val="Times New Roman"/>
      </rPr>
      <t xml:space="preserve"> - </t>
    </r>
    <r>
      <rPr>
        <sz val="12"/>
        <color theme="1"/>
        <rFont val="Times New Roman"/>
      </rPr>
      <t>high (Substantial), 2- medium (moderate) , 1- low, No relation : '-'</t>
    </r>
  </si>
  <si>
    <t>Sr. No.</t>
  </si>
  <si>
    <t>CO</t>
  </si>
  <si>
    <t>PO</t>
  </si>
  <si>
    <t>PSO</t>
  </si>
  <si>
    <t>PO1</t>
  </si>
  <si>
    <t>PO2</t>
  </si>
  <si>
    <t>PO3</t>
  </si>
  <si>
    <t>PO4</t>
  </si>
  <si>
    <t>PO5</t>
  </si>
  <si>
    <t>PO6</t>
  </si>
  <si>
    <t>PO7</t>
  </si>
  <si>
    <t>PSO1</t>
  </si>
  <si>
    <t>PSO2</t>
  </si>
  <si>
    <t>Basic Knowledge &amp; Discipline Knowledge</t>
  </si>
  <si>
    <t>Problem analysis</t>
  </si>
  <si>
    <t>Design/developmet of solutions</t>
  </si>
  <si>
    <t>Engineering tools, Experimentation and Testing</t>
  </si>
  <si>
    <t>Engineering Practices for society, sustainability , Environment, Ethics</t>
  </si>
  <si>
    <t>Project Management</t>
  </si>
  <si>
    <t xml:space="preserve">Life Long learning </t>
  </si>
  <si>
    <t>Computer Software and Hardware Usage</t>
  </si>
  <si>
    <t>Computer Engineering Maintenance</t>
  </si>
  <si>
    <t>-</t>
  </si>
  <si>
    <t>Average</t>
  </si>
  <si>
    <t>Targeted Attainment Level</t>
  </si>
  <si>
    <t>Name of Faculty &amp; Signature</t>
  </si>
  <si>
    <t>GOVERNMENT POLYTECHNIC DHARASHIV</t>
  </si>
  <si>
    <t>Note :</t>
  </si>
  <si>
    <t xml:space="preserve">           Fill only this colour cells for all worksheets</t>
  </si>
  <si>
    <r>
      <rPr>
        <i/>
        <u/>
        <sz val="11"/>
        <color theme="1"/>
        <rFont val="Calibri"/>
      </rPr>
      <t>This cells are autofilled fields .</t>
    </r>
    <r>
      <rPr>
        <i/>
        <u/>
        <sz val="11"/>
        <color theme="1"/>
        <rFont val="Calibri"/>
      </rPr>
      <t xml:space="preserve">                                                         </t>
    </r>
    <r>
      <rPr>
        <i/>
        <u/>
        <sz val="11"/>
        <color theme="1"/>
        <rFont val="Calibri"/>
      </rPr>
      <t xml:space="preserve">   Do not overwrite this cells for all worksheets</t>
    </r>
  </si>
  <si>
    <t>Evaluation of Answersheets for FA-TH(Unit Test)</t>
  </si>
  <si>
    <t>Internal Assessment ( Direct Mode)</t>
  </si>
  <si>
    <t xml:space="preserve">Program/Semester : </t>
  </si>
  <si>
    <t>Academic Year</t>
  </si>
  <si>
    <t>Enrollment ID / Seat No</t>
  </si>
  <si>
    <t>Student Name</t>
  </si>
  <si>
    <t>CO1 
max. Marks</t>
  </si>
  <si>
    <t>CO2
 max. Marks</t>
  </si>
  <si>
    <t>CO3 max. Marks</t>
  </si>
  <si>
    <t>CO4 
max. Marks</t>
  </si>
  <si>
    <t>CO5 max. Marks</t>
  </si>
  <si>
    <t>CO6 
max. Marks</t>
  </si>
  <si>
    <t>U. TEST I</t>
  </si>
  <si>
    <t>U. TEST II</t>
  </si>
  <si>
    <t>Total Max. Marks(with Extra)</t>
  </si>
  <si>
    <t>DHANSHETTI PRIYA SANJAY</t>
  </si>
  <si>
    <t>ADSUL SHASHWATI NITIN</t>
  </si>
  <si>
    <t>AVISHKAR BABRUWAN BHISE</t>
  </si>
  <si>
    <t>AWAD MAHESHWARI BHAU</t>
  </si>
  <si>
    <t>BADVE SHARVANI DNYANESHWAR</t>
  </si>
  <si>
    <t>BAGADE MANASI MUKUND</t>
  </si>
  <si>
    <t>BARDE ARCHANA HANUMANT</t>
  </si>
  <si>
    <t>BARMADE SHRADDHA SUDHAKAR</t>
  </si>
  <si>
    <t>BEDKE ANKITA SHRIRAM</t>
  </si>
  <si>
    <t>BHAD SHRAVANI UMAKANT</t>
  </si>
  <si>
    <t>BHORE NIKITA SHANKAR</t>
  </si>
  <si>
    <t>BHOSALE PRADNYA HARIDAS</t>
  </si>
  <si>
    <t>BHOSALE TEJAS GAJANAN</t>
  </si>
  <si>
    <t>BIRAJDAR PRASHANT PADMAKAR</t>
  </si>
  <si>
    <t>CHANDANE SHRAVANI PRASHANT</t>
  </si>
  <si>
    <t>CHAVAN NIKITA NARAYAN</t>
  </si>
  <si>
    <t>DANE SUSHANT VITTHAL</t>
  </si>
  <si>
    <t>DEMGUNDE RAVIKIRAN DHONDIRAM</t>
  </si>
  <si>
    <t>DHAGE ANUPAMA NAGESH</t>
  </si>
  <si>
    <t>FULMALI SARTHAK SANTOSH</t>
  </si>
  <si>
    <t>GAVALI MONIKA DNYANDEO</t>
  </si>
  <si>
    <t>ISAKE PRATIKSHA MAHESH</t>
  </si>
  <si>
    <t>JAGTAP SHREYA SHRIRANG</t>
  </si>
  <si>
    <t>JOSHI TANUJA GUNDERAO</t>
  </si>
  <si>
    <t>KALE PRACHI KISHOR</t>
  </si>
  <si>
    <t>KALE VAISHNAVI DHANRAJ</t>
  </si>
  <si>
    <t>KAMBLE SONAM VILAS</t>
  </si>
  <si>
    <t>KENDRE MAYURI TUKARAM</t>
  </si>
  <si>
    <t>KHANDAGALE SUHANI VIKRAM</t>
  </si>
  <si>
    <t>KHUNE PRIYANKA PRAMOD</t>
  </si>
  <si>
    <t>KSHIRSAGAR ISHWARI DATTATRAYA</t>
  </si>
  <si>
    <t>LONDHE PRAMILA CHHATRAGUN</t>
  </si>
  <si>
    <t>MALI KARAN ASHOK</t>
  </si>
  <si>
    <t>MENDHEKAR PRITI GOROBA</t>
  </si>
  <si>
    <t>NIMBALKAR ASMITA BHUJANG</t>
  </si>
  <si>
    <t>PANCHAL GAYATRI DNYANESHWAR</t>
  </si>
  <si>
    <t>PATHAN ADIBA FIRDOS AMJAD KHAN</t>
  </si>
  <si>
    <t>PATIL AMRUTA SURESH</t>
  </si>
  <si>
    <t>PATIL DNYANESHWARI SUBHASH</t>
  </si>
  <si>
    <t>PAWAR ARYA RAJENDRA</t>
  </si>
  <si>
    <t>PAWAR SARIKA PANDURANG</t>
  </si>
  <si>
    <t>PAWAR VAIBHAVI LAXMAN</t>
  </si>
  <si>
    <t>PICHRUTE GAYATRI AMBADAS</t>
  </si>
  <si>
    <t>PIRJADE AFREEN UBEDULLA</t>
  </si>
  <si>
    <t>RAJPUT BHIMSING UMRAOSING</t>
  </si>
  <si>
    <t>SAKHARKAR SHRAVANI HARI</t>
  </si>
  <si>
    <t>SHINDALKAR ANIKET SHESHERAO</t>
  </si>
  <si>
    <t>SHINDE DIPIKA DATTATRAY</t>
  </si>
  <si>
    <t>SHINDE ROHAN RAJENDRA</t>
  </si>
  <si>
    <t>SHINDE SHIVAM SANDEEP</t>
  </si>
  <si>
    <t>SHINDE YASHRAJ YUVRAJ</t>
  </si>
  <si>
    <t>SIRSAT ABHISHEK SHAHAJI</t>
  </si>
  <si>
    <t>UMBARDAND SHIVLILA BABASAHEB</t>
  </si>
  <si>
    <t>VARE ANJALI RAMDAS</t>
  </si>
  <si>
    <t>WAGHMARE PALLAVI DNYANESHWAR</t>
  </si>
  <si>
    <t>Gavasane Vedant Amol</t>
  </si>
  <si>
    <t>HAJARE SWAPNALI SUJIT</t>
  </si>
  <si>
    <t>MUGALE AMAR RAM</t>
  </si>
  <si>
    <t>PAWAR ASHWASANDHYA NANDAKUMAR</t>
  </si>
  <si>
    <t>PAWAR ASHWASHRADHA DHANAJI</t>
  </si>
  <si>
    <t>SUTAR PRIYA BHAGVANT</t>
  </si>
  <si>
    <t>SUTAR YOGESH EKNATH</t>
  </si>
  <si>
    <t>WAWALKAR ANJALI ANIL</t>
  </si>
  <si>
    <t>#Set Competency target as % marks of max marks for each CO -- &gt;</t>
  </si>
  <si>
    <t xml:space="preserve">No. of students above set target </t>
  </si>
  <si>
    <t>Benchmark of Attainment level  against set target/ competency</t>
  </si>
  <si>
    <t xml:space="preserve">No of Students </t>
  </si>
  <si>
    <t xml:space="preserve">Level </t>
  </si>
  <si>
    <t>LEVEL</t>
  </si>
  <si>
    <t>50 % of Students got more than set target --&gt;</t>
  </si>
  <si>
    <t>60 % of Students got more than set target --&gt;</t>
  </si>
  <si>
    <t>70 % of Students got more than set target --&gt;</t>
  </si>
  <si>
    <t>CO-wise  Attainment for Unit Test</t>
  </si>
  <si>
    <t xml:space="preserve">CO5 </t>
  </si>
  <si>
    <t>C06</t>
  </si>
  <si>
    <t>Attainment Level</t>
  </si>
  <si>
    <t xml:space="preserve"> </t>
  </si>
  <si>
    <t xml:space="preserve">External Evaluation of End Semester Board Examination </t>
  </si>
  <si>
    <t xml:space="preserve"> Direct Assessment</t>
  </si>
  <si>
    <t>SA-TH
(End Sem Board Exam.) Max. Marks</t>
  </si>
  <si>
    <t xml:space="preserve">#Set Competency target as Board's TSI </t>
  </si>
  <si>
    <t># Note : MSBTE TSI marks for the End Sem Board Exam is taken from MSBTE's result Gazette copy</t>
  </si>
  <si>
    <t xml:space="preserve"> of Students got more than set target </t>
  </si>
  <si>
    <t xml:space="preserve">of Students got more than set target </t>
  </si>
  <si>
    <t>CO-wise  Attainment for End Sem Board Exam</t>
  </si>
  <si>
    <t>* Attainment Level</t>
  </si>
  <si>
    <t xml:space="preserve">     * Note  - For End Sem Board Exam., same attainment level is considered for all Cos.</t>
  </si>
  <si>
    <t>Internal  Evaluation of PA-Practical work, Micro-Project, PR-ESE</t>
  </si>
  <si>
    <r>
      <rPr>
        <b/>
        <u/>
        <sz val="16"/>
        <color theme="1"/>
        <rFont val="Times New Roman"/>
      </rPr>
      <t xml:space="preserve">                      </t>
    </r>
    <r>
      <rPr>
        <b/>
        <u/>
        <sz val="16"/>
        <color theme="1"/>
        <rFont val="Times New Roman"/>
      </rPr>
      <t>Direct Assessment</t>
    </r>
  </si>
  <si>
    <t>Academic Year:</t>
  </si>
  <si>
    <t>SLA
(Micro Project/Assignment Evaluation (max. marks )</t>
  </si>
  <si>
    <t>FA-PR
(Progressive Assessment -PA for Term work)  
(max marks )</t>
  </si>
  <si>
    <t>SA-PR
(Practical End Sem. Exam)    ( max. marks)</t>
  </si>
  <si>
    <t xml:space="preserve">Set Competency target as  % marks for                    each criteria </t>
  </si>
  <si>
    <t xml:space="preserve">Benchmark of Attainment level  against set target/ competency for above criteria </t>
  </si>
  <si>
    <t xml:space="preserve">* CO-wise  Attainment level </t>
  </si>
  <si>
    <t xml:space="preserve">For Micro-Project </t>
  </si>
  <si>
    <t xml:space="preserve">For PA-Term Work /Assignments </t>
  </si>
  <si>
    <t>For Practical End Sem. Exam</t>
  </si>
  <si>
    <t xml:space="preserve">Indirect Assessment through Course end Survey </t>
  </si>
  <si>
    <t>* Rating Scale : 5-Excellent, 4-Very good, 3- Good, 2-poor, 1-Very Poor</t>
  </si>
  <si>
    <t>Enrollment ID</t>
  </si>
  <si>
    <t># Course Exit Survey of students  ( * Rating Scale )</t>
  </si>
  <si>
    <t>Average rating score out of 5</t>
  </si>
  <si>
    <t xml:space="preserve"> % Average rating score</t>
  </si>
  <si>
    <t># For Course End Survey ,Survey results are deduced  from random sample size of 10 students approximately</t>
  </si>
  <si>
    <t xml:space="preserve"> for individual courses per semester.</t>
  </si>
  <si>
    <t xml:space="preserve">Benchmark of Attainment level  against average survey rating </t>
  </si>
  <si>
    <t xml:space="preserve">Average  rating  score &gt; = 40 % </t>
  </si>
  <si>
    <t xml:space="preserve">Average rating  score &gt; = 65 % </t>
  </si>
  <si>
    <t xml:space="preserve">Average  rating  score  &gt; = 80 % </t>
  </si>
  <si>
    <t>For Course ExirSurvey</t>
  </si>
  <si>
    <t xml:space="preserve">     * Note  - For Indirect assessment , As survey taken for overall rating of courses, hence </t>
  </si>
  <si>
    <t>same attainment level is considered for all Cos.</t>
  </si>
  <si>
    <t xml:space="preserve">CO -PO  Attainment </t>
  </si>
  <si>
    <t>Set Corelation  of CO-PO Mapping</t>
  </si>
  <si>
    <r>
      <rPr>
        <b/>
        <sz val="12"/>
        <color theme="1"/>
        <rFont val="Times New Roman"/>
      </rPr>
      <t xml:space="preserve">Strength of corelation : </t>
    </r>
    <r>
      <rPr>
        <sz val="12"/>
        <color theme="1"/>
        <rFont val="Times New Roman"/>
      </rPr>
      <t>3</t>
    </r>
    <r>
      <rPr>
        <b/>
        <sz val="12"/>
        <color theme="1"/>
        <rFont val="Times New Roman"/>
      </rPr>
      <t xml:space="preserve"> - </t>
    </r>
    <r>
      <rPr>
        <sz val="12"/>
        <color theme="1"/>
        <rFont val="Times New Roman"/>
      </rPr>
      <t>high (Substantial), 2- medium, 1- low</t>
    </r>
  </si>
  <si>
    <t>PO8</t>
  </si>
  <si>
    <t>PO9</t>
  </si>
  <si>
    <t>PO10</t>
  </si>
  <si>
    <t>Basic Knowledge</t>
  </si>
  <si>
    <t>Discipline Knowledge</t>
  </si>
  <si>
    <t>Experiments and Practice</t>
  </si>
  <si>
    <t>Engineering tools</t>
  </si>
  <si>
    <t>The Engineer and Society</t>
  </si>
  <si>
    <t>Environment and Sustainability</t>
  </si>
  <si>
    <t>Ethics</t>
  </si>
  <si>
    <t>Individual and Team work</t>
  </si>
  <si>
    <t>Communication</t>
  </si>
  <si>
    <t>Life-long learning</t>
  </si>
  <si>
    <t>Modern software Usage</t>
  </si>
  <si>
    <t>Measurement of  mechanical equipments</t>
  </si>
  <si>
    <t>Apply the laws of thermodynamics to devices based on thermodynamics</t>
  </si>
  <si>
    <t>Use first law of thermodynamic for ideal gas in closed systems</t>
  </si>
  <si>
    <t>Use relevant steam boilers</t>
  </si>
  <si>
    <t>Use relevant steam nozzles and turbines</t>
  </si>
  <si>
    <t>Use relevant steam condensers</t>
  </si>
  <si>
    <t>CO6</t>
  </si>
  <si>
    <t>Use suitable modes for heat transfer</t>
  </si>
  <si>
    <t>Contribution to PO</t>
  </si>
  <si>
    <t>Course-PO attainment</t>
  </si>
  <si>
    <t xml:space="preserve"> % Course-PO attainment</t>
  </si>
  <si>
    <t>Overall CO Attainment</t>
  </si>
  <si>
    <t>Overall Course CO Attainment</t>
  </si>
  <si>
    <t xml:space="preserve">Final Direct Course Attainment Calculation </t>
  </si>
  <si>
    <t xml:space="preserve">Final Indirect Course Attainment Calculation </t>
  </si>
  <si>
    <r>
      <rPr>
        <sz val="11"/>
        <color theme="1"/>
        <rFont val="Calibri"/>
      </rPr>
      <t xml:space="preserve">                </t>
    </r>
    <r>
      <rPr>
        <b/>
        <sz val="11"/>
        <color theme="1"/>
        <rFont val="Calibri"/>
      </rPr>
      <t xml:space="preserve"> COS</t>
    </r>
  </si>
  <si>
    <t>Internal</t>
  </si>
  <si>
    <t>External</t>
  </si>
  <si>
    <t>Unit Tests</t>
  </si>
  <si>
    <t>PA_Term Work</t>
  </si>
  <si>
    <t xml:space="preserve">Micro- Project </t>
  </si>
  <si>
    <t>PR-ESE</t>
  </si>
  <si>
    <t>E.S.E Board</t>
  </si>
  <si>
    <t>Course Exit Survey</t>
  </si>
  <si>
    <t xml:space="preserve">Average Attainment </t>
  </si>
  <si>
    <t>Indiviual Weightage (%)</t>
  </si>
  <si>
    <t xml:space="preserve">Direct Total Attainment </t>
  </si>
  <si>
    <t xml:space="preserve">Total Direct Course Attainment </t>
  </si>
  <si>
    <t xml:space="preserve">Total Indirect Course Attainment </t>
  </si>
  <si>
    <t xml:space="preserve">Overall Weightage </t>
  </si>
  <si>
    <t xml:space="preserve">Weightage </t>
  </si>
  <si>
    <t xml:space="preserve">Final Direct Course Attainment </t>
  </si>
  <si>
    <t>Final  Indirect Course Attainment</t>
  </si>
  <si>
    <t>Overall Course CO Attainment (B)</t>
  </si>
  <si>
    <t>Template sheet is Prepared by Prof. A.B.Bhure</t>
  </si>
  <si>
    <t xml:space="preserve">L.M.E., P.L.G.P. Latur </t>
  </si>
  <si>
    <t>DIRECT CO ASSESSMENT TOOL/COURSE EVALUATION PLAN</t>
  </si>
  <si>
    <t>TH-PA</t>
  </si>
  <si>
    <t>FA-PR</t>
  </si>
  <si>
    <t>SA-PR</t>
  </si>
  <si>
    <t>TH-ESE</t>
  </si>
  <si>
    <t>TOTAL</t>
  </si>
  <si>
    <t>U.Test I</t>
  </si>
  <si>
    <t>U. Test II</t>
  </si>
  <si>
    <t>SLA</t>
  </si>
  <si>
    <t>Practical Exam</t>
  </si>
  <si>
    <t>MAX MARKS AS PER TEACHING SCHEME</t>
  </si>
  <si>
    <t>INDIVIDUAL WEIGHTAGE (%)</t>
  </si>
  <si>
    <r>
      <rPr>
        <sz val="11"/>
        <color theme="1"/>
        <rFont val="Calibri"/>
      </rPr>
      <t xml:space="preserve">                </t>
    </r>
    <r>
      <rPr>
        <b/>
        <sz val="11"/>
        <color theme="1"/>
        <rFont val="Calibri"/>
      </rPr>
      <t xml:space="preserve"> COS</t>
    </r>
  </si>
  <si>
    <t xml:space="preserve">CO -PO  Actual Attainment </t>
  </si>
  <si>
    <r>
      <rPr>
        <b/>
        <sz val="12"/>
        <color theme="1"/>
        <rFont val="Times New Roman"/>
      </rPr>
      <t xml:space="preserve">Strength of correlation : </t>
    </r>
    <r>
      <rPr>
        <sz val="12"/>
        <color theme="1"/>
        <rFont val="Times New Roman"/>
      </rPr>
      <t>3</t>
    </r>
    <r>
      <rPr>
        <b/>
        <sz val="12"/>
        <color theme="1"/>
        <rFont val="Times New Roman"/>
      </rPr>
      <t xml:space="preserve"> - </t>
    </r>
    <r>
      <rPr>
        <sz val="12"/>
        <color theme="1"/>
        <rFont val="Times New Roman"/>
      </rPr>
      <t>high (Substantial), 2- medium(moderate), 1- low, No relation : '-'</t>
    </r>
  </si>
  <si>
    <t>Average Contribution of each CO to each PO (A)</t>
  </si>
  <si>
    <t>Course CO-PO ACTUAL ATTAINMENT LEVEL= ((AxB)/3)</t>
  </si>
  <si>
    <t xml:space="preserve">          HOD Computer</t>
  </si>
  <si>
    <t>Justification for Mapping</t>
  </si>
  <si>
    <r>
      <t>CO1 -&gt; PSO1 (1):</t>
    </r>
    <r>
      <rPr>
        <sz val="11"/>
        <color theme="1"/>
        <rFont val="Arial"/>
        <family val="2"/>
      </rPr>
      <t xml:space="preserve"> Identifying relevant technical topics requires foundational knowledge of hardware/software trends.</t>
    </r>
  </si>
  <si>
    <t>CO2 -&gt; PSO1 (2) &amp; PSO2 (1): Researching technical content heavily relies on software/hardware architectural knowledge, with a secondary need to understand system requirements for data processing.</t>
  </si>
  <si>
    <t>CO3 -&gt; PSO1 (1): Effective communication of technical concepts is a key skill for software/hardware engineers.</t>
  </si>
  <si>
    <t>CO5 -&gt; PSO1 (2) &amp; PSO2 (3): This is the strongest link. Successful project initiation—including planning, resource allocation, and problem statement formulation—is directly dependent on the ability to architect, maintain, and optimize computing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</si>
</sst>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1" x14ac:knownFonts="1">
    <font>
      <sz val="11"/>
      <color theme="1"/>
      <name val="Calibri"/>
      <scheme val="minor"/>
    </font>
    <font>
      <sz val="18"/>
      <color theme="1"/>
      <name val="Algerian"/>
    </font>
    <font>
      <sz val="11"/>
      <color theme="1"/>
      <name val="Algerian"/>
    </font>
    <font>
      <sz val="11"/>
      <color theme="1"/>
      <name val="Calibri"/>
    </font>
    <font>
      <b/>
      <sz val="11"/>
      <color theme="1"/>
      <name val="Times New Roman"/>
    </font>
    <font>
      <sz val="11"/>
      <color theme="1"/>
      <name val="Times New Roman"/>
    </font>
    <font>
      <sz val="11"/>
      <name val="Calibri"/>
    </font>
    <font>
      <b/>
      <sz val="12"/>
      <color theme="1"/>
      <name val="Times New Roman"/>
    </font>
    <font>
      <sz val="10"/>
      <color theme="1"/>
      <name val="Times New Roman"/>
    </font>
    <font>
      <b/>
      <sz val="14"/>
      <color theme="1"/>
      <name val="Times New Roman"/>
    </font>
    <font>
      <b/>
      <sz val="9"/>
      <color theme="1"/>
      <name val="Times New Roman"/>
    </font>
    <font>
      <b/>
      <sz val="10"/>
      <color theme="1"/>
      <name val="Times New Roman"/>
    </font>
    <font>
      <sz val="10"/>
      <color theme="1"/>
      <name val="Calibri"/>
    </font>
    <font>
      <b/>
      <sz val="11"/>
      <color rgb="FF000000"/>
      <name val="Times New Roman"/>
    </font>
    <font>
      <b/>
      <sz val="11"/>
      <color theme="1"/>
      <name val="Times New Roman"/>
    </font>
    <font>
      <i/>
      <u/>
      <sz val="11"/>
      <color theme="1"/>
      <name val="Calibri"/>
    </font>
    <font>
      <i/>
      <u/>
      <sz val="11"/>
      <color theme="1"/>
      <name val="Calibri"/>
    </font>
    <font>
      <b/>
      <u/>
      <sz val="16"/>
      <color theme="1"/>
      <name val="Algerian"/>
    </font>
    <font>
      <i/>
      <sz val="10"/>
      <color theme="1"/>
      <name val="Times New Roman"/>
    </font>
    <font>
      <b/>
      <i/>
      <sz val="11"/>
      <color theme="1"/>
      <name val="Times New Roman"/>
    </font>
    <font>
      <b/>
      <u/>
      <sz val="16"/>
      <color theme="1"/>
      <name val="Times New Roman"/>
    </font>
    <font>
      <b/>
      <u/>
      <sz val="16"/>
      <color theme="1"/>
      <name val="Times New Roman"/>
    </font>
    <font>
      <b/>
      <sz val="12"/>
      <color theme="1"/>
      <name val="Calibri"/>
    </font>
    <font>
      <b/>
      <sz val="11"/>
      <color theme="1"/>
      <name val="Calibri"/>
    </font>
    <font>
      <b/>
      <u/>
      <sz val="16"/>
      <color theme="1"/>
      <name val="Times New Roman"/>
    </font>
    <font>
      <sz val="11"/>
      <color theme="1"/>
      <name val="Arial"/>
    </font>
    <font>
      <b/>
      <sz val="11"/>
      <color theme="1"/>
      <name val="Arial"/>
    </font>
    <font>
      <sz val="11"/>
      <color rgb="FFFF0000"/>
      <name val="Times New Roman"/>
    </font>
    <font>
      <sz val="22"/>
      <color theme="1"/>
      <name val="Calibri"/>
    </font>
    <font>
      <b/>
      <sz val="18"/>
      <color rgb="FF7030A0"/>
      <name val="Calibri"/>
    </font>
    <font>
      <b/>
      <sz val="16"/>
      <color rgb="FF7030A0"/>
      <name val="Calibri"/>
    </font>
    <font>
      <i/>
      <sz val="11"/>
      <color theme="1"/>
      <name val="Calibri"/>
    </font>
    <font>
      <b/>
      <sz val="11"/>
      <color rgb="FF7030A0"/>
      <name val="Calibri"/>
    </font>
    <font>
      <sz val="11"/>
      <color rgb="FF7030A0"/>
      <name val="Calibri"/>
    </font>
    <font>
      <b/>
      <sz val="14"/>
      <color rgb="FF7030A0"/>
      <name val="Calibri"/>
    </font>
    <font>
      <b/>
      <sz val="16"/>
      <color theme="1"/>
      <name val="Calibri"/>
    </font>
    <font>
      <b/>
      <sz val="10"/>
      <color rgb="FF000000"/>
      <name val="Times New Roman"/>
    </font>
    <font>
      <sz val="12"/>
      <color theme="1"/>
      <name val="Times New Roman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CCECFF"/>
        <bgColor rgb="FFCCECFF"/>
      </patternFill>
    </fill>
    <fill>
      <patternFill patternType="solid">
        <fgColor rgb="FFF0EEE4"/>
        <bgColor rgb="FFF0EEE4"/>
      </patternFill>
    </fill>
    <fill>
      <patternFill patternType="solid">
        <fgColor rgb="FFFDE9D9"/>
        <bgColor rgb="FFFDE9D9"/>
      </patternFill>
    </fill>
    <fill>
      <patternFill patternType="solid">
        <fgColor rgb="FFECFFD9"/>
        <bgColor rgb="FFECFFD9"/>
      </patternFill>
    </fill>
    <fill>
      <patternFill patternType="solid">
        <fgColor rgb="FFFBE4FC"/>
        <bgColor rgb="FFFBE4FC"/>
      </patternFill>
    </fill>
    <fill>
      <patternFill patternType="solid">
        <fgColor rgb="FFE1FFFF"/>
        <bgColor rgb="FFE1FFFF"/>
      </patternFill>
    </fill>
    <fill>
      <patternFill patternType="solid">
        <fgColor rgb="FFFFE4C9"/>
        <bgColor rgb="FFFFE4C9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</fills>
  <borders count="9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26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0" borderId="0" xfId="0" applyFont="1"/>
    <xf numFmtId="0" fontId="5" fillId="0" borderId="0" xfId="0" applyFont="1" applyAlignment="1">
      <alignment horizontal="right" vertical="center"/>
    </xf>
    <xf numFmtId="0" fontId="5" fillId="0" borderId="0" xfId="0" applyFont="1"/>
    <xf numFmtId="0" fontId="7" fillId="0" borderId="0" xfId="0" applyFont="1"/>
    <xf numFmtId="0" fontId="8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7" fillId="0" borderId="0" xfId="0" applyFont="1" applyAlignment="1">
      <alignment vertical="center"/>
    </xf>
    <xf numFmtId="0" fontId="10" fillId="3" borderId="17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wrapText="1"/>
    </xf>
    <xf numFmtId="0" fontId="10" fillId="3" borderId="17" xfId="0" applyFont="1" applyFill="1" applyBorder="1" applyAlignment="1">
      <alignment horizontal="center" vertical="center" textRotation="90" wrapText="1"/>
    </xf>
    <xf numFmtId="0" fontId="10" fillId="3" borderId="17" xfId="0" applyFont="1" applyFill="1" applyBorder="1" applyAlignment="1">
      <alignment horizontal="center" textRotation="90" wrapText="1"/>
    </xf>
    <xf numFmtId="0" fontId="11" fillId="3" borderId="21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wrapText="1"/>
    </xf>
    <xf numFmtId="0" fontId="11" fillId="4" borderId="17" xfId="0" applyFont="1" applyFill="1" applyBorder="1" applyAlignment="1">
      <alignment horizontal="center" vertical="center" wrapText="1"/>
    </xf>
    <xf numFmtId="2" fontId="11" fillId="4" borderId="17" xfId="0" applyNumberFormat="1" applyFont="1" applyFill="1" applyBorder="1" applyAlignment="1">
      <alignment horizontal="center" vertical="center" wrapText="1"/>
    </xf>
    <xf numFmtId="0" fontId="14" fillId="4" borderId="17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5" borderId="1" xfId="0" applyFont="1" applyFill="1" applyBorder="1"/>
    <xf numFmtId="0" fontId="7" fillId="6" borderId="5" xfId="0" applyFont="1" applyFill="1" applyBorder="1" applyAlignment="1">
      <alignment vertical="center" shrinkToFit="1"/>
    </xf>
    <xf numFmtId="0" fontId="18" fillId="2" borderId="5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wrapText="1"/>
    </xf>
    <xf numFmtId="0" fontId="19" fillId="2" borderId="5" xfId="0" applyFont="1" applyFill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right"/>
    </xf>
    <xf numFmtId="0" fontId="3" fillId="0" borderId="5" xfId="0" applyFont="1" applyBorder="1"/>
    <xf numFmtId="0" fontId="5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wrapText="1"/>
    </xf>
    <xf numFmtId="9" fontId="7" fillId="0" borderId="16" xfId="0" applyNumberFormat="1" applyFont="1" applyBorder="1" applyAlignment="1">
      <alignment vertical="center"/>
    </xf>
    <xf numFmtId="0" fontId="4" fillId="3" borderId="34" xfId="0" applyFont="1" applyFill="1" applyBorder="1" applyAlignment="1">
      <alignment vertical="center" wrapText="1"/>
    </xf>
    <xf numFmtId="0" fontId="5" fillId="0" borderId="39" xfId="0" applyFont="1" applyBorder="1" applyAlignment="1">
      <alignment horizontal="left" vertical="center"/>
    </xf>
    <xf numFmtId="164" fontId="5" fillId="3" borderId="40" xfId="0" applyNumberFormat="1" applyFont="1" applyFill="1" applyBorder="1" applyAlignment="1">
      <alignment horizontal="center" vertical="center"/>
    </xf>
    <xf numFmtId="164" fontId="5" fillId="3" borderId="44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164" fontId="5" fillId="3" borderId="17" xfId="0" applyNumberFormat="1" applyFont="1" applyFill="1" applyBorder="1" applyAlignment="1">
      <alignment horizontal="center" vertical="center"/>
    </xf>
    <xf numFmtId="0" fontId="5" fillId="3" borderId="1" xfId="0" applyFont="1" applyFill="1" applyBorder="1"/>
    <xf numFmtId="0" fontId="7" fillId="3" borderId="50" xfId="0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center" vertical="center"/>
    </xf>
    <xf numFmtId="0" fontId="5" fillId="3" borderId="54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22" fillId="3" borderId="55" xfId="0" applyFont="1" applyFill="1" applyBorder="1" applyAlignment="1">
      <alignment horizontal="center" vertical="center" wrapText="1"/>
    </xf>
    <xf numFmtId="0" fontId="22" fillId="2" borderId="21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3" fillId="3" borderId="22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4" fillId="3" borderId="22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/>
    </xf>
    <xf numFmtId="0" fontId="3" fillId="3" borderId="1" xfId="0" applyFont="1" applyFill="1" applyBorder="1"/>
    <xf numFmtId="9" fontId="5" fillId="0" borderId="56" xfId="0" applyNumberFormat="1" applyFont="1" applyBorder="1" applyAlignment="1">
      <alignment vertical="center"/>
    </xf>
    <xf numFmtId="0" fontId="5" fillId="3" borderId="40" xfId="0" applyFont="1" applyFill="1" applyBorder="1" applyAlignment="1">
      <alignment vertical="center"/>
    </xf>
    <xf numFmtId="0" fontId="4" fillId="3" borderId="58" xfId="0" applyFont="1" applyFill="1" applyBorder="1" applyAlignment="1">
      <alignment horizontal="center" vertical="center"/>
    </xf>
    <xf numFmtId="9" fontId="5" fillId="0" borderId="6" xfId="0" applyNumberFormat="1" applyFont="1" applyBorder="1" applyAlignment="1">
      <alignment vertical="center"/>
    </xf>
    <xf numFmtId="0" fontId="5" fillId="3" borderId="60" xfId="0" applyFont="1" applyFill="1" applyBorder="1" applyAlignment="1">
      <alignment vertical="center"/>
    </xf>
    <xf numFmtId="0" fontId="4" fillId="3" borderId="61" xfId="0" applyFont="1" applyFill="1" applyBorder="1" applyAlignment="1">
      <alignment horizontal="center" vertical="center"/>
    </xf>
    <xf numFmtId="9" fontId="5" fillId="0" borderId="62" xfId="0" applyNumberFormat="1" applyFont="1" applyBorder="1" applyAlignment="1">
      <alignment vertical="center"/>
    </xf>
    <xf numFmtId="0" fontId="5" fillId="3" borderId="64" xfId="0" applyFont="1" applyFill="1" applyBorder="1" applyAlignment="1">
      <alignment vertical="center"/>
    </xf>
    <xf numFmtId="0" fontId="4" fillId="3" borderId="6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4" fillId="0" borderId="0" xfId="0" applyFont="1" applyAlignment="1">
      <alignment vertical="top"/>
    </xf>
    <xf numFmtId="0" fontId="5" fillId="0" borderId="5" xfId="0" applyFont="1" applyBorder="1" applyAlignment="1">
      <alignment horizontal="left" vertical="center"/>
    </xf>
    <xf numFmtId="0" fontId="25" fillId="2" borderId="5" xfId="0" applyFont="1" applyFill="1" applyBorder="1" applyAlignment="1">
      <alignment horizontal="center"/>
    </xf>
    <xf numFmtId="0" fontId="25" fillId="2" borderId="0" xfId="0" applyFont="1" applyFill="1" applyAlignment="1">
      <alignment horizontal="center"/>
    </xf>
    <xf numFmtId="0" fontId="26" fillId="2" borderId="5" xfId="0" applyFont="1" applyFill="1" applyBorder="1" applyAlignment="1">
      <alignment horizontal="center"/>
    </xf>
    <xf numFmtId="0" fontId="22" fillId="3" borderId="55" xfId="0" applyFont="1" applyFill="1" applyBorder="1" applyAlignment="1">
      <alignment horizontal="left" vertical="center" wrapText="1"/>
    </xf>
    <xf numFmtId="0" fontId="22" fillId="0" borderId="18" xfId="0" applyFont="1" applyBorder="1" applyAlignment="1">
      <alignment horizontal="center" vertical="center" wrapText="1"/>
    </xf>
    <xf numFmtId="0" fontId="4" fillId="3" borderId="22" xfId="0" applyFont="1" applyFill="1" applyBorder="1" applyAlignment="1">
      <alignment vertical="center" wrapText="1"/>
    </xf>
    <xf numFmtId="0" fontId="5" fillId="3" borderId="69" xfId="0" applyFont="1" applyFill="1" applyBorder="1" applyAlignment="1">
      <alignment horizontal="center" vertical="center"/>
    </xf>
    <xf numFmtId="0" fontId="5" fillId="3" borderId="70" xfId="0" applyFont="1" applyFill="1" applyBorder="1" applyAlignment="1">
      <alignment horizontal="center" vertical="center"/>
    </xf>
    <xf numFmtId="0" fontId="5" fillId="3" borderId="64" xfId="0" applyFont="1" applyFill="1" applyBorder="1" applyAlignment="1">
      <alignment horizontal="center" vertical="center"/>
    </xf>
    <xf numFmtId="0" fontId="4" fillId="3" borderId="72" xfId="0" applyFont="1" applyFill="1" applyBorder="1" applyAlignment="1">
      <alignment horizontal="center" vertical="center"/>
    </xf>
    <xf numFmtId="0" fontId="4" fillId="3" borderId="73" xfId="0" applyFont="1" applyFill="1" applyBorder="1" applyAlignment="1">
      <alignment horizontal="center" vertical="center"/>
    </xf>
    <xf numFmtId="0" fontId="5" fillId="3" borderId="51" xfId="0" applyFont="1" applyFill="1" applyBorder="1" applyAlignment="1">
      <alignment horizontal="center" vertical="center"/>
    </xf>
    <xf numFmtId="0" fontId="5" fillId="3" borderId="5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4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2" fillId="0" borderId="0" xfId="0" applyFont="1"/>
    <xf numFmtId="0" fontId="19" fillId="6" borderId="21" xfId="0" applyFont="1" applyFill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27" fillId="0" borderId="61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/>
    </xf>
    <xf numFmtId="0" fontId="4" fillId="0" borderId="22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4" fillId="2" borderId="72" xfId="0" applyFont="1" applyFill="1" applyBorder="1" applyAlignment="1">
      <alignment horizontal="center" vertical="center"/>
    </xf>
    <xf numFmtId="0" fontId="4" fillId="2" borderId="73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/>
    </xf>
    <xf numFmtId="0" fontId="5" fillId="2" borderId="52" xfId="0" applyFont="1" applyFill="1" applyBorder="1" applyAlignment="1">
      <alignment horizontal="center" vertical="center"/>
    </xf>
    <xf numFmtId="0" fontId="28" fillId="2" borderId="1" xfId="0" applyFont="1" applyFill="1" applyBorder="1"/>
    <xf numFmtId="0" fontId="10" fillId="3" borderId="22" xfId="0" applyFont="1" applyFill="1" applyBorder="1" applyAlignment="1">
      <alignment horizontal="center" vertical="center" textRotation="90" wrapText="1"/>
    </xf>
    <xf numFmtId="0" fontId="10" fillId="3" borderId="34" xfId="0" applyFont="1" applyFill="1" applyBorder="1" applyAlignment="1">
      <alignment horizontal="center" vertical="center" textRotation="90" wrapText="1"/>
    </xf>
    <xf numFmtId="0" fontId="11" fillId="0" borderId="18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81" xfId="0" applyFont="1" applyBorder="1" applyAlignment="1">
      <alignment horizontal="center" vertical="center" wrapText="1"/>
    </xf>
    <xf numFmtId="0" fontId="3" fillId="0" borderId="72" xfId="0" applyFont="1" applyBorder="1" applyAlignment="1">
      <alignment horizontal="center" vertical="center" wrapText="1"/>
    </xf>
    <xf numFmtId="0" fontId="3" fillId="0" borderId="7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3" fillId="0" borderId="58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 wrapText="1"/>
    </xf>
    <xf numFmtId="0" fontId="31" fillId="14" borderId="82" xfId="0" applyFont="1" applyFill="1" applyBorder="1" applyAlignment="1">
      <alignment horizontal="center" vertical="center"/>
    </xf>
    <xf numFmtId="0" fontId="23" fillId="0" borderId="65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 wrapText="1"/>
    </xf>
    <xf numFmtId="9" fontId="33" fillId="0" borderId="22" xfId="0" applyNumberFormat="1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4" fillId="0" borderId="11" xfId="0" applyFont="1" applyBorder="1" applyAlignment="1">
      <alignment vertical="center"/>
    </xf>
    <xf numFmtId="0" fontId="34" fillId="0" borderId="13" xfId="0" applyFont="1" applyBorder="1" applyAlignment="1">
      <alignment vertical="center"/>
    </xf>
    <xf numFmtId="0" fontId="3" fillId="3" borderId="51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2" fontId="3" fillId="3" borderId="54" xfId="0" applyNumberFormat="1" applyFont="1" applyFill="1" applyBorder="1" applyAlignment="1">
      <alignment horizontal="center" vertical="center"/>
    </xf>
    <xf numFmtId="2" fontId="3" fillId="3" borderId="87" xfId="0" applyNumberFormat="1" applyFont="1" applyFill="1" applyBorder="1" applyAlignment="1">
      <alignment horizontal="center" vertical="center"/>
    </xf>
    <xf numFmtId="0" fontId="3" fillId="3" borderId="88" xfId="0" applyFont="1" applyFill="1" applyBorder="1" applyAlignment="1">
      <alignment vertical="center"/>
    </xf>
    <xf numFmtId="0" fontId="3" fillId="3" borderId="89" xfId="0" applyFont="1" applyFill="1" applyBorder="1" applyAlignment="1">
      <alignment horizontal="center" vertical="center"/>
    </xf>
    <xf numFmtId="0" fontId="3" fillId="3" borderId="89" xfId="0" applyFont="1" applyFill="1" applyBorder="1" applyAlignment="1">
      <alignment vertical="center"/>
    </xf>
    <xf numFmtId="0" fontId="3" fillId="3" borderId="90" xfId="0" applyFont="1" applyFill="1" applyBorder="1" applyAlignment="1">
      <alignment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81" xfId="0" applyFont="1" applyFill="1" applyBorder="1" applyAlignment="1">
      <alignment horizontal="center" vertical="center" wrapText="1"/>
    </xf>
    <xf numFmtId="0" fontId="3" fillId="3" borderId="72" xfId="0" applyFont="1" applyFill="1" applyBorder="1" applyAlignment="1">
      <alignment horizontal="center" vertical="center" wrapText="1"/>
    </xf>
    <xf numFmtId="0" fontId="3" fillId="3" borderId="72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23" fillId="3" borderId="58" xfId="0" applyFont="1" applyFill="1" applyBorder="1" applyAlignment="1">
      <alignment horizontal="center" vertical="center"/>
    </xf>
    <xf numFmtId="0" fontId="3" fillId="3" borderId="91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23" fillId="3" borderId="61" xfId="0" applyFont="1" applyFill="1" applyBorder="1" applyAlignment="1">
      <alignment horizontal="center" vertical="center"/>
    </xf>
    <xf numFmtId="0" fontId="3" fillId="3" borderId="8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4" xfId="0" applyFont="1" applyFill="1" applyBorder="1" applyAlignment="1">
      <alignment horizontal="center" vertical="center"/>
    </xf>
    <xf numFmtId="0" fontId="23" fillId="3" borderId="65" xfId="0" applyFont="1" applyFill="1" applyBorder="1" applyAlignment="1">
      <alignment horizontal="center" vertical="center"/>
    </xf>
    <xf numFmtId="0" fontId="3" fillId="3" borderId="92" xfId="0" applyFont="1" applyFill="1" applyBorder="1" applyAlignment="1">
      <alignment horizontal="center" vertical="center"/>
    </xf>
    <xf numFmtId="0" fontId="3" fillId="3" borderId="75" xfId="0" applyFont="1" applyFill="1" applyBorder="1" applyAlignment="1">
      <alignment horizontal="center" vertical="center"/>
    </xf>
    <xf numFmtId="0" fontId="23" fillId="3" borderId="61" xfId="0" applyFont="1" applyFill="1" applyBorder="1" applyAlignment="1">
      <alignment horizontal="center" vertical="center" wrapText="1"/>
    </xf>
    <xf numFmtId="2" fontId="31" fillId="3" borderId="82" xfId="0" applyNumberFormat="1" applyFont="1" applyFill="1" applyBorder="1" applyAlignment="1">
      <alignment horizontal="center" vertical="center"/>
    </xf>
    <xf numFmtId="0" fontId="23" fillId="3" borderId="65" xfId="0" applyFont="1" applyFill="1" applyBorder="1" applyAlignment="1">
      <alignment horizontal="center" vertical="center" wrapText="1"/>
    </xf>
    <xf numFmtId="2" fontId="3" fillId="3" borderId="92" xfId="0" applyNumberFormat="1" applyFont="1" applyFill="1" applyBorder="1" applyAlignment="1">
      <alignment horizontal="center" vertical="center"/>
    </xf>
    <xf numFmtId="2" fontId="33" fillId="3" borderId="22" xfId="0" applyNumberFormat="1" applyFont="1" applyFill="1" applyBorder="1" applyAlignment="1">
      <alignment horizontal="center" vertical="center"/>
    </xf>
    <xf numFmtId="0" fontId="32" fillId="3" borderId="22" xfId="0" applyFont="1" applyFill="1" applyBorder="1" applyAlignment="1">
      <alignment horizontal="center" vertical="center" wrapText="1"/>
    </xf>
    <xf numFmtId="0" fontId="33" fillId="3" borderId="22" xfId="0" applyFont="1" applyFill="1" applyBorder="1" applyAlignment="1">
      <alignment horizontal="center" vertical="center"/>
    </xf>
    <xf numFmtId="9" fontId="33" fillId="3" borderId="22" xfId="0" applyNumberFormat="1" applyFont="1" applyFill="1" applyBorder="1" applyAlignment="1">
      <alignment horizontal="center" vertical="center"/>
    </xf>
    <xf numFmtId="0" fontId="32" fillId="3" borderId="22" xfId="0" applyFont="1" applyFill="1" applyBorder="1" applyAlignment="1">
      <alignment horizontal="center" vertical="center"/>
    </xf>
    <xf numFmtId="2" fontId="34" fillId="4" borderId="88" xfId="0" applyNumberFormat="1" applyFont="1" applyFill="1" applyBorder="1" applyAlignment="1">
      <alignment vertical="center"/>
    </xf>
    <xf numFmtId="0" fontId="34" fillId="4" borderId="34" xfId="0" applyFont="1" applyFill="1" applyBorder="1" applyAlignment="1">
      <alignment vertical="center"/>
    </xf>
    <xf numFmtId="0" fontId="8" fillId="3" borderId="17" xfId="0" applyFont="1" applyFill="1" applyBorder="1" applyAlignment="1">
      <alignment horizontal="center" vertical="center" wrapText="1"/>
    </xf>
    <xf numFmtId="0" fontId="36" fillId="4" borderId="17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5" fillId="2" borderId="6" xfId="0" applyFont="1" applyFill="1" applyBorder="1" applyAlignment="1">
      <alignment horizontal="left" vertical="center" wrapText="1"/>
    </xf>
    <xf numFmtId="0" fontId="6" fillId="0" borderId="7" xfId="0" applyFont="1" applyBorder="1"/>
    <xf numFmtId="0" fontId="7" fillId="3" borderId="8" xfId="0" applyFont="1" applyFill="1" applyBorder="1" applyAlignment="1">
      <alignment horizontal="center" vertical="center" wrapText="1"/>
    </xf>
    <xf numFmtId="0" fontId="6" fillId="0" borderId="14" xfId="0" applyFont="1" applyBorder="1"/>
    <xf numFmtId="0" fontId="6" fillId="0" borderId="18" xfId="0" applyFont="1" applyBorder="1"/>
    <xf numFmtId="0" fontId="7" fillId="3" borderId="9" xfId="0" applyFont="1" applyFill="1" applyBorder="1" applyAlignment="1">
      <alignment horizontal="center" vertical="center" wrapText="1"/>
    </xf>
    <xf numFmtId="0" fontId="6" fillId="0" borderId="10" xfId="0" applyFont="1" applyBorder="1"/>
    <xf numFmtId="0" fontId="6" fillId="0" borderId="15" xfId="0" applyFont="1" applyBorder="1"/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/>
    <xf numFmtId="0" fontId="7" fillId="3" borderId="11" xfId="0" applyFont="1" applyFill="1" applyBorder="1" applyAlignment="1">
      <alignment horizontal="center" vertical="center" wrapText="1"/>
    </xf>
    <xf numFmtId="0" fontId="6" fillId="0" borderId="12" xfId="0" applyFont="1" applyBorder="1"/>
    <xf numFmtId="0" fontId="6" fillId="0" borderId="13" xfId="0" applyFont="1" applyBorder="1"/>
    <xf numFmtId="0" fontId="7" fillId="3" borderId="11" xfId="0" applyFont="1" applyFill="1" applyBorder="1" applyAlignment="1">
      <alignment horizont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3" fillId="5" borderId="23" xfId="0" applyFont="1" applyFill="1" applyBorder="1" applyAlignment="1">
      <alignment horizontal="center"/>
    </xf>
    <xf numFmtId="0" fontId="6" fillId="0" borderId="4" xfId="0" applyFont="1" applyBorder="1"/>
    <xf numFmtId="0" fontId="6" fillId="0" borderId="3" xfId="0" applyFont="1" applyBorder="1"/>
    <xf numFmtId="0" fontId="3" fillId="0" borderId="24" xfId="0" applyFont="1" applyBorder="1" applyAlignment="1">
      <alignment horizontal="center" vertical="center"/>
    </xf>
    <xf numFmtId="0" fontId="6" fillId="0" borderId="24" xfId="0" applyFont="1" applyBorder="1"/>
    <xf numFmtId="0" fontId="15" fillId="0" borderId="25" xfId="0" applyFont="1" applyBorder="1" applyAlignment="1">
      <alignment horizontal="center" vertical="center"/>
    </xf>
    <xf numFmtId="0" fontId="0" fillId="0" borderId="0" xfId="0"/>
    <xf numFmtId="0" fontId="16" fillId="0" borderId="25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4" fillId="9" borderId="26" xfId="0" applyFont="1" applyFill="1" applyBorder="1" applyAlignment="1">
      <alignment horizontal="center" vertical="center" wrapText="1"/>
    </xf>
    <xf numFmtId="0" fontId="6" fillId="0" borderId="27" xfId="0" applyFont="1" applyBorder="1"/>
    <xf numFmtId="0" fontId="6" fillId="0" borderId="30" xfId="0" applyFont="1" applyBorder="1"/>
    <xf numFmtId="0" fontId="4" fillId="10" borderId="26" xfId="0" applyFont="1" applyFill="1" applyBorder="1" applyAlignment="1">
      <alignment horizontal="center" vertical="center" wrapText="1"/>
    </xf>
    <xf numFmtId="0" fontId="4" fillId="6" borderId="26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2" fontId="5" fillId="3" borderId="3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5" fillId="3" borderId="37" xfId="0" applyFont="1" applyFill="1" applyBorder="1" applyAlignment="1">
      <alignment horizontal="center" vertical="center"/>
    </xf>
    <xf numFmtId="0" fontId="6" fillId="0" borderId="38" xfId="0" applyFont="1" applyBorder="1"/>
    <xf numFmtId="0" fontId="4" fillId="3" borderId="48" xfId="0" applyFont="1" applyFill="1" applyBorder="1" applyAlignment="1">
      <alignment horizontal="center" vertical="center"/>
    </xf>
    <xf numFmtId="0" fontId="6" fillId="0" borderId="49" xfId="0" applyFont="1" applyBorder="1"/>
    <xf numFmtId="0" fontId="5" fillId="3" borderId="23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 textRotation="90"/>
    </xf>
    <xf numFmtId="0" fontId="6" fillId="0" borderId="43" xfId="0" applyFont="1" applyBorder="1"/>
    <xf numFmtId="0" fontId="6" fillId="0" borderId="47" xfId="0" applyFont="1" applyBorder="1"/>
    <xf numFmtId="0" fontId="5" fillId="2" borderId="9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 wrapText="1"/>
    </xf>
    <xf numFmtId="0" fontId="4" fillId="8" borderId="26" xfId="0" applyFont="1" applyFill="1" applyBorder="1" applyAlignment="1">
      <alignment horizontal="center" vertical="center" wrapText="1"/>
    </xf>
    <xf numFmtId="0" fontId="4" fillId="11" borderId="26" xfId="0" applyFont="1" applyFill="1" applyBorder="1" applyAlignment="1">
      <alignment horizontal="center" vertical="center" wrapText="1"/>
    </xf>
    <xf numFmtId="0" fontId="4" fillId="12" borderId="26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 wrapText="1"/>
    </xf>
    <xf numFmtId="0" fontId="4" fillId="6" borderId="28" xfId="0" applyFont="1" applyFill="1" applyBorder="1" applyAlignment="1">
      <alignment horizontal="center" vertical="center" wrapText="1"/>
    </xf>
    <xf numFmtId="0" fontId="6" fillId="0" borderId="29" xfId="0" applyFont="1" applyBorder="1"/>
    <xf numFmtId="0" fontId="6" fillId="0" borderId="25" xfId="0" applyFont="1" applyBorder="1"/>
    <xf numFmtId="0" fontId="6" fillId="0" borderId="31" xfId="0" applyFont="1" applyBorder="1"/>
    <xf numFmtId="0" fontId="6" fillId="0" borderId="32" xfId="0" applyFont="1" applyBorder="1"/>
    <xf numFmtId="0" fontId="5" fillId="0" borderId="1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6" fillId="0" borderId="42" xfId="0" applyFont="1" applyBorder="1"/>
    <xf numFmtId="0" fontId="4" fillId="3" borderId="45" xfId="0" applyFont="1" applyFill="1" applyBorder="1" applyAlignment="1">
      <alignment horizontal="center" vertical="center"/>
    </xf>
    <xf numFmtId="0" fontId="6" fillId="0" borderId="46" xfId="0" applyFont="1" applyBorder="1"/>
    <xf numFmtId="0" fontId="20" fillId="0" borderId="0" xfId="0" applyFont="1" applyAlignment="1">
      <alignment horizontal="center" vertical="top"/>
    </xf>
    <xf numFmtId="0" fontId="5" fillId="3" borderId="2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5" fillId="3" borderId="59" xfId="0" applyFont="1" applyFill="1" applyBorder="1" applyAlignment="1">
      <alignment horizontal="left" vertical="center"/>
    </xf>
    <xf numFmtId="0" fontId="5" fillId="3" borderId="63" xfId="0" applyFont="1" applyFill="1" applyBorder="1" applyAlignment="1">
      <alignment horizontal="left" vertical="center"/>
    </xf>
    <xf numFmtId="0" fontId="7" fillId="3" borderId="66" xfId="0" applyFont="1" applyFill="1" applyBorder="1" applyAlignment="1">
      <alignment horizontal="center" vertical="center" wrapText="1"/>
    </xf>
    <xf numFmtId="0" fontId="6" fillId="0" borderId="67" xfId="0" applyFont="1" applyBorder="1"/>
    <xf numFmtId="0" fontId="7" fillId="3" borderId="48" xfId="0" applyFont="1" applyFill="1" applyBorder="1" applyAlignment="1">
      <alignment horizontal="center" vertical="center"/>
    </xf>
    <xf numFmtId="0" fontId="6" fillId="0" borderId="68" xfId="0" applyFont="1" applyBorder="1"/>
    <xf numFmtId="2" fontId="23" fillId="3" borderId="33" xfId="0" applyNumberFormat="1" applyFont="1" applyFill="1" applyBorder="1" applyAlignment="1">
      <alignment horizontal="center" vertical="center"/>
    </xf>
    <xf numFmtId="0" fontId="5" fillId="3" borderId="57" xfId="0" applyFont="1" applyFill="1" applyBorder="1" applyAlignment="1">
      <alignment horizontal="left" vertical="center"/>
    </xf>
    <xf numFmtId="0" fontId="6" fillId="0" borderId="39" xfId="0" applyFont="1" applyBorder="1"/>
    <xf numFmtId="0" fontId="5" fillId="2" borderId="8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22" fillId="3" borderId="33" xfId="0" applyFont="1" applyFill="1" applyBorder="1" applyAlignment="1">
      <alignment horizontal="center" vertical="center" wrapText="1"/>
    </xf>
    <xf numFmtId="0" fontId="6" fillId="0" borderId="71" xfId="0" applyFont="1" applyBorder="1"/>
    <xf numFmtId="0" fontId="7" fillId="3" borderId="66" xfId="0" applyFont="1" applyFill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 wrapText="1"/>
    </xf>
    <xf numFmtId="0" fontId="7" fillId="3" borderId="48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6" fillId="0" borderId="78" xfId="0" applyFont="1" applyBorder="1"/>
    <xf numFmtId="0" fontId="5" fillId="0" borderId="62" xfId="0" applyFont="1" applyBorder="1" applyAlignment="1">
      <alignment horizontal="center" vertical="center"/>
    </xf>
    <xf numFmtId="0" fontId="6" fillId="0" borderId="79" xfId="0" applyFont="1" applyBorder="1"/>
    <xf numFmtId="0" fontId="7" fillId="2" borderId="11" xfId="0" applyFont="1" applyFill="1" applyBorder="1" applyAlignment="1">
      <alignment horizontal="center" vertical="center" wrapText="1"/>
    </xf>
    <xf numFmtId="0" fontId="7" fillId="2" borderId="66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/>
    </xf>
    <xf numFmtId="0" fontId="6" fillId="0" borderId="76" xfId="0" applyFont="1" applyBorder="1"/>
    <xf numFmtId="0" fontId="9" fillId="0" borderId="11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textRotation="90"/>
    </xf>
    <xf numFmtId="0" fontId="5" fillId="0" borderId="56" xfId="0" applyFont="1" applyBorder="1" applyAlignment="1">
      <alignment horizontal="center" vertical="center"/>
    </xf>
    <xf numFmtId="0" fontId="6" fillId="0" borderId="77" xfId="0" applyFont="1" applyBorder="1"/>
    <xf numFmtId="0" fontId="13" fillId="13" borderId="11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/>
    </xf>
    <xf numFmtId="0" fontId="3" fillId="0" borderId="19" xfId="0" applyFont="1" applyBorder="1" applyAlignment="1">
      <alignment horizontal="center" vertical="center"/>
    </xf>
    <xf numFmtId="0" fontId="6" fillId="0" borderId="80" xfId="0" applyFont="1" applyBorder="1"/>
    <xf numFmtId="0" fontId="3" fillId="0" borderId="11" xfId="0" applyFont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1" fillId="14" borderId="6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6" fillId="0" borderId="83" xfId="0" applyFont="1" applyBorder="1"/>
    <xf numFmtId="0" fontId="6" fillId="0" borderId="85" xfId="0" applyFont="1" applyBorder="1"/>
    <xf numFmtId="0" fontId="3" fillId="3" borderId="56" xfId="0" applyFont="1" applyFill="1" applyBorder="1" applyAlignment="1">
      <alignment horizontal="center" vertical="center"/>
    </xf>
    <xf numFmtId="0" fontId="3" fillId="3" borderId="84" xfId="0" applyFont="1" applyFill="1" applyBorder="1" applyAlignment="1">
      <alignment horizontal="center" vertical="center"/>
    </xf>
    <xf numFmtId="0" fontId="6" fillId="0" borderId="86" xfId="0" applyFont="1" applyBorder="1"/>
    <xf numFmtId="0" fontId="5" fillId="0" borderId="66" xfId="0" applyFont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5" fillId="3" borderId="48" xfId="0" applyFont="1" applyFill="1" applyBorder="1" applyAlignment="1">
      <alignment horizontal="center" vertical="center"/>
    </xf>
    <xf numFmtId="2" fontId="3" fillId="3" borderId="62" xfId="0" applyNumberFormat="1" applyFont="1" applyFill="1" applyBorder="1" applyAlignment="1">
      <alignment horizontal="center" vertical="center"/>
    </xf>
    <xf numFmtId="0" fontId="30" fillId="3" borderId="11" xfId="0" applyFont="1" applyFill="1" applyBorder="1" applyAlignment="1">
      <alignment horizontal="center" vertical="center"/>
    </xf>
    <xf numFmtId="0" fontId="35" fillId="3" borderId="11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center" vertical="center" wrapText="1"/>
    </xf>
    <xf numFmtId="0" fontId="3" fillId="3" borderId="66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2" fillId="3" borderId="11" xfId="0" applyFont="1" applyFill="1" applyBorder="1" applyAlignment="1">
      <alignment horizontal="center" vertical="center"/>
    </xf>
    <xf numFmtId="0" fontId="34" fillId="4" borderId="11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/>
    </xf>
    <xf numFmtId="0" fontId="31" fillId="3" borderId="45" xfId="0" applyFont="1" applyFill="1" applyBorder="1" applyAlignment="1">
      <alignment horizontal="center" vertical="center"/>
    </xf>
    <xf numFmtId="2" fontId="3" fillId="3" borderId="48" xfId="0" applyNumberFormat="1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0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32</xdr:row>
      <xdr:rowOff>66675</xdr:rowOff>
    </xdr:from>
    <xdr:ext cx="352425" cy="1619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79313" y="3708563"/>
          <a:ext cx="333375" cy="14287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66675</xdr:colOff>
      <xdr:row>33</xdr:row>
      <xdr:rowOff>142875</xdr:rowOff>
    </xdr:from>
    <xdr:ext cx="276225" cy="2190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217413" y="3679988"/>
          <a:ext cx="257175" cy="20002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66675</xdr:colOff>
      <xdr:row>32</xdr:row>
      <xdr:rowOff>66675</xdr:rowOff>
    </xdr:from>
    <xdr:ext cx="352425" cy="1619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79313" y="3708563"/>
          <a:ext cx="333375" cy="14287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66675</xdr:colOff>
      <xdr:row>32</xdr:row>
      <xdr:rowOff>66675</xdr:rowOff>
    </xdr:from>
    <xdr:ext cx="352425" cy="16192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79313" y="3708563"/>
          <a:ext cx="333375" cy="14287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66675</xdr:colOff>
      <xdr:row>33</xdr:row>
      <xdr:rowOff>142875</xdr:rowOff>
    </xdr:from>
    <xdr:ext cx="276225" cy="2190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217413" y="3679988"/>
          <a:ext cx="257175" cy="20002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1333500</xdr:colOff>
      <xdr:row>96</xdr:row>
      <xdr:rowOff>276225</xdr:rowOff>
    </xdr:from>
    <xdr:ext cx="114300" cy="1619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298375" y="3708563"/>
          <a:ext cx="95250" cy="142875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1371600</xdr:colOff>
      <xdr:row>96</xdr:row>
      <xdr:rowOff>219075</xdr:rowOff>
    </xdr:from>
    <xdr:ext cx="114300" cy="1524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5298375" y="3713325"/>
          <a:ext cx="95250" cy="1333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Y1000"/>
  <sheetViews>
    <sheetView topLeftCell="A11" workbookViewId="0">
      <selection activeCell="D21" sqref="D21"/>
    </sheetView>
  </sheetViews>
  <sheetFormatPr defaultColWidth="14.42578125" defaultRowHeight="15" customHeight="1" x14ac:dyDescent="0.25"/>
  <cols>
    <col min="1" max="1" width="11" customWidth="1"/>
    <col min="2" max="2" width="12.140625" customWidth="1"/>
    <col min="3" max="3" width="8.7109375" customWidth="1"/>
    <col min="4" max="4" width="38.28515625" customWidth="1"/>
    <col min="5" max="5" width="13.28515625" customWidth="1"/>
    <col min="6" max="7" width="8.7109375" customWidth="1"/>
    <col min="8" max="8" width="10.85546875" customWidth="1"/>
    <col min="9" max="9" width="12.85546875" customWidth="1"/>
    <col min="10" max="15" width="8.7109375" customWidth="1"/>
  </cols>
  <sheetData>
    <row r="1" spans="2:13" ht="25.5" x14ac:dyDescent="0.4">
      <c r="D1" s="1" t="s">
        <v>0</v>
      </c>
      <c r="E1" s="2"/>
      <c r="F1" s="2"/>
      <c r="G1" s="2"/>
      <c r="H1" s="2"/>
      <c r="I1" s="2"/>
      <c r="J1" s="2"/>
      <c r="K1" s="2"/>
      <c r="L1" s="3"/>
    </row>
    <row r="3" spans="2:13" x14ac:dyDescent="0.25">
      <c r="B3" s="4"/>
      <c r="C3" s="5" t="s">
        <v>1</v>
      </c>
      <c r="D3" s="210" t="s">
        <v>2</v>
      </c>
      <c r="E3" s="203"/>
    </row>
    <row r="4" spans="2:13" x14ac:dyDescent="0.25">
      <c r="B4" s="6"/>
      <c r="C4" s="5" t="s">
        <v>3</v>
      </c>
      <c r="D4" s="210">
        <v>315003</v>
      </c>
      <c r="E4" s="203"/>
    </row>
    <row r="5" spans="2:13" x14ac:dyDescent="0.25">
      <c r="B5" s="4"/>
      <c r="C5" s="5" t="s">
        <v>4</v>
      </c>
      <c r="D5" s="211" t="s">
        <v>5</v>
      </c>
      <c r="E5" s="202"/>
    </row>
    <row r="6" spans="2:13" x14ac:dyDescent="0.25">
      <c r="B6" s="4"/>
      <c r="C6" s="5" t="s">
        <v>6</v>
      </c>
      <c r="D6" s="210" t="s">
        <v>7</v>
      </c>
      <c r="E6" s="203"/>
    </row>
    <row r="7" spans="2:13" ht="15.75" x14ac:dyDescent="0.25">
      <c r="B7" s="7" t="s">
        <v>8</v>
      </c>
      <c r="C7" s="6"/>
      <c r="D7" s="6"/>
      <c r="E7" s="6"/>
    </row>
    <row r="8" spans="2:13" ht="28.5" customHeight="1" x14ac:dyDescent="0.25">
      <c r="B8" s="6"/>
      <c r="C8" s="8" t="s">
        <v>9</v>
      </c>
      <c r="D8" s="184" t="s">
        <v>10</v>
      </c>
      <c r="E8" s="185"/>
    </row>
    <row r="9" spans="2:13" ht="28.5" customHeight="1" x14ac:dyDescent="0.25">
      <c r="B9" s="6"/>
      <c r="C9" s="8" t="s">
        <v>11</v>
      </c>
      <c r="D9" s="184" t="s">
        <v>12</v>
      </c>
      <c r="E9" s="185"/>
    </row>
    <row r="10" spans="2:13" ht="28.5" customHeight="1" x14ac:dyDescent="0.25">
      <c r="B10" s="6"/>
      <c r="C10" s="8" t="s">
        <v>13</v>
      </c>
      <c r="D10" s="184" t="s">
        <v>14</v>
      </c>
      <c r="E10" s="185"/>
    </row>
    <row r="11" spans="2:13" ht="28.5" customHeight="1" x14ac:dyDescent="0.25">
      <c r="B11" s="6"/>
      <c r="C11" s="8" t="s">
        <v>15</v>
      </c>
      <c r="D11" s="184" t="s">
        <v>16</v>
      </c>
      <c r="E11" s="185"/>
    </row>
    <row r="12" spans="2:13" ht="28.5" customHeight="1" x14ac:dyDescent="0.25">
      <c r="B12" s="6"/>
      <c r="C12" s="8" t="s">
        <v>17</v>
      </c>
      <c r="D12" s="184" t="s">
        <v>18</v>
      </c>
      <c r="E12" s="185"/>
    </row>
    <row r="14" spans="2:13" ht="18.75" x14ac:dyDescent="0.25">
      <c r="B14" s="9" t="s">
        <v>19</v>
      </c>
      <c r="C14" s="10"/>
      <c r="D14" s="11"/>
      <c r="E14" s="10"/>
      <c r="F14" s="10"/>
      <c r="G14" s="10"/>
      <c r="H14" s="10"/>
      <c r="I14" s="10"/>
      <c r="J14" s="10"/>
      <c r="K14" s="10"/>
      <c r="L14" s="10"/>
      <c r="M14" s="10"/>
    </row>
    <row r="15" spans="2:13" ht="15.75" x14ac:dyDescent="0.25">
      <c r="B15" s="12" t="s">
        <v>20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2:13" x14ac:dyDescent="0.25">
      <c r="B16" s="186" t="s">
        <v>21</v>
      </c>
      <c r="C16" s="189" t="s">
        <v>22</v>
      </c>
      <c r="D16" s="190"/>
      <c r="E16" s="195" t="s">
        <v>23</v>
      </c>
      <c r="F16" s="196"/>
      <c r="G16" s="196"/>
      <c r="H16" s="196"/>
      <c r="I16" s="196"/>
      <c r="J16" s="196"/>
      <c r="K16" s="197"/>
      <c r="L16" s="198" t="s">
        <v>24</v>
      </c>
      <c r="M16" s="197"/>
    </row>
    <row r="17" spans="1:25" x14ac:dyDescent="0.25">
      <c r="B17" s="187"/>
      <c r="C17" s="191"/>
      <c r="D17" s="192"/>
      <c r="E17" s="13" t="s">
        <v>25</v>
      </c>
      <c r="F17" s="13" t="s">
        <v>26</v>
      </c>
      <c r="G17" s="13" t="s">
        <v>27</v>
      </c>
      <c r="H17" s="13" t="s">
        <v>28</v>
      </c>
      <c r="I17" s="13" t="s">
        <v>29</v>
      </c>
      <c r="J17" s="13" t="s">
        <v>30</v>
      </c>
      <c r="K17" s="13" t="s">
        <v>31</v>
      </c>
      <c r="L17" s="14" t="s">
        <v>32</v>
      </c>
      <c r="M17" s="14" t="s">
        <v>33</v>
      </c>
    </row>
    <row r="18" spans="1:25" ht="122.25" customHeight="1" x14ac:dyDescent="0.25">
      <c r="B18" s="188"/>
      <c r="C18" s="193"/>
      <c r="D18" s="194"/>
      <c r="E18" s="15" t="s">
        <v>34</v>
      </c>
      <c r="F18" s="15" t="s">
        <v>35</v>
      </c>
      <c r="G18" s="15" t="s">
        <v>36</v>
      </c>
      <c r="H18" s="15" t="s">
        <v>37</v>
      </c>
      <c r="I18" s="15" t="s">
        <v>38</v>
      </c>
      <c r="J18" s="15" t="s">
        <v>39</v>
      </c>
      <c r="K18" s="15" t="s">
        <v>40</v>
      </c>
      <c r="L18" s="16" t="s">
        <v>41</v>
      </c>
      <c r="M18" s="16" t="s">
        <v>42</v>
      </c>
    </row>
    <row r="19" spans="1:25" ht="42.75" customHeight="1" x14ac:dyDescent="0.25">
      <c r="B19" s="17">
        <v>1</v>
      </c>
      <c r="C19" s="18" t="str">
        <f t="shared" ref="C19:D19" si="0">C8</f>
        <v>CO1</v>
      </c>
      <c r="D19" s="19" t="str">
        <f t="shared" si="0"/>
        <v>Identify topics of seminar presenting to the large gathering at the institute/conference.</v>
      </c>
      <c r="E19" s="20">
        <v>3</v>
      </c>
      <c r="F19" s="20">
        <v>1</v>
      </c>
      <c r="G19" s="20" t="s">
        <v>43</v>
      </c>
      <c r="H19" s="20" t="s">
        <v>43</v>
      </c>
      <c r="I19" s="20">
        <v>2</v>
      </c>
      <c r="J19" s="21">
        <v>2</v>
      </c>
      <c r="K19" s="20">
        <v>3</v>
      </c>
      <c r="L19" s="20">
        <v>1</v>
      </c>
      <c r="M19" s="20" t="s">
        <v>43</v>
      </c>
    </row>
    <row r="20" spans="1:25" ht="36" x14ac:dyDescent="0.25">
      <c r="B20" s="17">
        <v>2</v>
      </c>
      <c r="C20" s="18" t="str">
        <f t="shared" ref="C20:D20" si="1">C9</f>
        <v>CO2</v>
      </c>
      <c r="D20" s="22" t="str">
        <f t="shared" si="1"/>
        <v>Collect relevant and updated research-based data and information to prepare a paper of seminar presentation.</v>
      </c>
      <c r="E20" s="20">
        <v>2</v>
      </c>
      <c r="F20" s="20" t="s">
        <v>43</v>
      </c>
      <c r="G20" s="20">
        <v>2</v>
      </c>
      <c r="H20" s="20" t="s">
        <v>43</v>
      </c>
      <c r="I20" s="20">
        <v>2</v>
      </c>
      <c r="J20" s="21">
        <v>1</v>
      </c>
      <c r="K20" s="20">
        <v>3</v>
      </c>
      <c r="L20" s="20">
        <v>2</v>
      </c>
      <c r="M20" s="20">
        <v>1</v>
      </c>
    </row>
    <row r="21" spans="1:25" ht="15.75" customHeight="1" x14ac:dyDescent="0.25">
      <c r="B21" s="17">
        <v>3</v>
      </c>
      <c r="C21" s="18" t="str">
        <f t="shared" ref="C21:D21" si="2">C10</f>
        <v>CO3</v>
      </c>
      <c r="D21" s="22" t="str">
        <f t="shared" si="2"/>
        <v>Apply presentation skills.</v>
      </c>
      <c r="E21" s="20">
        <v>3</v>
      </c>
      <c r="F21" s="20">
        <v>1</v>
      </c>
      <c r="G21" s="20">
        <v>1</v>
      </c>
      <c r="H21" s="20">
        <v>2</v>
      </c>
      <c r="I21" s="20">
        <v>1</v>
      </c>
      <c r="J21" s="21">
        <v>2</v>
      </c>
      <c r="K21" s="20">
        <v>3</v>
      </c>
      <c r="L21" s="20">
        <v>1</v>
      </c>
      <c r="M21" s="20" t="s">
        <v>43</v>
      </c>
    </row>
    <row r="22" spans="1:25" ht="15.75" customHeight="1" x14ac:dyDescent="0.25">
      <c r="B22" s="17">
        <v>4</v>
      </c>
      <c r="C22" s="18" t="str">
        <f t="shared" ref="C22:D22" si="3">C11</f>
        <v>CO4</v>
      </c>
      <c r="D22" s="22" t="str">
        <f t="shared" si="3"/>
        <v>Create conducive environment for learning and discussion through seminar presentation.</v>
      </c>
      <c r="E22" s="20">
        <v>2</v>
      </c>
      <c r="F22" s="20" t="s">
        <v>43</v>
      </c>
      <c r="G22" s="20" t="s">
        <v>43</v>
      </c>
      <c r="H22" s="20">
        <v>2</v>
      </c>
      <c r="I22" s="20">
        <v>1</v>
      </c>
      <c r="J22" s="21">
        <v>2</v>
      </c>
      <c r="K22" s="20">
        <v>3</v>
      </c>
      <c r="L22" s="20" t="s">
        <v>43</v>
      </c>
      <c r="M22" s="20" t="s">
        <v>43</v>
      </c>
    </row>
    <row r="23" spans="1:25" ht="15.75" customHeight="1" x14ac:dyDescent="0.25">
      <c r="B23" s="17">
        <v>5</v>
      </c>
      <c r="C23" s="18" t="str">
        <f t="shared" ref="C23:D23" si="4">C12</f>
        <v>CO5</v>
      </c>
      <c r="D23" s="22" t="str">
        <f t="shared" si="4"/>
        <v>Identify a problem statement and establish the action plan for the successful completion of the project.</v>
      </c>
      <c r="E23" s="20">
        <v>3</v>
      </c>
      <c r="F23" s="20">
        <v>3</v>
      </c>
      <c r="G23" s="20">
        <v>3</v>
      </c>
      <c r="H23" s="20">
        <v>2</v>
      </c>
      <c r="I23" s="20">
        <v>2</v>
      </c>
      <c r="J23" s="21">
        <v>3</v>
      </c>
      <c r="K23" s="20">
        <v>3</v>
      </c>
      <c r="L23" s="20">
        <v>2</v>
      </c>
      <c r="M23" s="20">
        <v>3</v>
      </c>
    </row>
    <row r="24" spans="1:25" ht="15.75" customHeight="1" x14ac:dyDescent="0.25">
      <c r="B24" s="199" t="s">
        <v>44</v>
      </c>
      <c r="C24" s="196"/>
      <c r="D24" s="197"/>
      <c r="E24" s="18">
        <f t="shared" ref="E24:K24" si="5">IFERROR(AVERAGE(E19:E23),2)</f>
        <v>2.6</v>
      </c>
      <c r="F24" s="18">
        <f t="shared" si="5"/>
        <v>1.6666666666666667</v>
      </c>
      <c r="G24" s="18">
        <f t="shared" si="5"/>
        <v>2</v>
      </c>
      <c r="H24" s="18">
        <f t="shared" si="5"/>
        <v>2</v>
      </c>
      <c r="I24" s="18">
        <f t="shared" si="5"/>
        <v>1.6</v>
      </c>
      <c r="J24" s="18">
        <f t="shared" si="5"/>
        <v>2</v>
      </c>
      <c r="K24" s="18">
        <f t="shared" si="5"/>
        <v>3</v>
      </c>
      <c r="L24" s="23">
        <f t="shared" ref="L24:M24" si="6">IFERROR(AVERAGE(L19:L23),2)</f>
        <v>1.5</v>
      </c>
      <c r="M24" s="23">
        <f t="shared" si="6"/>
        <v>2</v>
      </c>
    </row>
    <row r="25" spans="1:25" ht="15.75" customHeight="1" x14ac:dyDescent="0.25">
      <c r="B25" s="200" t="s">
        <v>45</v>
      </c>
      <c r="C25" s="196"/>
      <c r="D25" s="197"/>
      <c r="E25" s="24">
        <f t="shared" ref="E25:M25" si="7">E24</f>
        <v>2.6</v>
      </c>
      <c r="F25" s="24">
        <f t="shared" si="7"/>
        <v>1.6666666666666667</v>
      </c>
      <c r="G25" s="24">
        <f t="shared" si="7"/>
        <v>2</v>
      </c>
      <c r="H25" s="25">
        <f t="shared" si="7"/>
        <v>2</v>
      </c>
      <c r="I25" s="25">
        <f t="shared" si="7"/>
        <v>1.6</v>
      </c>
      <c r="J25" s="24">
        <f t="shared" si="7"/>
        <v>2</v>
      </c>
      <c r="K25" s="24">
        <f t="shared" si="7"/>
        <v>3</v>
      </c>
      <c r="L25" s="26">
        <f t="shared" si="7"/>
        <v>1.5</v>
      </c>
      <c r="M25" s="26">
        <f t="shared" si="7"/>
        <v>2</v>
      </c>
    </row>
    <row r="26" spans="1:25" ht="15.75" customHeight="1" x14ac:dyDescent="0.25"/>
    <row r="27" spans="1:25" ht="15.75" customHeight="1" x14ac:dyDescent="0.25"/>
    <row r="28" spans="1:25" ht="15.75" customHeight="1" x14ac:dyDescent="0.25">
      <c r="D28" s="27" t="s">
        <v>250</v>
      </c>
      <c r="I28" s="209" t="s">
        <v>46</v>
      </c>
      <c r="J28" s="207"/>
      <c r="K28" s="207"/>
      <c r="L28" s="207"/>
      <c r="M28" s="207"/>
    </row>
    <row r="29" spans="1:25" ht="15.75" customHeight="1" x14ac:dyDescent="0.25">
      <c r="A29" s="28"/>
      <c r="B29" s="28"/>
      <c r="C29" s="201" t="s">
        <v>47</v>
      </c>
      <c r="D29" s="202"/>
      <c r="E29" s="203"/>
      <c r="F29" s="28"/>
      <c r="G29" s="28"/>
      <c r="H29" s="28"/>
      <c r="I29" s="201" t="s">
        <v>47</v>
      </c>
      <c r="J29" s="202"/>
      <c r="K29" s="202"/>
      <c r="L29" s="202"/>
      <c r="M29" s="203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 spans="1:25" ht="15.75" customHeight="1" x14ac:dyDescent="0.25"/>
    <row r="31" spans="1:25" ht="15.75" customHeight="1" x14ac:dyDescent="0.25"/>
    <row r="32" spans="1:25" ht="15.75" customHeight="1" x14ac:dyDescent="0.25"/>
    <row r="33" spans="2:5" ht="28.5" customHeight="1" x14ac:dyDescent="0.25">
      <c r="B33" s="204" t="s">
        <v>48</v>
      </c>
      <c r="C33" s="20"/>
      <c r="D33" s="206" t="s">
        <v>49</v>
      </c>
      <c r="E33" s="207"/>
    </row>
    <row r="34" spans="2:5" ht="47.25" customHeight="1" x14ac:dyDescent="0.25">
      <c r="B34" s="205"/>
      <c r="C34" s="24"/>
      <c r="D34" s="208" t="s">
        <v>50</v>
      </c>
      <c r="E34" s="207"/>
    </row>
    <row r="35" spans="2:5" ht="15.75" customHeight="1" x14ac:dyDescent="0.25"/>
    <row r="36" spans="2:5" ht="15.75" customHeight="1" x14ac:dyDescent="0.25"/>
    <row r="37" spans="2:5" ht="15.75" customHeight="1" x14ac:dyDescent="0.25"/>
    <row r="38" spans="2:5" ht="15.75" customHeight="1" x14ac:dyDescent="0.25"/>
    <row r="39" spans="2:5" ht="15.75" customHeight="1" x14ac:dyDescent="0.25"/>
    <row r="40" spans="2:5" ht="15.75" customHeight="1" x14ac:dyDescent="0.25"/>
    <row r="41" spans="2:5" ht="15.75" customHeight="1" x14ac:dyDescent="0.25"/>
    <row r="42" spans="2:5" ht="15.75" customHeight="1" x14ac:dyDescent="0.25"/>
    <row r="43" spans="2:5" ht="15.75" customHeight="1" x14ac:dyDescent="0.25"/>
    <row r="44" spans="2:5" ht="15.75" customHeight="1" x14ac:dyDescent="0.25"/>
    <row r="45" spans="2:5" ht="15.75" customHeight="1" x14ac:dyDescent="0.25"/>
    <row r="46" spans="2:5" ht="15.75" customHeight="1" x14ac:dyDescent="0.25"/>
    <row r="47" spans="2:5" ht="15.75" customHeight="1" x14ac:dyDescent="0.25"/>
    <row r="48" spans="2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D9:E9"/>
    <mergeCell ref="D10:E10"/>
    <mergeCell ref="D3:E3"/>
    <mergeCell ref="D4:E4"/>
    <mergeCell ref="D5:E5"/>
    <mergeCell ref="D6:E6"/>
    <mergeCell ref="D8:E8"/>
    <mergeCell ref="L16:M16"/>
    <mergeCell ref="B24:D24"/>
    <mergeCell ref="B25:D25"/>
    <mergeCell ref="C29:E29"/>
    <mergeCell ref="B33:B34"/>
    <mergeCell ref="D33:E33"/>
    <mergeCell ref="D34:E34"/>
    <mergeCell ref="I28:M28"/>
    <mergeCell ref="I29:M29"/>
    <mergeCell ref="D11:E11"/>
    <mergeCell ref="D12:E12"/>
    <mergeCell ref="B16:B18"/>
    <mergeCell ref="C16:D18"/>
    <mergeCell ref="E16:K16"/>
  </mergeCells>
  <pageMargins left="0.7" right="0.7" top="0.75" bottom="0.75" header="0" footer="0"/>
  <pageSetup scale="6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O1000"/>
  <sheetViews>
    <sheetView topLeftCell="A6" workbookViewId="0">
      <selection sqref="A1:K1"/>
    </sheetView>
  </sheetViews>
  <sheetFormatPr defaultColWidth="14.42578125" defaultRowHeight="15" customHeight="1" x14ac:dyDescent="0.25"/>
  <cols>
    <col min="1" max="1" width="4" customWidth="1"/>
    <col min="2" max="2" width="18.85546875" customWidth="1"/>
    <col min="3" max="3" width="42.5703125" customWidth="1"/>
    <col min="4" max="4" width="20.42578125" customWidth="1"/>
    <col min="5" max="5" width="10.28515625" customWidth="1"/>
    <col min="6" max="6" width="9.28515625" customWidth="1"/>
    <col min="7" max="7" width="11.42578125" customWidth="1"/>
    <col min="8" max="8" width="9.85546875" customWidth="1"/>
    <col min="9" max="9" width="11.85546875" customWidth="1"/>
    <col min="10" max="10" width="10.7109375" customWidth="1"/>
    <col min="11" max="11" width="11.5703125" customWidth="1"/>
    <col min="12" max="15" width="5.42578125" customWidth="1"/>
  </cols>
  <sheetData>
    <row r="1" spans="1:15" ht="21.75" x14ac:dyDescent="0.35">
      <c r="A1" s="237" t="s">
        <v>51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6"/>
      <c r="M1" s="6"/>
      <c r="N1" s="6"/>
      <c r="O1" s="6"/>
    </row>
    <row r="2" spans="1:15" ht="21.75" x14ac:dyDescent="0.35">
      <c r="A2" s="237" t="s">
        <v>52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6"/>
      <c r="M2" s="6"/>
      <c r="N2" s="6"/>
      <c r="O2" s="6"/>
    </row>
    <row r="3" spans="1:15" x14ac:dyDescent="0.25">
      <c r="A3" s="6"/>
      <c r="B3" s="5" t="s">
        <v>1</v>
      </c>
      <c r="C3" s="238" t="str">
        <f>'PO Set Target attain level'!D3</f>
        <v>SEMINAR AND PROJECT INITIATION COURSE</v>
      </c>
      <c r="D3" s="185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6"/>
      <c r="B4" s="5" t="s">
        <v>3</v>
      </c>
      <c r="C4" s="238">
        <f>'PO Set Target attain level'!D4</f>
        <v>315003</v>
      </c>
      <c r="D4" s="185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6"/>
      <c r="B5" s="5" t="s">
        <v>53</v>
      </c>
      <c r="C5" s="238" t="str">
        <f>'PO Set Target attain level'!D5</f>
        <v>5th Sem Co5K K-Scheme</v>
      </c>
      <c r="D5" s="185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6"/>
      <c r="B6" s="5" t="s">
        <v>54</v>
      </c>
      <c r="C6" s="238" t="str">
        <f>'PO Set Target attain level'!D6</f>
        <v>2025-26</v>
      </c>
      <c r="D6" s="185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25.5" customHeight="1" x14ac:dyDescent="0.25">
      <c r="A8" s="239" t="s">
        <v>21</v>
      </c>
      <c r="B8" s="216" t="s">
        <v>55</v>
      </c>
      <c r="C8" s="217" t="s">
        <v>56</v>
      </c>
      <c r="D8" s="233" t="s">
        <v>57</v>
      </c>
      <c r="E8" s="234" t="s">
        <v>58</v>
      </c>
      <c r="F8" s="212" t="s">
        <v>59</v>
      </c>
      <c r="G8" s="215" t="s">
        <v>60</v>
      </c>
      <c r="H8" s="235" t="s">
        <v>61</v>
      </c>
      <c r="I8" s="236" t="s">
        <v>62</v>
      </c>
      <c r="J8" s="29" t="s">
        <v>63</v>
      </c>
      <c r="K8" s="29" t="s">
        <v>64</v>
      </c>
      <c r="L8" s="6"/>
      <c r="M8" s="6"/>
      <c r="N8" s="6"/>
      <c r="O8" s="6"/>
    </row>
    <row r="9" spans="1:15" ht="18.75" customHeight="1" x14ac:dyDescent="0.25">
      <c r="A9" s="213"/>
      <c r="B9" s="213"/>
      <c r="C9" s="213"/>
      <c r="D9" s="213"/>
      <c r="E9" s="213"/>
      <c r="F9" s="213"/>
      <c r="G9" s="213"/>
      <c r="H9" s="213"/>
      <c r="I9" s="213"/>
      <c r="J9" s="240" t="s">
        <v>65</v>
      </c>
      <c r="K9" s="241"/>
      <c r="L9" s="6"/>
      <c r="M9" s="6"/>
      <c r="N9" s="6"/>
      <c r="O9" s="6"/>
    </row>
    <row r="10" spans="1:15" ht="23.25" customHeight="1" x14ac:dyDescent="0.25">
      <c r="A10" s="213"/>
      <c r="B10" s="213"/>
      <c r="C10" s="213"/>
      <c r="D10" s="213"/>
      <c r="E10" s="213"/>
      <c r="F10" s="213"/>
      <c r="G10" s="213"/>
      <c r="H10" s="213"/>
      <c r="I10" s="213"/>
      <c r="J10" s="242"/>
      <c r="K10" s="205"/>
      <c r="L10" s="6"/>
      <c r="M10" s="6"/>
      <c r="N10" s="6"/>
      <c r="O10" s="6"/>
    </row>
    <row r="11" spans="1:15" ht="14.25" customHeight="1" x14ac:dyDescent="0.25">
      <c r="A11" s="213"/>
      <c r="B11" s="213"/>
      <c r="C11" s="213"/>
      <c r="D11" s="214"/>
      <c r="E11" s="214"/>
      <c r="F11" s="214"/>
      <c r="G11" s="214"/>
      <c r="H11" s="214"/>
      <c r="I11" s="214"/>
      <c r="J11" s="243"/>
      <c r="K11" s="244"/>
      <c r="L11" s="6"/>
      <c r="M11" s="6"/>
      <c r="N11" s="6"/>
      <c r="O11" s="6"/>
    </row>
    <row r="12" spans="1:15" ht="18.75" customHeight="1" x14ac:dyDescent="0.25">
      <c r="A12" s="214"/>
      <c r="B12" s="214"/>
      <c r="C12" s="214"/>
      <c r="D12" s="30">
        <v>8</v>
      </c>
      <c r="E12" s="31">
        <v>12</v>
      </c>
      <c r="F12" s="31">
        <v>8</v>
      </c>
      <c r="G12" s="31">
        <v>8</v>
      </c>
      <c r="H12" s="32">
        <v>12</v>
      </c>
      <c r="I12" s="33">
        <v>8</v>
      </c>
      <c r="J12" s="34">
        <f t="shared" ref="J12:J95" si="0">D12+E12+F12</f>
        <v>28</v>
      </c>
      <c r="K12" s="34">
        <f t="shared" ref="K12:K95" si="1">G12+H12+I12</f>
        <v>28</v>
      </c>
      <c r="L12" s="6"/>
      <c r="M12" s="6"/>
      <c r="N12" s="6"/>
      <c r="O12" s="6"/>
    </row>
    <row r="13" spans="1:15" x14ac:dyDescent="0.25">
      <c r="A13" s="35">
        <v>1</v>
      </c>
      <c r="B13" s="36">
        <v>2201180008</v>
      </c>
      <c r="C13" s="37" t="s">
        <v>66</v>
      </c>
      <c r="D13" s="38"/>
      <c r="E13" s="38"/>
      <c r="F13" s="38"/>
      <c r="G13" s="38"/>
      <c r="H13" s="38"/>
      <c r="I13" s="38"/>
      <c r="J13" s="34">
        <f t="shared" si="0"/>
        <v>0</v>
      </c>
      <c r="K13" s="34">
        <f t="shared" si="1"/>
        <v>0</v>
      </c>
      <c r="L13" s="6"/>
      <c r="M13" s="6"/>
      <c r="N13" s="6"/>
      <c r="O13" s="6"/>
    </row>
    <row r="14" spans="1:15" x14ac:dyDescent="0.25">
      <c r="A14" s="35">
        <v>2</v>
      </c>
      <c r="B14" s="36">
        <v>23510250191</v>
      </c>
      <c r="C14" s="37" t="s">
        <v>67</v>
      </c>
      <c r="D14" s="38"/>
      <c r="E14" s="38"/>
      <c r="F14" s="38"/>
      <c r="G14" s="38"/>
      <c r="H14" s="38"/>
      <c r="I14" s="38"/>
      <c r="J14" s="34">
        <f t="shared" si="0"/>
        <v>0</v>
      </c>
      <c r="K14" s="34">
        <f t="shared" si="1"/>
        <v>0</v>
      </c>
      <c r="L14" s="6"/>
      <c r="M14" s="6"/>
      <c r="N14" s="6"/>
      <c r="O14" s="6"/>
    </row>
    <row r="15" spans="1:15" x14ac:dyDescent="0.25">
      <c r="A15" s="35">
        <v>3</v>
      </c>
      <c r="B15" s="36">
        <v>23510250192</v>
      </c>
      <c r="C15" s="37" t="s">
        <v>68</v>
      </c>
      <c r="D15" s="38"/>
      <c r="E15" s="38"/>
      <c r="F15" s="38"/>
      <c r="G15" s="38"/>
      <c r="H15" s="38"/>
      <c r="I15" s="38"/>
      <c r="J15" s="34">
        <f t="shared" si="0"/>
        <v>0</v>
      </c>
      <c r="K15" s="34">
        <f t="shared" si="1"/>
        <v>0</v>
      </c>
      <c r="L15" s="6"/>
      <c r="M15" s="6"/>
      <c r="N15" s="6"/>
      <c r="O15" s="6"/>
    </row>
    <row r="16" spans="1:15" x14ac:dyDescent="0.25">
      <c r="A16" s="35">
        <v>4</v>
      </c>
      <c r="B16" s="36">
        <v>23510250193</v>
      </c>
      <c r="C16" s="37" t="s">
        <v>69</v>
      </c>
      <c r="D16" s="38"/>
      <c r="E16" s="38"/>
      <c r="F16" s="38"/>
      <c r="G16" s="38"/>
      <c r="H16" s="38"/>
      <c r="I16" s="38"/>
      <c r="J16" s="34">
        <f t="shared" si="0"/>
        <v>0</v>
      </c>
      <c r="K16" s="34">
        <f t="shared" si="1"/>
        <v>0</v>
      </c>
      <c r="L16" s="6"/>
      <c r="M16" s="6"/>
      <c r="N16" s="6"/>
      <c r="O16" s="6"/>
    </row>
    <row r="17" spans="1:15" x14ac:dyDescent="0.25">
      <c r="A17" s="35">
        <v>5</v>
      </c>
      <c r="B17" s="36">
        <v>23510250194</v>
      </c>
      <c r="C17" s="37" t="s">
        <v>70</v>
      </c>
      <c r="D17" s="38"/>
      <c r="E17" s="38"/>
      <c r="F17" s="38"/>
      <c r="G17" s="38"/>
      <c r="H17" s="38"/>
      <c r="I17" s="38"/>
      <c r="J17" s="34">
        <f t="shared" si="0"/>
        <v>0</v>
      </c>
      <c r="K17" s="34">
        <f t="shared" si="1"/>
        <v>0</v>
      </c>
      <c r="L17" s="6"/>
      <c r="M17" s="6"/>
      <c r="N17" s="6"/>
      <c r="O17" s="6"/>
    </row>
    <row r="18" spans="1:15" x14ac:dyDescent="0.25">
      <c r="A18" s="35">
        <v>6</v>
      </c>
      <c r="B18" s="36">
        <v>23510250195</v>
      </c>
      <c r="C18" s="37" t="s">
        <v>71</v>
      </c>
      <c r="D18" s="38"/>
      <c r="E18" s="38"/>
      <c r="F18" s="38"/>
      <c r="G18" s="38"/>
      <c r="H18" s="38"/>
      <c r="I18" s="38"/>
      <c r="J18" s="34">
        <f t="shared" si="0"/>
        <v>0</v>
      </c>
      <c r="K18" s="34">
        <f t="shared" si="1"/>
        <v>0</v>
      </c>
      <c r="L18" s="6"/>
      <c r="M18" s="6"/>
      <c r="N18" s="6"/>
      <c r="O18" s="6"/>
    </row>
    <row r="19" spans="1:15" x14ac:dyDescent="0.25">
      <c r="A19" s="35">
        <v>7</v>
      </c>
      <c r="B19" s="36">
        <v>23510250196</v>
      </c>
      <c r="C19" s="37" t="s">
        <v>72</v>
      </c>
      <c r="D19" s="38"/>
      <c r="E19" s="38"/>
      <c r="F19" s="38"/>
      <c r="G19" s="38"/>
      <c r="H19" s="38"/>
      <c r="I19" s="38"/>
      <c r="J19" s="34">
        <f t="shared" si="0"/>
        <v>0</v>
      </c>
      <c r="K19" s="34">
        <f t="shared" si="1"/>
        <v>0</v>
      </c>
      <c r="L19" s="6"/>
      <c r="M19" s="6"/>
      <c r="N19" s="6"/>
      <c r="O19" s="6"/>
    </row>
    <row r="20" spans="1:15" x14ac:dyDescent="0.25">
      <c r="A20" s="35">
        <v>8</v>
      </c>
      <c r="B20" s="36">
        <v>23510250197</v>
      </c>
      <c r="C20" s="37" t="s">
        <v>73</v>
      </c>
      <c r="D20" s="38"/>
      <c r="E20" s="38"/>
      <c r="F20" s="38"/>
      <c r="G20" s="38"/>
      <c r="H20" s="38"/>
      <c r="I20" s="38"/>
      <c r="J20" s="34">
        <f t="shared" si="0"/>
        <v>0</v>
      </c>
      <c r="K20" s="34">
        <f t="shared" si="1"/>
        <v>0</v>
      </c>
      <c r="L20" s="6"/>
      <c r="M20" s="6"/>
      <c r="N20" s="6"/>
      <c r="O20" s="6"/>
    </row>
    <row r="21" spans="1:15" ht="15.75" customHeight="1" x14ac:dyDescent="0.25">
      <c r="A21" s="35">
        <v>9</v>
      </c>
      <c r="B21" s="36">
        <v>23510250198</v>
      </c>
      <c r="C21" s="37" t="s">
        <v>74</v>
      </c>
      <c r="D21" s="38"/>
      <c r="E21" s="38"/>
      <c r="F21" s="38"/>
      <c r="G21" s="38"/>
      <c r="H21" s="38"/>
      <c r="I21" s="38"/>
      <c r="J21" s="34">
        <f t="shared" si="0"/>
        <v>0</v>
      </c>
      <c r="K21" s="34">
        <f t="shared" si="1"/>
        <v>0</v>
      </c>
      <c r="L21" s="6"/>
      <c r="M21" s="6"/>
      <c r="N21" s="6"/>
      <c r="O21" s="6"/>
    </row>
    <row r="22" spans="1:15" ht="15.75" customHeight="1" x14ac:dyDescent="0.25">
      <c r="A22" s="35">
        <v>10</v>
      </c>
      <c r="B22" s="36">
        <v>23510250199</v>
      </c>
      <c r="C22" s="37" t="s">
        <v>75</v>
      </c>
      <c r="D22" s="38"/>
      <c r="E22" s="38"/>
      <c r="F22" s="38"/>
      <c r="G22" s="38"/>
      <c r="H22" s="38"/>
      <c r="I22" s="38"/>
      <c r="J22" s="34">
        <f t="shared" si="0"/>
        <v>0</v>
      </c>
      <c r="K22" s="34">
        <f t="shared" si="1"/>
        <v>0</v>
      </c>
      <c r="L22" s="6"/>
      <c r="M22" s="6"/>
      <c r="N22" s="6"/>
      <c r="O22" s="6"/>
    </row>
    <row r="23" spans="1:15" ht="15.75" customHeight="1" x14ac:dyDescent="0.25">
      <c r="A23" s="35">
        <v>11</v>
      </c>
      <c r="B23" s="36">
        <v>23510250200</v>
      </c>
      <c r="C23" s="37" t="s">
        <v>76</v>
      </c>
      <c r="D23" s="38"/>
      <c r="E23" s="38"/>
      <c r="F23" s="38"/>
      <c r="G23" s="38"/>
      <c r="H23" s="38"/>
      <c r="I23" s="38"/>
      <c r="J23" s="34">
        <f t="shared" si="0"/>
        <v>0</v>
      </c>
      <c r="K23" s="34">
        <f t="shared" si="1"/>
        <v>0</v>
      </c>
      <c r="L23" s="6"/>
      <c r="M23" s="6"/>
      <c r="N23" s="6"/>
      <c r="O23" s="6"/>
    </row>
    <row r="24" spans="1:15" ht="15.75" customHeight="1" x14ac:dyDescent="0.25">
      <c r="A24" s="35">
        <v>12</v>
      </c>
      <c r="B24" s="36">
        <v>23510250201</v>
      </c>
      <c r="C24" s="37" t="s">
        <v>77</v>
      </c>
      <c r="D24" s="38"/>
      <c r="E24" s="38"/>
      <c r="F24" s="38"/>
      <c r="G24" s="38"/>
      <c r="H24" s="38"/>
      <c r="I24" s="38"/>
      <c r="J24" s="34">
        <f t="shared" si="0"/>
        <v>0</v>
      </c>
      <c r="K24" s="34">
        <f t="shared" si="1"/>
        <v>0</v>
      </c>
      <c r="L24" s="6"/>
      <c r="M24" s="6"/>
      <c r="N24" s="6"/>
      <c r="O24" s="6"/>
    </row>
    <row r="25" spans="1:15" ht="15.75" customHeight="1" x14ac:dyDescent="0.25">
      <c r="A25" s="35">
        <v>13</v>
      </c>
      <c r="B25" s="36">
        <v>23510250202</v>
      </c>
      <c r="C25" s="37" t="s">
        <v>78</v>
      </c>
      <c r="D25" s="38"/>
      <c r="E25" s="38"/>
      <c r="F25" s="38"/>
      <c r="G25" s="38"/>
      <c r="H25" s="38"/>
      <c r="I25" s="38"/>
      <c r="J25" s="34">
        <f t="shared" si="0"/>
        <v>0</v>
      </c>
      <c r="K25" s="34">
        <f t="shared" si="1"/>
        <v>0</v>
      </c>
      <c r="L25" s="6"/>
      <c r="M25" s="6"/>
      <c r="N25" s="6"/>
      <c r="O25" s="6"/>
    </row>
    <row r="26" spans="1:15" ht="15.75" customHeight="1" x14ac:dyDescent="0.25">
      <c r="A26" s="35">
        <v>14</v>
      </c>
      <c r="B26" s="36">
        <v>23510250203</v>
      </c>
      <c r="C26" s="37" t="s">
        <v>79</v>
      </c>
      <c r="D26" s="38"/>
      <c r="E26" s="38"/>
      <c r="F26" s="38"/>
      <c r="G26" s="38"/>
      <c r="H26" s="38"/>
      <c r="I26" s="38"/>
      <c r="J26" s="34">
        <f t="shared" si="0"/>
        <v>0</v>
      </c>
      <c r="K26" s="34">
        <f t="shared" si="1"/>
        <v>0</v>
      </c>
      <c r="L26" s="6"/>
      <c r="M26" s="6"/>
      <c r="N26" s="6"/>
      <c r="O26" s="6"/>
    </row>
    <row r="27" spans="1:15" ht="15.75" customHeight="1" x14ac:dyDescent="0.25">
      <c r="A27" s="35">
        <v>15</v>
      </c>
      <c r="B27" s="36">
        <v>23510250204</v>
      </c>
      <c r="C27" s="37" t="s">
        <v>80</v>
      </c>
      <c r="D27" s="38"/>
      <c r="E27" s="38"/>
      <c r="F27" s="38"/>
      <c r="G27" s="38"/>
      <c r="H27" s="38"/>
      <c r="I27" s="38"/>
      <c r="J27" s="34">
        <f t="shared" si="0"/>
        <v>0</v>
      </c>
      <c r="K27" s="34">
        <f t="shared" si="1"/>
        <v>0</v>
      </c>
      <c r="L27" s="6"/>
      <c r="M27" s="6"/>
      <c r="N27" s="6"/>
      <c r="O27" s="6"/>
    </row>
    <row r="28" spans="1:15" ht="15.75" customHeight="1" x14ac:dyDescent="0.25">
      <c r="A28" s="35">
        <v>16</v>
      </c>
      <c r="B28" s="36">
        <v>23510250205</v>
      </c>
      <c r="C28" s="37" t="s">
        <v>81</v>
      </c>
      <c r="D28" s="38"/>
      <c r="E28" s="38"/>
      <c r="F28" s="38"/>
      <c r="G28" s="38"/>
      <c r="H28" s="38"/>
      <c r="I28" s="38"/>
      <c r="J28" s="34">
        <f t="shared" si="0"/>
        <v>0</v>
      </c>
      <c r="K28" s="34">
        <f t="shared" si="1"/>
        <v>0</v>
      </c>
      <c r="L28" s="6"/>
      <c r="M28" s="6"/>
      <c r="N28" s="6"/>
      <c r="O28" s="6"/>
    </row>
    <row r="29" spans="1:15" ht="15.75" customHeight="1" x14ac:dyDescent="0.25">
      <c r="A29" s="35">
        <v>17</v>
      </c>
      <c r="B29" s="36">
        <v>23510250207</v>
      </c>
      <c r="C29" s="37" t="s">
        <v>82</v>
      </c>
      <c r="D29" s="38"/>
      <c r="E29" s="38"/>
      <c r="F29" s="38"/>
      <c r="G29" s="38"/>
      <c r="H29" s="38"/>
      <c r="I29" s="38"/>
      <c r="J29" s="34">
        <f t="shared" si="0"/>
        <v>0</v>
      </c>
      <c r="K29" s="34">
        <f t="shared" si="1"/>
        <v>0</v>
      </c>
      <c r="L29" s="6"/>
      <c r="M29" s="6"/>
      <c r="N29" s="6"/>
      <c r="O29" s="6"/>
    </row>
    <row r="30" spans="1:15" ht="15.75" customHeight="1" x14ac:dyDescent="0.25">
      <c r="A30" s="35">
        <v>18</v>
      </c>
      <c r="B30" s="36">
        <v>23510250208</v>
      </c>
      <c r="C30" s="37" t="s">
        <v>83</v>
      </c>
      <c r="D30" s="38"/>
      <c r="E30" s="38"/>
      <c r="F30" s="38"/>
      <c r="G30" s="38"/>
      <c r="H30" s="38"/>
      <c r="I30" s="38"/>
      <c r="J30" s="34">
        <f t="shared" si="0"/>
        <v>0</v>
      </c>
      <c r="K30" s="34">
        <f t="shared" si="1"/>
        <v>0</v>
      </c>
      <c r="L30" s="6"/>
      <c r="M30" s="6"/>
      <c r="N30" s="6"/>
      <c r="O30" s="6"/>
    </row>
    <row r="31" spans="1:15" ht="15.75" customHeight="1" x14ac:dyDescent="0.25">
      <c r="A31" s="35">
        <v>19</v>
      </c>
      <c r="B31" s="36">
        <v>23510250209</v>
      </c>
      <c r="C31" s="37" t="s">
        <v>84</v>
      </c>
      <c r="D31" s="38"/>
      <c r="E31" s="38"/>
      <c r="F31" s="38"/>
      <c r="G31" s="38"/>
      <c r="H31" s="38"/>
      <c r="I31" s="38"/>
      <c r="J31" s="34">
        <f t="shared" si="0"/>
        <v>0</v>
      </c>
      <c r="K31" s="34">
        <f t="shared" si="1"/>
        <v>0</v>
      </c>
      <c r="L31" s="6"/>
      <c r="M31" s="6"/>
      <c r="N31" s="6"/>
      <c r="O31" s="6"/>
    </row>
    <row r="32" spans="1:15" ht="15.75" customHeight="1" x14ac:dyDescent="0.25">
      <c r="A32" s="35">
        <v>20</v>
      </c>
      <c r="B32" s="36">
        <v>23510250210</v>
      </c>
      <c r="C32" s="37" t="s">
        <v>85</v>
      </c>
      <c r="D32" s="38"/>
      <c r="E32" s="38"/>
      <c r="F32" s="38"/>
      <c r="G32" s="38"/>
      <c r="H32" s="38"/>
      <c r="I32" s="38"/>
      <c r="J32" s="34">
        <f t="shared" si="0"/>
        <v>0</v>
      </c>
      <c r="K32" s="34">
        <f t="shared" si="1"/>
        <v>0</v>
      </c>
      <c r="L32" s="6"/>
      <c r="M32" s="6"/>
      <c r="N32" s="6"/>
      <c r="O32" s="6"/>
    </row>
    <row r="33" spans="1:15" ht="15.75" customHeight="1" x14ac:dyDescent="0.25">
      <c r="A33" s="35">
        <v>21</v>
      </c>
      <c r="B33" s="36">
        <v>23510250212</v>
      </c>
      <c r="C33" s="37" t="s">
        <v>86</v>
      </c>
      <c r="D33" s="38"/>
      <c r="E33" s="38"/>
      <c r="F33" s="38"/>
      <c r="G33" s="38"/>
      <c r="H33" s="38"/>
      <c r="I33" s="38"/>
      <c r="J33" s="34">
        <f t="shared" si="0"/>
        <v>0</v>
      </c>
      <c r="K33" s="34">
        <f t="shared" si="1"/>
        <v>0</v>
      </c>
      <c r="L33" s="6"/>
      <c r="M33" s="6"/>
      <c r="N33" s="6"/>
      <c r="O33" s="6"/>
    </row>
    <row r="34" spans="1:15" ht="15.75" customHeight="1" x14ac:dyDescent="0.25">
      <c r="A34" s="35">
        <v>22</v>
      </c>
      <c r="B34" s="36">
        <v>23510250215</v>
      </c>
      <c r="C34" s="37" t="s">
        <v>87</v>
      </c>
      <c r="D34" s="38"/>
      <c r="E34" s="38"/>
      <c r="F34" s="38"/>
      <c r="G34" s="38"/>
      <c r="H34" s="38"/>
      <c r="I34" s="38"/>
      <c r="J34" s="34">
        <f t="shared" si="0"/>
        <v>0</v>
      </c>
      <c r="K34" s="34">
        <f t="shared" si="1"/>
        <v>0</v>
      </c>
      <c r="L34" s="6"/>
      <c r="M34" s="6"/>
      <c r="N34" s="6"/>
      <c r="O34" s="6"/>
    </row>
    <row r="35" spans="1:15" ht="15.75" customHeight="1" x14ac:dyDescent="0.25">
      <c r="A35" s="35">
        <v>23</v>
      </c>
      <c r="B35" s="36">
        <v>23510250216</v>
      </c>
      <c r="C35" s="37" t="s">
        <v>88</v>
      </c>
      <c r="D35" s="38"/>
      <c r="E35" s="38"/>
      <c r="F35" s="38"/>
      <c r="G35" s="38"/>
      <c r="H35" s="38"/>
      <c r="I35" s="38"/>
      <c r="J35" s="34">
        <f t="shared" si="0"/>
        <v>0</v>
      </c>
      <c r="K35" s="34">
        <f t="shared" si="1"/>
        <v>0</v>
      </c>
      <c r="L35" s="6"/>
      <c r="M35" s="6"/>
      <c r="N35" s="6"/>
      <c r="O35" s="6"/>
    </row>
    <row r="36" spans="1:15" ht="15.75" customHeight="1" x14ac:dyDescent="0.25">
      <c r="A36" s="35">
        <v>24</v>
      </c>
      <c r="B36" s="36">
        <v>23510250217</v>
      </c>
      <c r="C36" s="37" t="s">
        <v>89</v>
      </c>
      <c r="D36" s="38"/>
      <c r="E36" s="38"/>
      <c r="F36" s="38"/>
      <c r="G36" s="38"/>
      <c r="H36" s="38"/>
      <c r="I36" s="38"/>
      <c r="J36" s="34">
        <f t="shared" si="0"/>
        <v>0</v>
      </c>
      <c r="K36" s="34">
        <f t="shared" si="1"/>
        <v>0</v>
      </c>
      <c r="L36" s="6"/>
      <c r="M36" s="6"/>
      <c r="N36" s="6"/>
      <c r="O36" s="6"/>
    </row>
    <row r="37" spans="1:15" ht="15.75" customHeight="1" x14ac:dyDescent="0.25">
      <c r="A37" s="35">
        <v>25</v>
      </c>
      <c r="B37" s="36">
        <v>23510250218</v>
      </c>
      <c r="C37" s="37" t="s">
        <v>90</v>
      </c>
      <c r="D37" s="38"/>
      <c r="E37" s="38"/>
      <c r="F37" s="38"/>
      <c r="G37" s="38"/>
      <c r="H37" s="38"/>
      <c r="I37" s="38"/>
      <c r="J37" s="34">
        <f t="shared" si="0"/>
        <v>0</v>
      </c>
      <c r="K37" s="34">
        <f t="shared" si="1"/>
        <v>0</v>
      </c>
      <c r="L37" s="6"/>
      <c r="M37" s="6"/>
      <c r="N37" s="6"/>
      <c r="O37" s="6"/>
    </row>
    <row r="38" spans="1:15" ht="15.75" customHeight="1" x14ac:dyDescent="0.25">
      <c r="A38" s="35">
        <v>26</v>
      </c>
      <c r="B38" s="36">
        <v>23510250219</v>
      </c>
      <c r="C38" s="37" t="s">
        <v>91</v>
      </c>
      <c r="D38" s="38"/>
      <c r="E38" s="38"/>
      <c r="F38" s="38"/>
      <c r="G38" s="38"/>
      <c r="H38" s="38"/>
      <c r="I38" s="38"/>
      <c r="J38" s="34">
        <f t="shared" si="0"/>
        <v>0</v>
      </c>
      <c r="K38" s="34">
        <f t="shared" si="1"/>
        <v>0</v>
      </c>
      <c r="L38" s="6"/>
      <c r="M38" s="6"/>
      <c r="N38" s="6"/>
      <c r="O38" s="6"/>
    </row>
    <row r="39" spans="1:15" ht="15.75" customHeight="1" x14ac:dyDescent="0.25">
      <c r="A39" s="35">
        <v>27</v>
      </c>
      <c r="B39" s="36">
        <v>23510250221</v>
      </c>
      <c r="C39" s="37" t="s">
        <v>92</v>
      </c>
      <c r="D39" s="38"/>
      <c r="E39" s="38"/>
      <c r="F39" s="38"/>
      <c r="G39" s="38"/>
      <c r="H39" s="38"/>
      <c r="I39" s="38"/>
      <c r="J39" s="34">
        <f t="shared" si="0"/>
        <v>0</v>
      </c>
      <c r="K39" s="34">
        <f t="shared" si="1"/>
        <v>0</v>
      </c>
      <c r="L39" s="6"/>
      <c r="M39" s="6"/>
      <c r="N39" s="6"/>
      <c r="O39" s="6"/>
    </row>
    <row r="40" spans="1:15" ht="15.75" customHeight="1" x14ac:dyDescent="0.25">
      <c r="A40" s="35">
        <v>28</v>
      </c>
      <c r="B40" s="36">
        <v>23510250222</v>
      </c>
      <c r="C40" s="37" t="s">
        <v>93</v>
      </c>
      <c r="D40" s="38"/>
      <c r="E40" s="38"/>
      <c r="F40" s="38"/>
      <c r="G40" s="38"/>
      <c r="H40" s="38"/>
      <c r="I40" s="38"/>
      <c r="J40" s="34">
        <f t="shared" si="0"/>
        <v>0</v>
      </c>
      <c r="K40" s="34">
        <f t="shared" si="1"/>
        <v>0</v>
      </c>
      <c r="L40" s="6"/>
      <c r="M40" s="6"/>
      <c r="N40" s="6"/>
      <c r="O40" s="6"/>
    </row>
    <row r="41" spans="1:15" ht="15.75" customHeight="1" x14ac:dyDescent="0.25">
      <c r="A41" s="35">
        <v>29</v>
      </c>
      <c r="B41" s="36">
        <v>23510250223</v>
      </c>
      <c r="C41" s="37" t="s">
        <v>94</v>
      </c>
      <c r="D41" s="38"/>
      <c r="E41" s="38"/>
      <c r="F41" s="38"/>
      <c r="G41" s="38"/>
      <c r="H41" s="38"/>
      <c r="I41" s="38"/>
      <c r="J41" s="34">
        <f t="shared" si="0"/>
        <v>0</v>
      </c>
      <c r="K41" s="34">
        <f t="shared" si="1"/>
        <v>0</v>
      </c>
      <c r="L41" s="6"/>
      <c r="M41" s="6"/>
      <c r="N41" s="6"/>
      <c r="O41" s="6"/>
    </row>
    <row r="42" spans="1:15" ht="15.75" customHeight="1" x14ac:dyDescent="0.25">
      <c r="A42" s="35">
        <v>30</v>
      </c>
      <c r="B42" s="36">
        <v>23510250224</v>
      </c>
      <c r="C42" s="37" t="s">
        <v>95</v>
      </c>
      <c r="D42" s="38"/>
      <c r="E42" s="38"/>
      <c r="F42" s="38"/>
      <c r="G42" s="38"/>
      <c r="H42" s="38"/>
      <c r="I42" s="38"/>
      <c r="J42" s="34">
        <f t="shared" si="0"/>
        <v>0</v>
      </c>
      <c r="K42" s="34">
        <f t="shared" si="1"/>
        <v>0</v>
      </c>
      <c r="L42" s="6"/>
      <c r="M42" s="6"/>
      <c r="N42" s="6"/>
      <c r="O42" s="6"/>
    </row>
    <row r="43" spans="1:15" ht="15.75" customHeight="1" x14ac:dyDescent="0.25">
      <c r="A43" s="35">
        <v>31</v>
      </c>
      <c r="B43" s="36">
        <v>23510250225</v>
      </c>
      <c r="C43" s="37" t="s">
        <v>96</v>
      </c>
      <c r="D43" s="38"/>
      <c r="E43" s="38"/>
      <c r="F43" s="38"/>
      <c r="G43" s="38"/>
      <c r="H43" s="38"/>
      <c r="I43" s="38"/>
      <c r="J43" s="34">
        <f t="shared" si="0"/>
        <v>0</v>
      </c>
      <c r="K43" s="34">
        <f t="shared" si="1"/>
        <v>0</v>
      </c>
      <c r="L43" s="6"/>
      <c r="M43" s="6"/>
      <c r="N43" s="6"/>
      <c r="O43" s="6"/>
    </row>
    <row r="44" spans="1:15" ht="15.75" customHeight="1" x14ac:dyDescent="0.25">
      <c r="A44" s="35">
        <v>32</v>
      </c>
      <c r="B44" s="36">
        <v>23510250226</v>
      </c>
      <c r="C44" s="37" t="s">
        <v>97</v>
      </c>
      <c r="D44" s="38"/>
      <c r="E44" s="38"/>
      <c r="F44" s="38"/>
      <c r="G44" s="38"/>
      <c r="H44" s="38"/>
      <c r="I44" s="38"/>
      <c r="J44" s="34">
        <f t="shared" si="0"/>
        <v>0</v>
      </c>
      <c r="K44" s="34">
        <f t="shared" si="1"/>
        <v>0</v>
      </c>
      <c r="L44" s="6"/>
      <c r="M44" s="6"/>
      <c r="N44" s="6"/>
      <c r="O44" s="6"/>
    </row>
    <row r="45" spans="1:15" ht="15.75" customHeight="1" x14ac:dyDescent="0.25">
      <c r="A45" s="35">
        <v>33</v>
      </c>
      <c r="B45" s="36">
        <v>23510250227</v>
      </c>
      <c r="C45" s="37" t="s">
        <v>98</v>
      </c>
      <c r="D45" s="38"/>
      <c r="E45" s="38"/>
      <c r="F45" s="38"/>
      <c r="G45" s="38"/>
      <c r="H45" s="38"/>
      <c r="I45" s="38"/>
      <c r="J45" s="34">
        <f t="shared" si="0"/>
        <v>0</v>
      </c>
      <c r="K45" s="34">
        <f t="shared" si="1"/>
        <v>0</v>
      </c>
      <c r="L45" s="6"/>
      <c r="M45" s="6"/>
      <c r="N45" s="6"/>
      <c r="O45" s="6"/>
    </row>
    <row r="46" spans="1:15" ht="15.75" customHeight="1" x14ac:dyDescent="0.25">
      <c r="A46" s="35">
        <v>34</v>
      </c>
      <c r="B46" s="36">
        <v>23510250228</v>
      </c>
      <c r="C46" s="37" t="s">
        <v>99</v>
      </c>
      <c r="D46" s="38"/>
      <c r="E46" s="38"/>
      <c r="F46" s="38"/>
      <c r="G46" s="38"/>
      <c r="H46" s="38"/>
      <c r="I46" s="38"/>
      <c r="J46" s="34">
        <f t="shared" si="0"/>
        <v>0</v>
      </c>
      <c r="K46" s="34">
        <f t="shared" si="1"/>
        <v>0</v>
      </c>
      <c r="L46" s="6"/>
      <c r="M46" s="6"/>
      <c r="N46" s="6"/>
      <c r="O46" s="6"/>
    </row>
    <row r="47" spans="1:15" ht="15.75" customHeight="1" x14ac:dyDescent="0.25">
      <c r="A47" s="35">
        <v>35</v>
      </c>
      <c r="B47" s="36">
        <v>23510250233</v>
      </c>
      <c r="C47" s="37" t="s">
        <v>100</v>
      </c>
      <c r="D47" s="38"/>
      <c r="E47" s="38"/>
      <c r="F47" s="38"/>
      <c r="G47" s="38"/>
      <c r="H47" s="38"/>
      <c r="I47" s="38"/>
      <c r="J47" s="34">
        <f t="shared" si="0"/>
        <v>0</v>
      </c>
      <c r="K47" s="34">
        <f t="shared" si="1"/>
        <v>0</v>
      </c>
      <c r="L47" s="6"/>
      <c r="M47" s="6"/>
      <c r="N47" s="6"/>
      <c r="O47" s="6"/>
    </row>
    <row r="48" spans="1:15" ht="15.75" customHeight="1" x14ac:dyDescent="0.25">
      <c r="A48" s="35">
        <v>36</v>
      </c>
      <c r="B48" s="36">
        <v>23510250234</v>
      </c>
      <c r="C48" s="37" t="s">
        <v>101</v>
      </c>
      <c r="D48" s="38"/>
      <c r="E48" s="38"/>
      <c r="F48" s="38"/>
      <c r="G48" s="38"/>
      <c r="H48" s="38"/>
      <c r="I48" s="38"/>
      <c r="J48" s="34">
        <f t="shared" si="0"/>
        <v>0</v>
      </c>
      <c r="K48" s="34">
        <f t="shared" si="1"/>
        <v>0</v>
      </c>
      <c r="L48" s="6"/>
      <c r="M48" s="6"/>
      <c r="N48" s="6"/>
      <c r="O48" s="6"/>
    </row>
    <row r="49" spans="1:15" ht="15.75" customHeight="1" x14ac:dyDescent="0.25">
      <c r="A49" s="35">
        <v>37</v>
      </c>
      <c r="B49" s="36">
        <v>23510250235</v>
      </c>
      <c r="C49" s="37" t="s">
        <v>102</v>
      </c>
      <c r="D49" s="38"/>
      <c r="E49" s="38"/>
      <c r="F49" s="38"/>
      <c r="G49" s="38"/>
      <c r="H49" s="38"/>
      <c r="I49" s="38"/>
      <c r="J49" s="34">
        <f t="shared" si="0"/>
        <v>0</v>
      </c>
      <c r="K49" s="34">
        <f t="shared" si="1"/>
        <v>0</v>
      </c>
      <c r="L49" s="6"/>
      <c r="M49" s="6"/>
      <c r="N49" s="6"/>
      <c r="O49" s="6"/>
    </row>
    <row r="50" spans="1:15" ht="15.75" customHeight="1" x14ac:dyDescent="0.25">
      <c r="A50" s="35">
        <v>38</v>
      </c>
      <c r="B50" s="36">
        <v>23510250236</v>
      </c>
      <c r="C50" s="37" t="s">
        <v>103</v>
      </c>
      <c r="D50" s="38"/>
      <c r="E50" s="38"/>
      <c r="F50" s="38"/>
      <c r="G50" s="38"/>
      <c r="H50" s="38"/>
      <c r="I50" s="38"/>
      <c r="J50" s="34">
        <f t="shared" si="0"/>
        <v>0</v>
      </c>
      <c r="K50" s="34">
        <f t="shared" si="1"/>
        <v>0</v>
      </c>
      <c r="L50" s="6"/>
      <c r="M50" s="6"/>
      <c r="N50" s="6"/>
      <c r="O50" s="6"/>
    </row>
    <row r="51" spans="1:15" ht="15.75" customHeight="1" x14ac:dyDescent="0.25">
      <c r="A51" s="35">
        <v>39</v>
      </c>
      <c r="B51" s="36">
        <v>23510250237</v>
      </c>
      <c r="C51" s="37" t="s">
        <v>104</v>
      </c>
      <c r="D51" s="38"/>
      <c r="E51" s="38"/>
      <c r="F51" s="38"/>
      <c r="G51" s="38"/>
      <c r="H51" s="38"/>
      <c r="I51" s="38"/>
      <c r="J51" s="34">
        <f t="shared" si="0"/>
        <v>0</v>
      </c>
      <c r="K51" s="34">
        <f t="shared" si="1"/>
        <v>0</v>
      </c>
      <c r="L51" s="6"/>
      <c r="M51" s="6"/>
      <c r="N51" s="6"/>
      <c r="O51" s="6"/>
    </row>
    <row r="52" spans="1:15" ht="15.75" customHeight="1" x14ac:dyDescent="0.25">
      <c r="A52" s="35">
        <v>40</v>
      </c>
      <c r="B52" s="36">
        <v>23510250238</v>
      </c>
      <c r="C52" s="37" t="s">
        <v>105</v>
      </c>
      <c r="D52" s="38"/>
      <c r="E52" s="38"/>
      <c r="F52" s="38"/>
      <c r="G52" s="38"/>
      <c r="H52" s="38"/>
      <c r="I52" s="38"/>
      <c r="J52" s="34">
        <f t="shared" si="0"/>
        <v>0</v>
      </c>
      <c r="K52" s="34">
        <f t="shared" si="1"/>
        <v>0</v>
      </c>
      <c r="L52" s="6"/>
      <c r="M52" s="6"/>
      <c r="N52" s="6"/>
      <c r="O52" s="6"/>
    </row>
    <row r="53" spans="1:15" ht="15.75" customHeight="1" x14ac:dyDescent="0.25">
      <c r="A53" s="35">
        <v>41</v>
      </c>
      <c r="B53" s="36">
        <v>23510250239</v>
      </c>
      <c r="C53" s="37" t="s">
        <v>106</v>
      </c>
      <c r="D53" s="38"/>
      <c r="E53" s="38"/>
      <c r="F53" s="38"/>
      <c r="G53" s="38"/>
      <c r="H53" s="38"/>
      <c r="I53" s="38"/>
      <c r="J53" s="34">
        <f t="shared" si="0"/>
        <v>0</v>
      </c>
      <c r="K53" s="34">
        <f t="shared" si="1"/>
        <v>0</v>
      </c>
      <c r="L53" s="6"/>
      <c r="M53" s="6"/>
      <c r="N53" s="6"/>
      <c r="O53" s="6"/>
    </row>
    <row r="54" spans="1:15" ht="15.75" customHeight="1" x14ac:dyDescent="0.25">
      <c r="A54" s="35">
        <v>42</v>
      </c>
      <c r="B54" s="36">
        <v>23510250240</v>
      </c>
      <c r="C54" s="37" t="s">
        <v>107</v>
      </c>
      <c r="D54" s="38"/>
      <c r="E54" s="38"/>
      <c r="F54" s="38"/>
      <c r="G54" s="38"/>
      <c r="H54" s="38"/>
      <c r="I54" s="38"/>
      <c r="J54" s="34">
        <f t="shared" si="0"/>
        <v>0</v>
      </c>
      <c r="K54" s="34">
        <f t="shared" si="1"/>
        <v>0</v>
      </c>
      <c r="L54" s="6"/>
      <c r="M54" s="6"/>
      <c r="N54" s="6"/>
      <c r="O54" s="6"/>
    </row>
    <row r="55" spans="1:15" ht="15.75" customHeight="1" x14ac:dyDescent="0.25">
      <c r="A55" s="35">
        <v>43</v>
      </c>
      <c r="B55" s="36">
        <v>23510250241</v>
      </c>
      <c r="C55" s="37" t="s">
        <v>108</v>
      </c>
      <c r="D55" s="38"/>
      <c r="E55" s="38"/>
      <c r="F55" s="38"/>
      <c r="G55" s="38"/>
      <c r="H55" s="38"/>
      <c r="I55" s="38"/>
      <c r="J55" s="34">
        <f t="shared" si="0"/>
        <v>0</v>
      </c>
      <c r="K55" s="34">
        <f t="shared" si="1"/>
        <v>0</v>
      </c>
      <c r="L55" s="6"/>
      <c r="M55" s="6"/>
      <c r="N55" s="6"/>
      <c r="O55" s="6"/>
    </row>
    <row r="56" spans="1:15" ht="15.75" customHeight="1" x14ac:dyDescent="0.25">
      <c r="A56" s="35">
        <v>44</v>
      </c>
      <c r="B56" s="36">
        <v>23510250242</v>
      </c>
      <c r="C56" s="37" t="s">
        <v>109</v>
      </c>
      <c r="D56" s="38"/>
      <c r="E56" s="38"/>
      <c r="F56" s="38"/>
      <c r="G56" s="38"/>
      <c r="H56" s="38"/>
      <c r="I56" s="38"/>
      <c r="J56" s="34">
        <f t="shared" si="0"/>
        <v>0</v>
      </c>
      <c r="K56" s="34">
        <f t="shared" si="1"/>
        <v>0</v>
      </c>
      <c r="L56" s="6"/>
      <c r="M56" s="6"/>
      <c r="N56" s="6"/>
      <c r="O56" s="6"/>
    </row>
    <row r="57" spans="1:15" ht="15.75" customHeight="1" x14ac:dyDescent="0.25">
      <c r="A57" s="35">
        <v>45</v>
      </c>
      <c r="B57" s="36">
        <v>23510250244</v>
      </c>
      <c r="C57" s="37" t="s">
        <v>110</v>
      </c>
      <c r="D57" s="38"/>
      <c r="E57" s="38"/>
      <c r="F57" s="38"/>
      <c r="G57" s="38"/>
      <c r="H57" s="38"/>
      <c r="I57" s="38"/>
      <c r="J57" s="34">
        <f t="shared" si="0"/>
        <v>0</v>
      </c>
      <c r="K57" s="34">
        <f t="shared" si="1"/>
        <v>0</v>
      </c>
      <c r="L57" s="6"/>
      <c r="M57" s="6"/>
      <c r="N57" s="6"/>
      <c r="O57" s="6"/>
    </row>
    <row r="58" spans="1:15" ht="15.75" customHeight="1" x14ac:dyDescent="0.25">
      <c r="A58" s="35">
        <v>46</v>
      </c>
      <c r="B58" s="36">
        <v>23510250246</v>
      </c>
      <c r="C58" s="37" t="s">
        <v>111</v>
      </c>
      <c r="D58" s="38"/>
      <c r="E58" s="38"/>
      <c r="F58" s="38"/>
      <c r="G58" s="38"/>
      <c r="H58" s="38"/>
      <c r="I58" s="38"/>
      <c r="J58" s="34">
        <f t="shared" si="0"/>
        <v>0</v>
      </c>
      <c r="K58" s="34">
        <f t="shared" si="1"/>
        <v>0</v>
      </c>
      <c r="L58" s="6"/>
      <c r="M58" s="6"/>
      <c r="N58" s="6"/>
      <c r="O58" s="6"/>
    </row>
    <row r="59" spans="1:15" ht="15.75" customHeight="1" x14ac:dyDescent="0.25">
      <c r="A59" s="35">
        <v>47</v>
      </c>
      <c r="B59" s="36">
        <v>23510250247</v>
      </c>
      <c r="C59" s="37" t="s">
        <v>112</v>
      </c>
      <c r="D59" s="38"/>
      <c r="E59" s="38"/>
      <c r="F59" s="38"/>
      <c r="G59" s="38"/>
      <c r="H59" s="38"/>
      <c r="I59" s="38"/>
      <c r="J59" s="34">
        <f t="shared" si="0"/>
        <v>0</v>
      </c>
      <c r="K59" s="34">
        <f t="shared" si="1"/>
        <v>0</v>
      </c>
      <c r="L59" s="6"/>
      <c r="M59" s="6"/>
      <c r="N59" s="6"/>
      <c r="O59" s="6"/>
    </row>
    <row r="60" spans="1:15" ht="15.75" customHeight="1" x14ac:dyDescent="0.25">
      <c r="A60" s="35">
        <v>48</v>
      </c>
      <c r="B60" s="36">
        <v>23510250248</v>
      </c>
      <c r="C60" s="37" t="s">
        <v>113</v>
      </c>
      <c r="D60" s="38"/>
      <c r="E60" s="38"/>
      <c r="F60" s="38"/>
      <c r="G60" s="38"/>
      <c r="H60" s="38"/>
      <c r="I60" s="38"/>
      <c r="J60" s="34">
        <f t="shared" si="0"/>
        <v>0</v>
      </c>
      <c r="K60" s="34">
        <f t="shared" si="1"/>
        <v>0</v>
      </c>
      <c r="L60" s="6"/>
      <c r="M60" s="6"/>
      <c r="N60" s="6"/>
      <c r="O60" s="6"/>
    </row>
    <row r="61" spans="1:15" ht="15.75" customHeight="1" x14ac:dyDescent="0.25">
      <c r="A61" s="35">
        <v>49</v>
      </c>
      <c r="B61" s="36">
        <v>23510250249</v>
      </c>
      <c r="C61" s="37" t="s">
        <v>114</v>
      </c>
      <c r="D61" s="38"/>
      <c r="E61" s="38"/>
      <c r="F61" s="38"/>
      <c r="G61" s="38"/>
      <c r="H61" s="38"/>
      <c r="I61" s="38"/>
      <c r="J61" s="34">
        <f t="shared" si="0"/>
        <v>0</v>
      </c>
      <c r="K61" s="34">
        <f t="shared" si="1"/>
        <v>0</v>
      </c>
      <c r="L61" s="6"/>
      <c r="M61" s="6"/>
      <c r="N61" s="6"/>
      <c r="O61" s="6"/>
    </row>
    <row r="62" spans="1:15" ht="15.75" customHeight="1" x14ac:dyDescent="0.25">
      <c r="A62" s="35">
        <v>50</v>
      </c>
      <c r="B62" s="36">
        <v>23510250250</v>
      </c>
      <c r="C62" s="37" t="s">
        <v>115</v>
      </c>
      <c r="D62" s="38"/>
      <c r="E62" s="38"/>
      <c r="F62" s="38"/>
      <c r="G62" s="38"/>
      <c r="H62" s="38"/>
      <c r="I62" s="38"/>
      <c r="J62" s="34">
        <f t="shared" si="0"/>
        <v>0</v>
      </c>
      <c r="K62" s="34">
        <f t="shared" si="1"/>
        <v>0</v>
      </c>
      <c r="L62" s="6"/>
      <c r="M62" s="6"/>
      <c r="N62" s="6"/>
      <c r="O62" s="6"/>
    </row>
    <row r="63" spans="1:15" ht="15.75" customHeight="1" x14ac:dyDescent="0.25">
      <c r="A63" s="35">
        <v>51</v>
      </c>
      <c r="B63" s="36">
        <v>23510250251</v>
      </c>
      <c r="C63" s="37" t="s">
        <v>116</v>
      </c>
      <c r="D63" s="38"/>
      <c r="E63" s="38"/>
      <c r="F63" s="38"/>
      <c r="G63" s="38"/>
      <c r="H63" s="38"/>
      <c r="I63" s="38"/>
      <c r="J63" s="34">
        <f t="shared" si="0"/>
        <v>0</v>
      </c>
      <c r="K63" s="34">
        <f t="shared" si="1"/>
        <v>0</v>
      </c>
      <c r="L63" s="6"/>
      <c r="M63" s="6"/>
      <c r="N63" s="6"/>
      <c r="O63" s="6"/>
    </row>
    <row r="64" spans="1:15" ht="15.75" customHeight="1" x14ac:dyDescent="0.25">
      <c r="A64" s="35">
        <v>52</v>
      </c>
      <c r="B64" s="36">
        <v>23510250252</v>
      </c>
      <c r="C64" s="37" t="s">
        <v>117</v>
      </c>
      <c r="D64" s="38"/>
      <c r="E64" s="38"/>
      <c r="F64" s="38"/>
      <c r="G64" s="38"/>
      <c r="H64" s="38"/>
      <c r="I64" s="38"/>
      <c r="J64" s="34">
        <f t="shared" si="0"/>
        <v>0</v>
      </c>
      <c r="K64" s="34">
        <f t="shared" si="1"/>
        <v>0</v>
      </c>
      <c r="L64" s="6"/>
      <c r="M64" s="6"/>
      <c r="N64" s="6"/>
      <c r="O64" s="6"/>
    </row>
    <row r="65" spans="1:15" ht="15.75" customHeight="1" x14ac:dyDescent="0.25">
      <c r="A65" s="35">
        <v>53</v>
      </c>
      <c r="B65" s="36">
        <v>23510250254</v>
      </c>
      <c r="C65" s="37" t="s">
        <v>118</v>
      </c>
      <c r="D65" s="38"/>
      <c r="E65" s="38"/>
      <c r="F65" s="38"/>
      <c r="G65" s="38"/>
      <c r="H65" s="38"/>
      <c r="I65" s="38"/>
      <c r="J65" s="34">
        <f t="shared" si="0"/>
        <v>0</v>
      </c>
      <c r="K65" s="34">
        <f t="shared" si="1"/>
        <v>0</v>
      </c>
      <c r="L65" s="6"/>
      <c r="M65" s="6"/>
      <c r="N65" s="6"/>
      <c r="O65" s="6"/>
    </row>
    <row r="66" spans="1:15" ht="15.75" customHeight="1" x14ac:dyDescent="0.25">
      <c r="A66" s="35">
        <v>54</v>
      </c>
      <c r="B66" s="36">
        <v>23510250255</v>
      </c>
      <c r="C66" s="37" t="s">
        <v>119</v>
      </c>
      <c r="D66" s="38"/>
      <c r="E66" s="38"/>
      <c r="F66" s="38"/>
      <c r="G66" s="38"/>
      <c r="H66" s="38"/>
      <c r="I66" s="38"/>
      <c r="J66" s="34">
        <f t="shared" si="0"/>
        <v>0</v>
      </c>
      <c r="K66" s="34">
        <f t="shared" si="1"/>
        <v>0</v>
      </c>
      <c r="L66" s="6"/>
      <c r="M66" s="6"/>
      <c r="N66" s="6"/>
      <c r="O66" s="6"/>
    </row>
    <row r="67" spans="1:15" ht="15.75" customHeight="1" x14ac:dyDescent="0.25">
      <c r="A67" s="35">
        <v>55</v>
      </c>
      <c r="B67" s="36">
        <v>23510250257</v>
      </c>
      <c r="C67" s="37" t="s">
        <v>120</v>
      </c>
      <c r="D67" s="38"/>
      <c r="E67" s="38"/>
      <c r="F67" s="38"/>
      <c r="G67" s="38"/>
      <c r="H67" s="38"/>
      <c r="I67" s="38"/>
      <c r="J67" s="34">
        <f t="shared" si="0"/>
        <v>0</v>
      </c>
      <c r="K67" s="34">
        <f t="shared" si="1"/>
        <v>0</v>
      </c>
      <c r="L67" s="6"/>
      <c r="M67" s="6"/>
      <c r="N67" s="6"/>
      <c r="O67" s="6"/>
    </row>
    <row r="68" spans="1:15" ht="15.75" customHeight="1" x14ac:dyDescent="0.25">
      <c r="A68" s="35">
        <v>56</v>
      </c>
      <c r="B68" s="36">
        <v>23510250524</v>
      </c>
      <c r="C68" s="37" t="s">
        <v>121</v>
      </c>
      <c r="D68" s="38"/>
      <c r="E68" s="38"/>
      <c r="F68" s="38"/>
      <c r="G68" s="38"/>
      <c r="H68" s="38"/>
      <c r="I68" s="38"/>
      <c r="J68" s="34">
        <f t="shared" si="0"/>
        <v>0</v>
      </c>
      <c r="K68" s="34">
        <f t="shared" si="1"/>
        <v>0</v>
      </c>
      <c r="L68" s="6"/>
      <c r="M68" s="6"/>
      <c r="N68" s="6"/>
      <c r="O68" s="6"/>
    </row>
    <row r="69" spans="1:15" ht="15.75" customHeight="1" x14ac:dyDescent="0.25">
      <c r="A69" s="35">
        <v>57</v>
      </c>
      <c r="B69" s="36">
        <v>24510250260</v>
      </c>
      <c r="C69" s="37" t="s">
        <v>122</v>
      </c>
      <c r="D69" s="38"/>
      <c r="E69" s="38"/>
      <c r="F69" s="38"/>
      <c r="G69" s="38"/>
      <c r="H69" s="38"/>
      <c r="I69" s="38"/>
      <c r="J69" s="34">
        <f t="shared" si="0"/>
        <v>0</v>
      </c>
      <c r="K69" s="34">
        <f t="shared" si="1"/>
        <v>0</v>
      </c>
      <c r="L69" s="6"/>
      <c r="M69" s="6"/>
      <c r="N69" s="6"/>
      <c r="O69" s="6"/>
    </row>
    <row r="70" spans="1:15" ht="15.75" customHeight="1" x14ac:dyDescent="0.25">
      <c r="A70" s="35">
        <v>58</v>
      </c>
      <c r="B70" s="36">
        <v>24510250261</v>
      </c>
      <c r="C70" s="37" t="s">
        <v>123</v>
      </c>
      <c r="D70" s="38"/>
      <c r="E70" s="38"/>
      <c r="F70" s="38"/>
      <c r="G70" s="38"/>
      <c r="H70" s="38"/>
      <c r="I70" s="38"/>
      <c r="J70" s="34">
        <f t="shared" si="0"/>
        <v>0</v>
      </c>
      <c r="K70" s="34">
        <f t="shared" si="1"/>
        <v>0</v>
      </c>
      <c r="L70" s="6"/>
      <c r="M70" s="6"/>
      <c r="N70" s="6"/>
      <c r="O70" s="6"/>
    </row>
    <row r="71" spans="1:15" ht="15.75" customHeight="1" x14ac:dyDescent="0.25">
      <c r="A71" s="35">
        <v>59</v>
      </c>
      <c r="B71" s="36">
        <v>24510250262</v>
      </c>
      <c r="C71" s="37" t="s">
        <v>124</v>
      </c>
      <c r="D71" s="38"/>
      <c r="E71" s="38"/>
      <c r="F71" s="38"/>
      <c r="G71" s="38"/>
      <c r="H71" s="38"/>
      <c r="I71" s="38"/>
      <c r="J71" s="34">
        <f t="shared" si="0"/>
        <v>0</v>
      </c>
      <c r="K71" s="34">
        <f t="shared" si="1"/>
        <v>0</v>
      </c>
      <c r="L71" s="6"/>
      <c r="M71" s="6"/>
      <c r="N71" s="6"/>
      <c r="O71" s="6"/>
    </row>
    <row r="72" spans="1:15" ht="15.75" customHeight="1" x14ac:dyDescent="0.25">
      <c r="A72" s="35">
        <v>60</v>
      </c>
      <c r="B72" s="36">
        <v>24510250263</v>
      </c>
      <c r="C72" s="37" t="s">
        <v>125</v>
      </c>
      <c r="D72" s="38"/>
      <c r="E72" s="38"/>
      <c r="F72" s="38"/>
      <c r="G72" s="38"/>
      <c r="H72" s="38"/>
      <c r="I72" s="38"/>
      <c r="J72" s="34">
        <f t="shared" si="0"/>
        <v>0</v>
      </c>
      <c r="K72" s="34">
        <f t="shared" si="1"/>
        <v>0</v>
      </c>
      <c r="L72" s="6"/>
      <c r="M72" s="6"/>
      <c r="N72" s="6"/>
      <c r="O72" s="6"/>
    </row>
    <row r="73" spans="1:15" ht="15.75" customHeight="1" x14ac:dyDescent="0.25">
      <c r="A73" s="35">
        <v>61</v>
      </c>
      <c r="B73" s="36">
        <v>24510250264</v>
      </c>
      <c r="C73" s="37" t="s">
        <v>126</v>
      </c>
      <c r="D73" s="38"/>
      <c r="E73" s="38"/>
      <c r="F73" s="38"/>
      <c r="G73" s="38"/>
      <c r="H73" s="38"/>
      <c r="I73" s="38"/>
      <c r="J73" s="34">
        <f t="shared" si="0"/>
        <v>0</v>
      </c>
      <c r="K73" s="34">
        <f t="shared" si="1"/>
        <v>0</v>
      </c>
      <c r="L73" s="6"/>
      <c r="M73" s="6"/>
      <c r="N73" s="6"/>
      <c r="O73" s="6"/>
    </row>
    <row r="74" spans="1:15" ht="15.75" customHeight="1" x14ac:dyDescent="0.25">
      <c r="A74" s="35">
        <v>62</v>
      </c>
      <c r="B74" s="36">
        <v>24510250265</v>
      </c>
      <c r="C74" s="37" t="s">
        <v>127</v>
      </c>
      <c r="D74" s="38"/>
      <c r="E74" s="38"/>
      <c r="F74" s="38"/>
      <c r="G74" s="38"/>
      <c r="H74" s="38"/>
      <c r="I74" s="38"/>
      <c r="J74" s="34">
        <f t="shared" si="0"/>
        <v>0</v>
      </c>
      <c r="K74" s="34">
        <f t="shared" si="1"/>
        <v>0</v>
      </c>
      <c r="L74" s="6"/>
      <c r="M74" s="6"/>
      <c r="N74" s="6"/>
      <c r="O74" s="6"/>
    </row>
    <row r="75" spans="1:15" ht="15.75" customHeight="1" x14ac:dyDescent="0.25">
      <c r="A75" s="35">
        <v>63</v>
      </c>
      <c r="B75" s="36">
        <v>24510250266</v>
      </c>
      <c r="C75" s="37" t="s">
        <v>128</v>
      </c>
      <c r="D75" s="38"/>
      <c r="E75" s="38"/>
      <c r="F75" s="38"/>
      <c r="G75" s="38"/>
      <c r="H75" s="38"/>
      <c r="I75" s="38"/>
      <c r="J75" s="34">
        <f t="shared" si="0"/>
        <v>0</v>
      </c>
      <c r="K75" s="34">
        <f t="shared" si="1"/>
        <v>0</v>
      </c>
      <c r="L75" s="6"/>
      <c r="M75" s="6"/>
      <c r="N75" s="6"/>
      <c r="O75" s="6"/>
    </row>
    <row r="76" spans="1:15" ht="15.75" customHeight="1" x14ac:dyDescent="0.25">
      <c r="A76" s="35">
        <v>64</v>
      </c>
      <c r="B76" s="39"/>
      <c r="C76" s="39"/>
      <c r="D76" s="38"/>
      <c r="E76" s="38"/>
      <c r="F76" s="38"/>
      <c r="G76" s="38"/>
      <c r="H76" s="38"/>
      <c r="I76" s="38"/>
      <c r="J76" s="34">
        <f t="shared" si="0"/>
        <v>0</v>
      </c>
      <c r="K76" s="34">
        <f t="shared" si="1"/>
        <v>0</v>
      </c>
      <c r="L76" s="6"/>
      <c r="M76" s="6"/>
      <c r="N76" s="6"/>
      <c r="O76" s="6"/>
    </row>
    <row r="77" spans="1:15" ht="15.75" customHeight="1" x14ac:dyDescent="0.25">
      <c r="A77" s="35">
        <v>65</v>
      </c>
      <c r="B77" s="39"/>
      <c r="C77" s="39"/>
      <c r="D77" s="38"/>
      <c r="E77" s="38"/>
      <c r="F77" s="38"/>
      <c r="G77" s="38"/>
      <c r="H77" s="38"/>
      <c r="I77" s="38"/>
      <c r="J77" s="34">
        <f t="shared" si="0"/>
        <v>0</v>
      </c>
      <c r="K77" s="34">
        <f t="shared" si="1"/>
        <v>0</v>
      </c>
      <c r="L77" s="6"/>
      <c r="M77" s="6"/>
      <c r="N77" s="6"/>
      <c r="O77" s="6"/>
    </row>
    <row r="78" spans="1:15" ht="15.75" customHeight="1" x14ac:dyDescent="0.25">
      <c r="A78" s="35">
        <v>66</v>
      </c>
      <c r="B78" s="39"/>
      <c r="C78" s="39"/>
      <c r="D78" s="38"/>
      <c r="E78" s="38"/>
      <c r="F78" s="38"/>
      <c r="G78" s="38"/>
      <c r="H78" s="38"/>
      <c r="I78" s="38"/>
      <c r="J78" s="34">
        <f t="shared" si="0"/>
        <v>0</v>
      </c>
      <c r="K78" s="34">
        <f t="shared" si="1"/>
        <v>0</v>
      </c>
      <c r="L78" s="6"/>
      <c r="M78" s="6"/>
      <c r="N78" s="6"/>
      <c r="O78" s="6"/>
    </row>
    <row r="79" spans="1:15" ht="15.75" customHeight="1" x14ac:dyDescent="0.25">
      <c r="A79" s="35">
        <v>67</v>
      </c>
      <c r="B79" s="39"/>
      <c r="C79" s="39"/>
      <c r="D79" s="38"/>
      <c r="E79" s="38"/>
      <c r="F79" s="38"/>
      <c r="G79" s="38"/>
      <c r="H79" s="38"/>
      <c r="I79" s="38"/>
      <c r="J79" s="34">
        <f t="shared" si="0"/>
        <v>0</v>
      </c>
      <c r="K79" s="34">
        <f t="shared" si="1"/>
        <v>0</v>
      </c>
      <c r="L79" s="6"/>
      <c r="M79" s="6"/>
      <c r="N79" s="6"/>
      <c r="O79" s="6"/>
    </row>
    <row r="80" spans="1:15" ht="15.75" customHeight="1" x14ac:dyDescent="0.25">
      <c r="A80" s="35">
        <v>68</v>
      </c>
      <c r="B80" s="39"/>
      <c r="C80" s="39"/>
      <c r="D80" s="38"/>
      <c r="E80" s="38"/>
      <c r="F80" s="38"/>
      <c r="G80" s="38"/>
      <c r="H80" s="38"/>
      <c r="I80" s="38"/>
      <c r="J80" s="34">
        <f t="shared" si="0"/>
        <v>0</v>
      </c>
      <c r="K80" s="34">
        <f t="shared" si="1"/>
        <v>0</v>
      </c>
      <c r="L80" s="6"/>
      <c r="M80" s="6"/>
      <c r="N80" s="6"/>
      <c r="O80" s="6"/>
    </row>
    <row r="81" spans="1:15" ht="15.75" customHeight="1" x14ac:dyDescent="0.25">
      <c r="A81" s="35">
        <v>69</v>
      </c>
      <c r="B81" s="39"/>
      <c r="C81" s="39"/>
      <c r="D81" s="38"/>
      <c r="E81" s="38"/>
      <c r="F81" s="38"/>
      <c r="G81" s="38"/>
      <c r="H81" s="38"/>
      <c r="I81" s="38"/>
      <c r="J81" s="34">
        <f t="shared" si="0"/>
        <v>0</v>
      </c>
      <c r="K81" s="34">
        <f t="shared" si="1"/>
        <v>0</v>
      </c>
      <c r="L81" s="6"/>
      <c r="M81" s="6"/>
      <c r="N81" s="6"/>
      <c r="O81" s="6"/>
    </row>
    <row r="82" spans="1:15" ht="15.75" customHeight="1" x14ac:dyDescent="0.25">
      <c r="A82" s="35">
        <v>70</v>
      </c>
      <c r="B82" s="39"/>
      <c r="C82" s="39"/>
      <c r="D82" s="38"/>
      <c r="E82" s="38"/>
      <c r="F82" s="38"/>
      <c r="G82" s="38"/>
      <c r="H82" s="38"/>
      <c r="I82" s="38"/>
      <c r="J82" s="34">
        <f t="shared" si="0"/>
        <v>0</v>
      </c>
      <c r="K82" s="34">
        <f t="shared" si="1"/>
        <v>0</v>
      </c>
      <c r="L82" s="6"/>
      <c r="M82" s="6"/>
      <c r="N82" s="6"/>
      <c r="O82" s="6"/>
    </row>
    <row r="83" spans="1:15" ht="15.75" customHeight="1" x14ac:dyDescent="0.25">
      <c r="A83" s="35">
        <v>71</v>
      </c>
      <c r="B83" s="39"/>
      <c r="C83" s="39"/>
      <c r="D83" s="38"/>
      <c r="E83" s="38"/>
      <c r="F83" s="38"/>
      <c r="G83" s="38"/>
      <c r="H83" s="38"/>
      <c r="I83" s="38"/>
      <c r="J83" s="34">
        <f t="shared" si="0"/>
        <v>0</v>
      </c>
      <c r="K83" s="34">
        <f t="shared" si="1"/>
        <v>0</v>
      </c>
      <c r="L83" s="6"/>
      <c r="M83" s="6"/>
      <c r="N83" s="6"/>
      <c r="O83" s="6"/>
    </row>
    <row r="84" spans="1:15" ht="15.75" customHeight="1" x14ac:dyDescent="0.25">
      <c r="A84" s="35">
        <v>72</v>
      </c>
      <c r="B84" s="39"/>
      <c r="C84" s="39"/>
      <c r="D84" s="38"/>
      <c r="E84" s="38"/>
      <c r="F84" s="38"/>
      <c r="G84" s="38"/>
      <c r="H84" s="38"/>
      <c r="I84" s="38"/>
      <c r="J84" s="34">
        <f t="shared" si="0"/>
        <v>0</v>
      </c>
      <c r="K84" s="34">
        <f t="shared" si="1"/>
        <v>0</v>
      </c>
      <c r="L84" s="6"/>
      <c r="M84" s="6"/>
      <c r="N84" s="6"/>
      <c r="O84" s="6"/>
    </row>
    <row r="85" spans="1:15" ht="15.75" customHeight="1" x14ac:dyDescent="0.25">
      <c r="A85" s="35">
        <v>73</v>
      </c>
      <c r="B85" s="39"/>
      <c r="C85" s="39"/>
      <c r="D85" s="38"/>
      <c r="E85" s="38"/>
      <c r="F85" s="38"/>
      <c r="G85" s="38"/>
      <c r="H85" s="38"/>
      <c r="I85" s="38"/>
      <c r="J85" s="34">
        <f t="shared" si="0"/>
        <v>0</v>
      </c>
      <c r="K85" s="34">
        <f t="shared" si="1"/>
        <v>0</v>
      </c>
      <c r="L85" s="6"/>
      <c r="M85" s="6"/>
      <c r="N85" s="6"/>
      <c r="O85" s="6"/>
    </row>
    <row r="86" spans="1:15" ht="15.75" customHeight="1" x14ac:dyDescent="0.25">
      <c r="A86" s="35">
        <v>74</v>
      </c>
      <c r="B86" s="39"/>
      <c r="C86" s="39"/>
      <c r="D86" s="38"/>
      <c r="E86" s="38"/>
      <c r="F86" s="38"/>
      <c r="G86" s="38"/>
      <c r="H86" s="38"/>
      <c r="I86" s="38"/>
      <c r="J86" s="34">
        <f t="shared" si="0"/>
        <v>0</v>
      </c>
      <c r="K86" s="34">
        <f t="shared" si="1"/>
        <v>0</v>
      </c>
      <c r="L86" s="6"/>
      <c r="M86" s="6"/>
      <c r="N86" s="6"/>
      <c r="O86" s="6"/>
    </row>
    <row r="87" spans="1:15" ht="15.75" customHeight="1" x14ac:dyDescent="0.25">
      <c r="A87" s="35">
        <v>75</v>
      </c>
      <c r="B87" s="39"/>
      <c r="C87" s="39"/>
      <c r="D87" s="38"/>
      <c r="E87" s="38"/>
      <c r="F87" s="38"/>
      <c r="G87" s="38"/>
      <c r="H87" s="38"/>
      <c r="I87" s="38"/>
      <c r="J87" s="34">
        <f t="shared" si="0"/>
        <v>0</v>
      </c>
      <c r="K87" s="34">
        <f t="shared" si="1"/>
        <v>0</v>
      </c>
      <c r="L87" s="6"/>
      <c r="M87" s="6"/>
      <c r="N87" s="6"/>
      <c r="O87" s="6"/>
    </row>
    <row r="88" spans="1:15" ht="15.75" customHeight="1" x14ac:dyDescent="0.25">
      <c r="A88" s="35">
        <v>76</v>
      </c>
      <c r="B88" s="39"/>
      <c r="C88" s="39"/>
      <c r="D88" s="38"/>
      <c r="E88" s="38"/>
      <c r="F88" s="38"/>
      <c r="G88" s="38"/>
      <c r="H88" s="38"/>
      <c r="I88" s="38"/>
      <c r="J88" s="34">
        <f t="shared" si="0"/>
        <v>0</v>
      </c>
      <c r="K88" s="34">
        <f t="shared" si="1"/>
        <v>0</v>
      </c>
      <c r="L88" s="6"/>
      <c r="M88" s="6"/>
      <c r="N88" s="6"/>
      <c r="O88" s="6"/>
    </row>
    <row r="89" spans="1:15" ht="15.75" customHeight="1" x14ac:dyDescent="0.25">
      <c r="A89" s="35">
        <v>77</v>
      </c>
      <c r="B89" s="39"/>
      <c r="C89" s="39"/>
      <c r="D89" s="38"/>
      <c r="E89" s="38"/>
      <c r="F89" s="38"/>
      <c r="G89" s="38"/>
      <c r="H89" s="38"/>
      <c r="I89" s="38"/>
      <c r="J89" s="34">
        <f t="shared" si="0"/>
        <v>0</v>
      </c>
      <c r="K89" s="34">
        <f t="shared" si="1"/>
        <v>0</v>
      </c>
      <c r="L89" s="6"/>
      <c r="M89" s="6"/>
      <c r="N89" s="6"/>
      <c r="O89" s="6"/>
    </row>
    <row r="90" spans="1:15" ht="15.75" customHeight="1" x14ac:dyDescent="0.25">
      <c r="A90" s="35">
        <v>78</v>
      </c>
      <c r="B90" s="39"/>
      <c r="C90" s="39"/>
      <c r="D90" s="38"/>
      <c r="E90" s="38"/>
      <c r="F90" s="38"/>
      <c r="G90" s="38"/>
      <c r="H90" s="38"/>
      <c r="I90" s="38"/>
      <c r="J90" s="34">
        <f t="shared" si="0"/>
        <v>0</v>
      </c>
      <c r="K90" s="34">
        <f t="shared" si="1"/>
        <v>0</v>
      </c>
      <c r="L90" s="6"/>
      <c r="M90" s="6"/>
      <c r="N90" s="6"/>
      <c r="O90" s="6"/>
    </row>
    <row r="91" spans="1:15" ht="15.75" customHeight="1" x14ac:dyDescent="0.25">
      <c r="A91" s="35">
        <v>79</v>
      </c>
      <c r="B91" s="39"/>
      <c r="C91" s="39"/>
      <c r="D91" s="38"/>
      <c r="E91" s="38"/>
      <c r="F91" s="38"/>
      <c r="G91" s="38"/>
      <c r="H91" s="38"/>
      <c r="I91" s="38"/>
      <c r="J91" s="34">
        <f t="shared" si="0"/>
        <v>0</v>
      </c>
      <c r="K91" s="34">
        <f t="shared" si="1"/>
        <v>0</v>
      </c>
      <c r="L91" s="6"/>
      <c r="M91" s="6"/>
      <c r="N91" s="6"/>
      <c r="O91" s="6"/>
    </row>
    <row r="92" spans="1:15" ht="15.75" customHeight="1" x14ac:dyDescent="0.25">
      <c r="A92" s="35">
        <v>80</v>
      </c>
      <c r="B92" s="39"/>
      <c r="C92" s="39"/>
      <c r="D92" s="38"/>
      <c r="E92" s="38"/>
      <c r="F92" s="38"/>
      <c r="G92" s="38"/>
      <c r="H92" s="38"/>
      <c r="I92" s="38"/>
      <c r="J92" s="34">
        <f t="shared" si="0"/>
        <v>0</v>
      </c>
      <c r="K92" s="34">
        <f t="shared" si="1"/>
        <v>0</v>
      </c>
      <c r="L92" s="6"/>
      <c r="M92" s="6"/>
      <c r="N92" s="6"/>
      <c r="O92" s="6"/>
    </row>
    <row r="93" spans="1:15" ht="15.75" customHeight="1" x14ac:dyDescent="0.25">
      <c r="A93" s="35">
        <v>81</v>
      </c>
      <c r="B93" s="39"/>
      <c r="C93" s="39"/>
      <c r="D93" s="38"/>
      <c r="E93" s="38"/>
      <c r="F93" s="38"/>
      <c r="G93" s="38"/>
      <c r="H93" s="38"/>
      <c r="I93" s="38"/>
      <c r="J93" s="34">
        <f t="shared" si="0"/>
        <v>0</v>
      </c>
      <c r="K93" s="34">
        <f t="shared" si="1"/>
        <v>0</v>
      </c>
      <c r="L93" s="6"/>
      <c r="M93" s="6"/>
      <c r="N93" s="6"/>
      <c r="O93" s="6"/>
    </row>
    <row r="94" spans="1:15" ht="15.75" customHeight="1" x14ac:dyDescent="0.25">
      <c r="A94" s="35">
        <v>82</v>
      </c>
      <c r="B94" s="39"/>
      <c r="C94" s="39"/>
      <c r="D94" s="38"/>
      <c r="E94" s="38"/>
      <c r="F94" s="38"/>
      <c r="G94" s="38"/>
      <c r="H94" s="38"/>
      <c r="I94" s="38"/>
      <c r="J94" s="34">
        <f t="shared" si="0"/>
        <v>0</v>
      </c>
      <c r="K94" s="34">
        <f t="shared" si="1"/>
        <v>0</v>
      </c>
      <c r="L94" s="6"/>
      <c r="M94" s="6"/>
      <c r="N94" s="6"/>
      <c r="O94" s="6"/>
    </row>
    <row r="95" spans="1:15" ht="15.75" customHeight="1" x14ac:dyDescent="0.25">
      <c r="A95" s="35">
        <v>83</v>
      </c>
      <c r="B95" s="39"/>
      <c r="C95" s="39"/>
      <c r="D95" s="38"/>
      <c r="E95" s="38"/>
      <c r="F95" s="38"/>
      <c r="G95" s="38"/>
      <c r="H95" s="38"/>
      <c r="I95" s="38"/>
      <c r="J95" s="34">
        <f t="shared" si="0"/>
        <v>0</v>
      </c>
      <c r="K95" s="34">
        <f t="shared" si="1"/>
        <v>0</v>
      </c>
      <c r="L95" s="6"/>
      <c r="M95" s="6"/>
      <c r="N95" s="6"/>
      <c r="O95" s="6"/>
    </row>
    <row r="96" spans="1:15" ht="60.75" customHeight="1" x14ac:dyDescent="0.25">
      <c r="A96" s="218" t="s">
        <v>129</v>
      </c>
      <c r="B96" s="207"/>
      <c r="C96" s="40">
        <v>0.4</v>
      </c>
      <c r="D96" s="219">
        <f t="shared" ref="D96:I96" si="2">$C$96*D12</f>
        <v>3.2</v>
      </c>
      <c r="E96" s="219">
        <f t="shared" si="2"/>
        <v>4.8000000000000007</v>
      </c>
      <c r="F96" s="219">
        <f t="shared" si="2"/>
        <v>3.2</v>
      </c>
      <c r="G96" s="219">
        <f t="shared" si="2"/>
        <v>3.2</v>
      </c>
      <c r="H96" s="219">
        <f t="shared" si="2"/>
        <v>4.8000000000000007</v>
      </c>
      <c r="I96" s="219">
        <f t="shared" si="2"/>
        <v>3.2</v>
      </c>
      <c r="J96" s="245"/>
      <c r="K96" s="245"/>
      <c r="L96" s="6"/>
      <c r="M96" s="6"/>
      <c r="N96" s="6"/>
      <c r="O96" s="6"/>
    </row>
    <row r="97" spans="1:15" ht="15.75" customHeight="1" x14ac:dyDescent="0.25">
      <c r="A97" s="220" t="s">
        <v>130</v>
      </c>
      <c r="B97" s="207"/>
      <c r="C97" s="192"/>
      <c r="D97" s="188"/>
      <c r="E97" s="188"/>
      <c r="F97" s="188"/>
      <c r="G97" s="188"/>
      <c r="H97" s="188"/>
      <c r="I97" s="188"/>
      <c r="J97" s="188"/>
      <c r="K97" s="188"/>
      <c r="L97" s="6"/>
      <c r="M97" s="6"/>
      <c r="N97" s="6"/>
      <c r="O97" s="6"/>
    </row>
    <row r="98" spans="1:15" ht="15.75" customHeight="1" x14ac:dyDescent="0.25">
      <c r="A98" s="207"/>
      <c r="B98" s="207"/>
      <c r="C98" s="192"/>
      <c r="D98" s="247">
        <f t="shared" ref="D98:I98" si="3">COUNTIF(D13:D95,"&gt;=" &amp;D96)</f>
        <v>0</v>
      </c>
      <c r="E98" s="247">
        <f t="shared" si="3"/>
        <v>0</v>
      </c>
      <c r="F98" s="247">
        <f t="shared" si="3"/>
        <v>0</v>
      </c>
      <c r="G98" s="247">
        <f t="shared" si="3"/>
        <v>0</v>
      </c>
      <c r="H98" s="247">
        <f t="shared" si="3"/>
        <v>0</v>
      </c>
      <c r="I98" s="247">
        <f t="shared" si="3"/>
        <v>0</v>
      </c>
      <c r="J98" s="246"/>
      <c r="K98" s="246"/>
      <c r="L98" s="6"/>
      <c r="M98" s="6"/>
      <c r="N98" s="6"/>
      <c r="O98" s="6"/>
    </row>
    <row r="99" spans="1:15" ht="15.75" customHeight="1" x14ac:dyDescent="0.25">
      <c r="A99" s="6"/>
      <c r="B99" s="6"/>
      <c r="C99" s="6"/>
      <c r="D99" s="188"/>
      <c r="E99" s="188"/>
      <c r="F99" s="188"/>
      <c r="G99" s="188"/>
      <c r="H99" s="188"/>
      <c r="I99" s="188"/>
      <c r="J99" s="188"/>
      <c r="K99" s="188"/>
      <c r="L99" s="6"/>
      <c r="M99" s="6"/>
      <c r="N99" s="6"/>
      <c r="O99" s="6"/>
    </row>
    <row r="100" spans="1:15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1:15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ht="43.5" customHeight="1" x14ac:dyDescent="0.25">
      <c r="A103" s="6"/>
      <c r="B103" s="226" t="s">
        <v>131</v>
      </c>
      <c r="C103" s="196"/>
      <c r="D103" s="196"/>
      <c r="E103" s="197"/>
      <c r="F103" s="227" t="s">
        <v>132</v>
      </c>
      <c r="G103" s="197"/>
      <c r="H103" s="41"/>
      <c r="I103" s="228" t="s">
        <v>133</v>
      </c>
      <c r="J103" s="197"/>
      <c r="K103" s="6"/>
      <c r="L103" s="6"/>
      <c r="M103" s="6"/>
      <c r="N103" s="6"/>
      <c r="O103" s="6"/>
    </row>
    <row r="104" spans="1:15" ht="15" customHeight="1" x14ac:dyDescent="0.25">
      <c r="A104" s="6"/>
      <c r="B104" s="229" t="s">
        <v>134</v>
      </c>
      <c r="C104" s="221" t="s">
        <v>135</v>
      </c>
      <c r="D104" s="222"/>
      <c r="E104" s="42">
        <v>50</v>
      </c>
      <c r="F104" s="232">
        <v>63</v>
      </c>
      <c r="G104" s="190"/>
      <c r="H104" s="43">
        <f>E104*F104/100</f>
        <v>31.5</v>
      </c>
      <c r="I104" s="248">
        <v>1</v>
      </c>
      <c r="J104" s="249"/>
      <c r="K104" s="6"/>
      <c r="L104" s="6"/>
      <c r="M104" s="6"/>
      <c r="N104" s="6"/>
      <c r="O104" s="6"/>
    </row>
    <row r="105" spans="1:15" ht="15.75" customHeight="1" x14ac:dyDescent="0.25">
      <c r="A105" s="6"/>
      <c r="B105" s="230"/>
      <c r="C105" s="221" t="s">
        <v>136</v>
      </c>
      <c r="D105" s="222"/>
      <c r="E105" s="42">
        <v>60</v>
      </c>
      <c r="F105" s="191"/>
      <c r="G105" s="192"/>
      <c r="H105" s="44">
        <f>E105*F104/100</f>
        <v>37.799999999999997</v>
      </c>
      <c r="I105" s="250">
        <v>2</v>
      </c>
      <c r="J105" s="251"/>
      <c r="K105" s="6"/>
      <c r="L105" s="6"/>
      <c r="M105" s="6"/>
      <c r="N105" s="6"/>
      <c r="O105" s="6"/>
    </row>
    <row r="106" spans="1:15" ht="15.75" customHeight="1" x14ac:dyDescent="0.25">
      <c r="A106" s="6"/>
      <c r="B106" s="231"/>
      <c r="C106" s="221" t="s">
        <v>137</v>
      </c>
      <c r="D106" s="222"/>
      <c r="E106" s="45">
        <v>70</v>
      </c>
      <c r="F106" s="193"/>
      <c r="G106" s="194"/>
      <c r="H106" s="46">
        <f>E106*F104/100</f>
        <v>44.1</v>
      </c>
      <c r="I106" s="223">
        <v>3</v>
      </c>
      <c r="J106" s="224"/>
      <c r="K106" s="6"/>
      <c r="L106" s="6"/>
      <c r="M106" s="6"/>
      <c r="N106" s="6"/>
      <c r="O106" s="6"/>
    </row>
    <row r="107" spans="1:15" ht="15.75" customHeight="1" x14ac:dyDescent="0.25">
      <c r="A107" s="6"/>
      <c r="B107" s="47"/>
      <c r="C107" s="47"/>
      <c r="D107" s="47"/>
      <c r="E107" s="47"/>
      <c r="F107" s="47"/>
      <c r="G107" s="47"/>
      <c r="H107" s="225"/>
      <c r="I107" s="202"/>
      <c r="J107" s="203"/>
      <c r="K107" s="6"/>
      <c r="L107" s="6"/>
      <c r="M107" s="6"/>
      <c r="N107" s="6"/>
      <c r="O107" s="6"/>
    </row>
    <row r="108" spans="1:15" ht="15.75" customHeight="1" x14ac:dyDescent="0.25">
      <c r="A108" s="6"/>
      <c r="B108" s="47"/>
      <c r="C108" s="47"/>
      <c r="D108" s="47"/>
      <c r="E108" s="47"/>
      <c r="F108" s="47"/>
      <c r="G108" s="47"/>
      <c r="H108" s="225"/>
      <c r="I108" s="202"/>
      <c r="J108" s="203"/>
      <c r="K108" s="6"/>
      <c r="L108" s="6"/>
      <c r="M108" s="6"/>
      <c r="N108" s="6"/>
      <c r="O108" s="6"/>
    </row>
    <row r="109" spans="1:15" ht="24" customHeight="1" x14ac:dyDescent="0.25">
      <c r="A109" s="6"/>
      <c r="B109" s="47"/>
      <c r="C109" s="48" t="s">
        <v>138</v>
      </c>
      <c r="D109" s="49" t="s">
        <v>9</v>
      </c>
      <c r="E109" s="49" t="s">
        <v>11</v>
      </c>
      <c r="F109" s="49" t="s">
        <v>13</v>
      </c>
      <c r="G109" s="49" t="s">
        <v>15</v>
      </c>
      <c r="H109" s="49" t="s">
        <v>139</v>
      </c>
      <c r="I109" s="50" t="s">
        <v>140</v>
      </c>
      <c r="J109" s="47"/>
      <c r="K109" s="6"/>
      <c r="L109" s="6"/>
      <c r="M109" s="6"/>
      <c r="N109" s="6"/>
      <c r="O109" s="6"/>
    </row>
    <row r="110" spans="1:15" ht="23.25" customHeight="1" x14ac:dyDescent="0.25">
      <c r="A110" s="6"/>
      <c r="B110" s="47"/>
      <c r="C110" s="51" t="s">
        <v>141</v>
      </c>
      <c r="D110" s="52">
        <f t="shared" ref="D110:I110" si="4">IF(D98&gt;=$H106,3,IF(D98&gt;=$H105,2,IF(D98&gt;=$H104,1,0)))</f>
        <v>0</v>
      </c>
      <c r="E110" s="52">
        <f t="shared" si="4"/>
        <v>0</v>
      </c>
      <c r="F110" s="52">
        <f t="shared" si="4"/>
        <v>0</v>
      </c>
      <c r="G110" s="52">
        <f t="shared" si="4"/>
        <v>0</v>
      </c>
      <c r="H110" s="52">
        <f t="shared" si="4"/>
        <v>0</v>
      </c>
      <c r="I110" s="52">
        <f t="shared" si="4"/>
        <v>0</v>
      </c>
      <c r="J110" s="47"/>
      <c r="K110" s="6"/>
      <c r="L110" s="6"/>
      <c r="M110" s="6"/>
      <c r="N110" s="6"/>
      <c r="O110" s="6"/>
    </row>
    <row r="111" spans="1:15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1:15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ht="24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1:15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ht="15.75" customHeight="1" x14ac:dyDescent="0.25">
      <c r="A121" s="6"/>
      <c r="B121" s="6"/>
      <c r="C121" s="6"/>
      <c r="D121" s="6"/>
      <c r="E121" s="6"/>
      <c r="F121" s="6" t="s">
        <v>142</v>
      </c>
      <c r="G121" s="6"/>
      <c r="H121" s="6"/>
      <c r="I121" s="6"/>
      <c r="J121" s="6"/>
      <c r="K121" s="6"/>
      <c r="L121" s="6"/>
      <c r="M121" s="6"/>
      <c r="N121" s="6"/>
      <c r="O121" s="6"/>
    </row>
    <row r="122" spans="1:15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1:15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1:15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1:15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1:15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1:15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1:15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1:15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1:15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1:15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1:15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1:15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1:15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 spans="1:15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1:15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spans="1:15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 spans="1:15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1:15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1:15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 spans="1:15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1:15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1:15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 spans="1:15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 spans="1:15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 spans="1:15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1:15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 spans="1:15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spans="1:15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 spans="1:15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 spans="1:15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 spans="1:15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 spans="1:15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</row>
    <row r="210" spans="1:15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 spans="1:15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</row>
    <row r="212" spans="1:15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 spans="1:15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</row>
    <row r="214" spans="1:15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 spans="1:15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 spans="1:15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 spans="1:15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</row>
    <row r="218" spans="1:15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</row>
    <row r="219" spans="1:15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</row>
    <row r="220" spans="1:15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 spans="1:15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 spans="1:15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</row>
    <row r="224" spans="1:15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</row>
    <row r="225" spans="1:15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 spans="1:15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 spans="1:15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 spans="1:15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 spans="1:15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 spans="1:15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 spans="1:15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 spans="1:15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spans="1:15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 spans="1:15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 spans="1:15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 spans="1:15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 spans="1:15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 spans="1:15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 spans="1:15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spans="1:15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</row>
    <row r="242" spans="1:15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 spans="1:15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 spans="1:15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 spans="1:15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</row>
    <row r="246" spans="1:15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</row>
    <row r="247" spans="1:15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</row>
    <row r="248" spans="1:15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</row>
    <row r="249" spans="1:15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</row>
    <row r="250" spans="1:15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 spans="1:15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</row>
    <row r="252" spans="1:15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</row>
    <row r="253" spans="1:15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 spans="1:15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 spans="1:15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</row>
    <row r="256" spans="1:15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 spans="1:15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 spans="1:15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 spans="1:15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</row>
    <row r="260" spans="1:15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 spans="1:15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 spans="1:15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 spans="1:15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</row>
    <row r="264" spans="1:15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</row>
    <row r="265" spans="1:15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</row>
    <row r="266" spans="1:15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 spans="1:15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</row>
    <row r="268" spans="1:15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</row>
    <row r="269" spans="1:15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</row>
    <row r="270" spans="1:15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 spans="1:15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</row>
    <row r="272" spans="1:15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</row>
    <row r="273" spans="1:15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</row>
    <row r="274" spans="1:15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</row>
    <row r="275" spans="1:15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</row>
    <row r="276" spans="1:15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</row>
    <row r="277" spans="1:15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</row>
    <row r="278" spans="1:15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</row>
    <row r="279" spans="1:15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 spans="1:15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</row>
    <row r="281" spans="1:15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</row>
    <row r="282" spans="1:15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</row>
    <row r="283" spans="1:15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</row>
    <row r="284" spans="1:15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1:15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</row>
    <row r="286" spans="1:15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</row>
    <row r="287" spans="1:15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</row>
    <row r="288" spans="1:15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 spans="1:15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</row>
    <row r="290" spans="1:15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 spans="1:15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</row>
    <row r="292" spans="1:15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</row>
    <row r="293" spans="1:15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 spans="1:15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 spans="1:15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</row>
    <row r="296" spans="1:15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 spans="1:15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 spans="1:15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 spans="1:15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</row>
    <row r="300" spans="1:15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 spans="1:15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 spans="1:15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 spans="1:15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 spans="1:15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 spans="1:15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 spans="1:15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 spans="1:15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 spans="1:15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 spans="1:15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 spans="1:15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 spans="1:15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 spans="1:15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spans="1:15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 spans="1:15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 spans="1:15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 spans="1:15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 spans="1:15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</row>
    <row r="318" spans="1:15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</row>
    <row r="319" spans="1:15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</row>
    <row r="320" spans="1:15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 spans="1:15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 spans="1:15" ht="15.75" customHeight="1" x14ac:dyDescent="0.25"/>
    <row r="323" spans="1:15" ht="15.75" customHeight="1" x14ac:dyDescent="0.25"/>
    <row r="324" spans="1:15" ht="15.75" customHeight="1" x14ac:dyDescent="0.25"/>
    <row r="325" spans="1:15" ht="15.75" customHeight="1" x14ac:dyDescent="0.25"/>
    <row r="326" spans="1:15" ht="15.75" customHeight="1" x14ac:dyDescent="0.25"/>
    <row r="327" spans="1:15" ht="15.75" customHeight="1" x14ac:dyDescent="0.25"/>
    <row r="328" spans="1:15" ht="15.75" customHeight="1" x14ac:dyDescent="0.25"/>
    <row r="329" spans="1:15" ht="15.75" customHeight="1" x14ac:dyDescent="0.25"/>
    <row r="330" spans="1:15" ht="15.75" customHeight="1" x14ac:dyDescent="0.25"/>
    <row r="331" spans="1:15" ht="15.75" customHeight="1" x14ac:dyDescent="0.25"/>
    <row r="332" spans="1:15" ht="15.75" customHeight="1" x14ac:dyDescent="0.25"/>
    <row r="333" spans="1:15" ht="15.75" customHeight="1" x14ac:dyDescent="0.25"/>
    <row r="334" spans="1:15" ht="15.75" customHeight="1" x14ac:dyDescent="0.25"/>
    <row r="335" spans="1:15" ht="15.75" customHeight="1" x14ac:dyDescent="0.25"/>
    <row r="336" spans="1:15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7">
    <mergeCell ref="H96:H97"/>
    <mergeCell ref="I96:I97"/>
    <mergeCell ref="J96:J97"/>
    <mergeCell ref="K96:K97"/>
    <mergeCell ref="J98:J99"/>
    <mergeCell ref="K98:K99"/>
    <mergeCell ref="H98:H99"/>
    <mergeCell ref="I98:I99"/>
    <mergeCell ref="H8:H11"/>
    <mergeCell ref="I8:I11"/>
    <mergeCell ref="A1:K1"/>
    <mergeCell ref="A2:K2"/>
    <mergeCell ref="C3:D3"/>
    <mergeCell ref="C4:D4"/>
    <mergeCell ref="C5:D5"/>
    <mergeCell ref="C6:D6"/>
    <mergeCell ref="A8:A12"/>
    <mergeCell ref="J9:K11"/>
    <mergeCell ref="C106:D106"/>
    <mergeCell ref="I106:J106"/>
    <mergeCell ref="H107:J107"/>
    <mergeCell ref="H108:J108"/>
    <mergeCell ref="B103:E103"/>
    <mergeCell ref="F103:G103"/>
    <mergeCell ref="I103:J103"/>
    <mergeCell ref="B104:B106"/>
    <mergeCell ref="C104:D104"/>
    <mergeCell ref="F104:G106"/>
    <mergeCell ref="C105:D105"/>
    <mergeCell ref="I104:J104"/>
    <mergeCell ref="I105:J105"/>
    <mergeCell ref="F8:F11"/>
    <mergeCell ref="G8:G11"/>
    <mergeCell ref="B8:B12"/>
    <mergeCell ref="C8:C12"/>
    <mergeCell ref="A96:B96"/>
    <mergeCell ref="E96:E97"/>
    <mergeCell ref="F96:F97"/>
    <mergeCell ref="G96:G97"/>
    <mergeCell ref="A97:C98"/>
    <mergeCell ref="D8:D11"/>
    <mergeCell ref="E8:E11"/>
    <mergeCell ref="D96:D97"/>
    <mergeCell ref="D98:D99"/>
    <mergeCell ref="E98:E99"/>
    <mergeCell ref="F98:F99"/>
    <mergeCell ref="G98:G99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V1000"/>
  <sheetViews>
    <sheetView topLeftCell="A46" workbookViewId="0"/>
  </sheetViews>
  <sheetFormatPr defaultColWidth="14.42578125" defaultRowHeight="15" customHeight="1" x14ac:dyDescent="0.25"/>
  <cols>
    <col min="1" max="1" width="13.7109375" customWidth="1"/>
    <col min="2" max="2" width="12.85546875" customWidth="1"/>
    <col min="3" max="3" width="16.28515625" customWidth="1"/>
    <col min="4" max="4" width="42.42578125" customWidth="1"/>
    <col min="5" max="5" width="13.42578125" customWidth="1"/>
    <col min="6" max="8" width="6.5703125" customWidth="1"/>
    <col min="9" max="22" width="8.7109375" customWidth="1"/>
  </cols>
  <sheetData>
    <row r="1" spans="2:22" ht="20.25" x14ac:dyDescent="0.25">
      <c r="B1" s="252" t="s">
        <v>143</v>
      </c>
      <c r="C1" s="207"/>
      <c r="D1" s="207"/>
      <c r="E1" s="207"/>
      <c r="F1" s="207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2:22" ht="20.25" x14ac:dyDescent="0.25">
      <c r="B2" s="6"/>
      <c r="C2" s="6"/>
      <c r="D2" s="53" t="s">
        <v>144</v>
      </c>
      <c r="E2" s="10"/>
      <c r="F2" s="6"/>
      <c r="G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2:22" ht="13.5" customHeight="1" x14ac:dyDescent="0.25">
      <c r="B3" s="6"/>
      <c r="C3" s="6"/>
      <c r="D3" s="53"/>
      <c r="E3" s="10"/>
      <c r="F3" s="6"/>
      <c r="G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2:22" x14ac:dyDescent="0.25">
      <c r="B4" s="6"/>
      <c r="C4" s="5" t="s">
        <v>1</v>
      </c>
      <c r="D4" s="253" t="str">
        <f>'CO_Attainment for Unit Tests'!C3</f>
        <v>SEMINAR AND PROJECT INITIATION COURSE</v>
      </c>
      <c r="E4" s="203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2:22" x14ac:dyDescent="0.25">
      <c r="B5" s="6"/>
      <c r="C5" s="5" t="s">
        <v>3</v>
      </c>
      <c r="D5" s="253">
        <f>'CO_Attainment for Unit Tests'!C4</f>
        <v>315003</v>
      </c>
      <c r="E5" s="203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2:22" x14ac:dyDescent="0.25">
      <c r="B6" s="6"/>
      <c r="C6" s="5" t="s">
        <v>53</v>
      </c>
      <c r="D6" s="253" t="str">
        <f>'CO_Attainment for Unit Tests'!C5</f>
        <v>5th Sem Co5K K-Scheme</v>
      </c>
      <c r="E6" s="203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2:22" x14ac:dyDescent="0.25">
      <c r="B7" s="6"/>
      <c r="C7" s="5" t="s">
        <v>6</v>
      </c>
      <c r="D7" s="253" t="str">
        <f>'CO_Attainment for Unit Tests'!C6</f>
        <v>2025-26</v>
      </c>
      <c r="E7" s="203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2:22" x14ac:dyDescent="0.25">
      <c r="E8" s="10"/>
    </row>
    <row r="9" spans="2:22" ht="15.75" customHeight="1" x14ac:dyDescent="0.25">
      <c r="B9" s="254" t="s">
        <v>21</v>
      </c>
      <c r="C9" s="255" t="s">
        <v>55</v>
      </c>
      <c r="D9" s="217" t="s">
        <v>56</v>
      </c>
      <c r="E9" s="255" t="s">
        <v>145</v>
      </c>
    </row>
    <row r="10" spans="2:22" x14ac:dyDescent="0.25">
      <c r="B10" s="213"/>
      <c r="C10" s="213"/>
      <c r="D10" s="213"/>
      <c r="E10" s="213"/>
    </row>
    <row r="11" spans="2:22" x14ac:dyDescent="0.25">
      <c r="B11" s="213"/>
      <c r="C11" s="213"/>
      <c r="D11" s="213"/>
      <c r="E11" s="213"/>
    </row>
    <row r="12" spans="2:22" ht="27.75" customHeight="1" x14ac:dyDescent="0.25">
      <c r="B12" s="213"/>
      <c r="C12" s="213"/>
      <c r="D12" s="213"/>
      <c r="E12" s="214"/>
    </row>
    <row r="13" spans="2:22" x14ac:dyDescent="0.25">
      <c r="B13" s="214"/>
      <c r="C13" s="214"/>
      <c r="D13" s="214"/>
      <c r="E13" s="54">
        <v>70</v>
      </c>
    </row>
    <row r="14" spans="2:22" x14ac:dyDescent="0.25">
      <c r="B14" s="55">
        <v>1</v>
      </c>
      <c r="C14" s="55">
        <f>'CO_Attainment for Unit Tests'!B13</f>
        <v>2201180008</v>
      </c>
      <c r="D14" s="56" t="str">
        <f>'CO_Attainment for Unit Tests'!C13</f>
        <v>DHANSHETTI PRIYA SANJAY</v>
      </c>
      <c r="E14" s="39"/>
    </row>
    <row r="15" spans="2:22" ht="15" customHeight="1" x14ac:dyDescent="0.25">
      <c r="B15" s="55">
        <v>2</v>
      </c>
      <c r="C15" s="55">
        <f>'CO_Attainment for Unit Tests'!B14</f>
        <v>23510250191</v>
      </c>
      <c r="D15" s="56" t="str">
        <f>'CO_Attainment for Unit Tests'!C14</f>
        <v>ADSUL SHASHWATI NITIN</v>
      </c>
      <c r="E15" s="39"/>
    </row>
    <row r="16" spans="2:22" x14ac:dyDescent="0.25">
      <c r="B16" s="55">
        <v>3</v>
      </c>
      <c r="C16" s="55">
        <f>'CO_Attainment for Unit Tests'!B15</f>
        <v>23510250192</v>
      </c>
      <c r="D16" s="56" t="str">
        <f>'CO_Attainment for Unit Tests'!C15</f>
        <v>AVISHKAR BABRUWAN BHISE</v>
      </c>
      <c r="E16" s="39"/>
    </row>
    <row r="17" spans="2:5" x14ac:dyDescent="0.25">
      <c r="B17" s="55">
        <v>4</v>
      </c>
      <c r="C17" s="55">
        <f>'CO_Attainment for Unit Tests'!B16</f>
        <v>23510250193</v>
      </c>
      <c r="D17" s="56" t="str">
        <f>'CO_Attainment for Unit Tests'!C16</f>
        <v>AWAD MAHESHWARI BHAU</v>
      </c>
      <c r="E17" s="39"/>
    </row>
    <row r="18" spans="2:5" x14ac:dyDescent="0.25">
      <c r="B18" s="55">
        <v>5</v>
      </c>
      <c r="C18" s="55">
        <f>'CO_Attainment for Unit Tests'!B17</f>
        <v>23510250194</v>
      </c>
      <c r="D18" s="56" t="str">
        <f>'CO_Attainment for Unit Tests'!C17</f>
        <v>BADVE SHARVANI DNYANESHWAR</v>
      </c>
      <c r="E18" s="39"/>
    </row>
    <row r="19" spans="2:5" x14ac:dyDescent="0.25">
      <c r="B19" s="55">
        <v>6</v>
      </c>
      <c r="C19" s="55">
        <f>'CO_Attainment for Unit Tests'!B18</f>
        <v>23510250195</v>
      </c>
      <c r="D19" s="56" t="str">
        <f>'CO_Attainment for Unit Tests'!C18</f>
        <v>BAGADE MANASI MUKUND</v>
      </c>
      <c r="E19" s="39"/>
    </row>
    <row r="20" spans="2:5" x14ac:dyDescent="0.25">
      <c r="B20" s="55">
        <v>7</v>
      </c>
      <c r="C20" s="55">
        <f>'CO_Attainment for Unit Tests'!B19</f>
        <v>23510250196</v>
      </c>
      <c r="D20" s="56" t="str">
        <f>'CO_Attainment for Unit Tests'!C19</f>
        <v>BARDE ARCHANA HANUMANT</v>
      </c>
      <c r="E20" s="39"/>
    </row>
    <row r="21" spans="2:5" ht="15.75" customHeight="1" x14ac:dyDescent="0.25">
      <c r="B21" s="55">
        <v>8</v>
      </c>
      <c r="C21" s="55">
        <f>'CO_Attainment for Unit Tests'!B20</f>
        <v>23510250197</v>
      </c>
      <c r="D21" s="56" t="str">
        <f>'CO_Attainment for Unit Tests'!C20</f>
        <v>BARMADE SHRADDHA SUDHAKAR</v>
      </c>
      <c r="E21" s="39"/>
    </row>
    <row r="22" spans="2:5" ht="15.75" customHeight="1" x14ac:dyDescent="0.25">
      <c r="B22" s="55">
        <v>9</v>
      </c>
      <c r="C22" s="55">
        <f>'CO_Attainment for Unit Tests'!B21</f>
        <v>23510250198</v>
      </c>
      <c r="D22" s="56" t="str">
        <f>'CO_Attainment for Unit Tests'!C21</f>
        <v>BEDKE ANKITA SHRIRAM</v>
      </c>
      <c r="E22" s="39"/>
    </row>
    <row r="23" spans="2:5" ht="15.75" customHeight="1" x14ac:dyDescent="0.25">
      <c r="B23" s="55">
        <v>10</v>
      </c>
      <c r="C23" s="55">
        <f>'CO_Attainment for Unit Tests'!B22</f>
        <v>23510250199</v>
      </c>
      <c r="D23" s="56" t="str">
        <f>'CO_Attainment for Unit Tests'!C22</f>
        <v>BHAD SHRAVANI UMAKANT</v>
      </c>
      <c r="E23" s="39"/>
    </row>
    <row r="24" spans="2:5" ht="15.75" customHeight="1" x14ac:dyDescent="0.25">
      <c r="B24" s="55">
        <v>11</v>
      </c>
      <c r="C24" s="55">
        <f>'CO_Attainment for Unit Tests'!B23</f>
        <v>23510250200</v>
      </c>
      <c r="D24" s="56" t="str">
        <f>'CO_Attainment for Unit Tests'!C23</f>
        <v>BHORE NIKITA SHANKAR</v>
      </c>
      <c r="E24" s="39"/>
    </row>
    <row r="25" spans="2:5" ht="15.75" customHeight="1" x14ac:dyDescent="0.25">
      <c r="B25" s="55">
        <v>12</v>
      </c>
      <c r="C25" s="55">
        <f>'CO_Attainment for Unit Tests'!B24</f>
        <v>23510250201</v>
      </c>
      <c r="D25" s="56" t="str">
        <f>'CO_Attainment for Unit Tests'!C24</f>
        <v>BHOSALE PRADNYA HARIDAS</v>
      </c>
      <c r="E25" s="39"/>
    </row>
    <row r="26" spans="2:5" ht="15.75" customHeight="1" x14ac:dyDescent="0.25">
      <c r="B26" s="55">
        <v>13</v>
      </c>
      <c r="C26" s="55">
        <f>'CO_Attainment for Unit Tests'!B25</f>
        <v>23510250202</v>
      </c>
      <c r="D26" s="56" t="str">
        <f>'CO_Attainment for Unit Tests'!C25</f>
        <v>BHOSALE TEJAS GAJANAN</v>
      </c>
      <c r="E26" s="39"/>
    </row>
    <row r="27" spans="2:5" ht="15.75" customHeight="1" x14ac:dyDescent="0.25">
      <c r="B27" s="55">
        <v>14</v>
      </c>
      <c r="C27" s="55">
        <f>'CO_Attainment for Unit Tests'!B26</f>
        <v>23510250203</v>
      </c>
      <c r="D27" s="56" t="str">
        <f>'CO_Attainment for Unit Tests'!C26</f>
        <v>BIRAJDAR PRASHANT PADMAKAR</v>
      </c>
      <c r="E27" s="39"/>
    </row>
    <row r="28" spans="2:5" ht="15" customHeight="1" x14ac:dyDescent="0.25">
      <c r="B28" s="55">
        <v>15</v>
      </c>
      <c r="C28" s="55">
        <f>'CO_Attainment for Unit Tests'!B27</f>
        <v>23510250204</v>
      </c>
      <c r="D28" s="56" t="str">
        <f>'CO_Attainment for Unit Tests'!C27</f>
        <v>CHANDANE SHRAVANI PRASHANT</v>
      </c>
      <c r="E28" s="39"/>
    </row>
    <row r="29" spans="2:5" ht="15.75" customHeight="1" x14ac:dyDescent="0.25">
      <c r="B29" s="55">
        <v>16</v>
      </c>
      <c r="C29" s="55">
        <f>'CO_Attainment for Unit Tests'!B28</f>
        <v>23510250205</v>
      </c>
      <c r="D29" s="56" t="str">
        <f>'CO_Attainment for Unit Tests'!C28</f>
        <v>CHAVAN NIKITA NARAYAN</v>
      </c>
      <c r="E29" s="39"/>
    </row>
    <row r="30" spans="2:5" ht="15.75" customHeight="1" x14ac:dyDescent="0.25">
      <c r="B30" s="55">
        <v>17</v>
      </c>
      <c r="C30" s="55">
        <f>'CO_Attainment for Unit Tests'!B29</f>
        <v>23510250207</v>
      </c>
      <c r="D30" s="56" t="str">
        <f>'CO_Attainment for Unit Tests'!C29</f>
        <v>DANE SUSHANT VITTHAL</v>
      </c>
      <c r="E30" s="39"/>
    </row>
    <row r="31" spans="2:5" ht="15.75" customHeight="1" x14ac:dyDescent="0.25">
      <c r="B31" s="55">
        <v>18</v>
      </c>
      <c r="C31" s="55">
        <f>'CO_Attainment for Unit Tests'!B30</f>
        <v>23510250208</v>
      </c>
      <c r="D31" s="56" t="str">
        <f>'CO_Attainment for Unit Tests'!C30</f>
        <v>DEMGUNDE RAVIKIRAN DHONDIRAM</v>
      </c>
      <c r="E31" s="39"/>
    </row>
    <row r="32" spans="2:5" ht="15.75" customHeight="1" x14ac:dyDescent="0.25">
      <c r="B32" s="55">
        <v>19</v>
      </c>
      <c r="C32" s="55">
        <f>'CO_Attainment for Unit Tests'!B31</f>
        <v>23510250209</v>
      </c>
      <c r="D32" s="56" t="str">
        <f>'CO_Attainment for Unit Tests'!C31</f>
        <v>DHAGE ANUPAMA NAGESH</v>
      </c>
      <c r="E32" s="39"/>
    </row>
    <row r="33" spans="2:5" ht="15.75" customHeight="1" x14ac:dyDescent="0.25">
      <c r="B33" s="55">
        <v>20</v>
      </c>
      <c r="C33" s="55">
        <f>'CO_Attainment for Unit Tests'!B32</f>
        <v>23510250210</v>
      </c>
      <c r="D33" s="56" t="str">
        <f>'CO_Attainment for Unit Tests'!C32</f>
        <v>FULMALI SARTHAK SANTOSH</v>
      </c>
      <c r="E33" s="39"/>
    </row>
    <row r="34" spans="2:5" ht="15.75" customHeight="1" x14ac:dyDescent="0.25">
      <c r="B34" s="55">
        <v>21</v>
      </c>
      <c r="C34" s="55">
        <f>'CO_Attainment for Unit Tests'!B33</f>
        <v>23510250212</v>
      </c>
      <c r="D34" s="56" t="str">
        <f>'CO_Attainment for Unit Tests'!C33</f>
        <v>GAVALI MONIKA DNYANDEO</v>
      </c>
      <c r="E34" s="39"/>
    </row>
    <row r="35" spans="2:5" ht="15.75" customHeight="1" x14ac:dyDescent="0.25">
      <c r="B35" s="55">
        <v>22</v>
      </c>
      <c r="C35" s="55">
        <f>'CO_Attainment for Unit Tests'!B34</f>
        <v>23510250215</v>
      </c>
      <c r="D35" s="56" t="str">
        <f>'CO_Attainment for Unit Tests'!C34</f>
        <v>ISAKE PRATIKSHA MAHESH</v>
      </c>
      <c r="E35" s="39"/>
    </row>
    <row r="36" spans="2:5" ht="15.75" customHeight="1" x14ac:dyDescent="0.25">
      <c r="B36" s="55">
        <v>23</v>
      </c>
      <c r="C36" s="55">
        <f>'CO_Attainment for Unit Tests'!B35</f>
        <v>23510250216</v>
      </c>
      <c r="D36" s="56" t="str">
        <f>'CO_Attainment for Unit Tests'!C35</f>
        <v>JAGTAP SHREYA SHRIRANG</v>
      </c>
      <c r="E36" s="39"/>
    </row>
    <row r="37" spans="2:5" ht="15.75" customHeight="1" x14ac:dyDescent="0.25">
      <c r="B37" s="55">
        <v>24</v>
      </c>
      <c r="C37" s="55">
        <f>'CO_Attainment for Unit Tests'!B36</f>
        <v>23510250217</v>
      </c>
      <c r="D37" s="56" t="str">
        <f>'CO_Attainment for Unit Tests'!C36</f>
        <v>JOSHI TANUJA GUNDERAO</v>
      </c>
      <c r="E37" s="39"/>
    </row>
    <row r="38" spans="2:5" ht="15.75" customHeight="1" x14ac:dyDescent="0.25">
      <c r="B38" s="55">
        <v>25</v>
      </c>
      <c r="C38" s="55">
        <f>'CO_Attainment for Unit Tests'!B37</f>
        <v>23510250218</v>
      </c>
      <c r="D38" s="56" t="str">
        <f>'CO_Attainment for Unit Tests'!C37</f>
        <v>KALE PRACHI KISHOR</v>
      </c>
      <c r="E38" s="39"/>
    </row>
    <row r="39" spans="2:5" ht="15.75" customHeight="1" x14ac:dyDescent="0.25">
      <c r="B39" s="55">
        <v>26</v>
      </c>
      <c r="C39" s="55">
        <f>'CO_Attainment for Unit Tests'!B38</f>
        <v>23510250219</v>
      </c>
      <c r="D39" s="56" t="str">
        <f>'CO_Attainment for Unit Tests'!C38</f>
        <v>KALE VAISHNAVI DHANRAJ</v>
      </c>
      <c r="E39" s="39"/>
    </row>
    <row r="40" spans="2:5" ht="15.75" customHeight="1" x14ac:dyDescent="0.25">
      <c r="B40" s="55">
        <v>27</v>
      </c>
      <c r="C40" s="55">
        <f>'CO_Attainment for Unit Tests'!B39</f>
        <v>23510250221</v>
      </c>
      <c r="D40" s="56" t="str">
        <f>'CO_Attainment for Unit Tests'!C39</f>
        <v>KAMBLE SONAM VILAS</v>
      </c>
      <c r="E40" s="39"/>
    </row>
    <row r="41" spans="2:5" ht="15.75" customHeight="1" x14ac:dyDescent="0.25">
      <c r="B41" s="55">
        <v>28</v>
      </c>
      <c r="C41" s="55">
        <f>'CO_Attainment for Unit Tests'!B40</f>
        <v>23510250222</v>
      </c>
      <c r="D41" s="56" t="str">
        <f>'CO_Attainment for Unit Tests'!C40</f>
        <v>KENDRE MAYURI TUKARAM</v>
      </c>
      <c r="E41" s="39"/>
    </row>
    <row r="42" spans="2:5" ht="15.75" customHeight="1" x14ac:dyDescent="0.25">
      <c r="B42" s="55">
        <v>29</v>
      </c>
      <c r="C42" s="55">
        <f>'CO_Attainment for Unit Tests'!B41</f>
        <v>23510250223</v>
      </c>
      <c r="D42" s="56" t="str">
        <f>'CO_Attainment for Unit Tests'!C41</f>
        <v>KHANDAGALE SUHANI VIKRAM</v>
      </c>
      <c r="E42" s="39"/>
    </row>
    <row r="43" spans="2:5" ht="15.75" customHeight="1" x14ac:dyDescent="0.25">
      <c r="B43" s="55">
        <v>30</v>
      </c>
      <c r="C43" s="55">
        <f>'CO_Attainment for Unit Tests'!B42</f>
        <v>23510250224</v>
      </c>
      <c r="D43" s="56" t="str">
        <f>'CO_Attainment for Unit Tests'!C42</f>
        <v>KHUNE PRIYANKA PRAMOD</v>
      </c>
      <c r="E43" s="39"/>
    </row>
    <row r="44" spans="2:5" ht="15.75" customHeight="1" x14ac:dyDescent="0.25">
      <c r="B44" s="55">
        <v>31</v>
      </c>
      <c r="C44" s="55">
        <f>'CO_Attainment for Unit Tests'!B43</f>
        <v>23510250225</v>
      </c>
      <c r="D44" s="56" t="str">
        <f>'CO_Attainment for Unit Tests'!C43</f>
        <v>KSHIRSAGAR ISHWARI DATTATRAYA</v>
      </c>
      <c r="E44" s="39"/>
    </row>
    <row r="45" spans="2:5" ht="15.75" customHeight="1" x14ac:dyDescent="0.25">
      <c r="B45" s="55">
        <v>32</v>
      </c>
      <c r="C45" s="55">
        <f>'CO_Attainment for Unit Tests'!B44</f>
        <v>23510250226</v>
      </c>
      <c r="D45" s="56" t="str">
        <f>'CO_Attainment for Unit Tests'!C44</f>
        <v>LONDHE PRAMILA CHHATRAGUN</v>
      </c>
      <c r="E45" s="39"/>
    </row>
    <row r="46" spans="2:5" ht="15" customHeight="1" x14ac:dyDescent="0.25">
      <c r="B46" s="55">
        <v>33</v>
      </c>
      <c r="C46" s="55">
        <f>'CO_Attainment for Unit Tests'!B45</f>
        <v>23510250227</v>
      </c>
      <c r="D46" s="56" t="str">
        <f>'CO_Attainment for Unit Tests'!C45</f>
        <v>MALI KARAN ASHOK</v>
      </c>
      <c r="E46" s="39"/>
    </row>
    <row r="47" spans="2:5" ht="15.75" customHeight="1" x14ac:dyDescent="0.25">
      <c r="B47" s="55">
        <v>34</v>
      </c>
      <c r="C47" s="55">
        <f>'CO_Attainment for Unit Tests'!B46</f>
        <v>23510250228</v>
      </c>
      <c r="D47" s="56" t="str">
        <f>'CO_Attainment for Unit Tests'!C46</f>
        <v>MENDHEKAR PRITI GOROBA</v>
      </c>
      <c r="E47" s="39"/>
    </row>
    <row r="48" spans="2:5" ht="15.75" customHeight="1" x14ac:dyDescent="0.25">
      <c r="B48" s="55">
        <v>35</v>
      </c>
      <c r="C48" s="55">
        <f>'CO_Attainment for Unit Tests'!B47</f>
        <v>23510250233</v>
      </c>
      <c r="D48" s="56" t="str">
        <f>'CO_Attainment for Unit Tests'!C47</f>
        <v>NIMBALKAR ASMITA BHUJANG</v>
      </c>
      <c r="E48" s="39"/>
    </row>
    <row r="49" spans="2:5" ht="15.75" customHeight="1" x14ac:dyDescent="0.25">
      <c r="B49" s="55">
        <v>36</v>
      </c>
      <c r="C49" s="55">
        <f>'CO_Attainment for Unit Tests'!B48</f>
        <v>23510250234</v>
      </c>
      <c r="D49" s="56" t="str">
        <f>'CO_Attainment for Unit Tests'!C48</f>
        <v>PANCHAL GAYATRI DNYANESHWAR</v>
      </c>
      <c r="E49" s="39"/>
    </row>
    <row r="50" spans="2:5" ht="15.75" customHeight="1" x14ac:dyDescent="0.25">
      <c r="B50" s="55">
        <v>37</v>
      </c>
      <c r="C50" s="55">
        <f>'CO_Attainment for Unit Tests'!B49</f>
        <v>23510250235</v>
      </c>
      <c r="D50" s="56" t="str">
        <f>'CO_Attainment for Unit Tests'!C49</f>
        <v>PATHAN ADIBA FIRDOS AMJAD KHAN</v>
      </c>
      <c r="E50" s="39"/>
    </row>
    <row r="51" spans="2:5" ht="15.75" customHeight="1" x14ac:dyDescent="0.25">
      <c r="B51" s="55">
        <v>38</v>
      </c>
      <c r="C51" s="55">
        <f>'CO_Attainment for Unit Tests'!B50</f>
        <v>23510250236</v>
      </c>
      <c r="D51" s="56" t="str">
        <f>'CO_Attainment for Unit Tests'!C50</f>
        <v>PATIL AMRUTA SURESH</v>
      </c>
      <c r="E51" s="39"/>
    </row>
    <row r="52" spans="2:5" ht="15.75" customHeight="1" x14ac:dyDescent="0.25">
      <c r="B52" s="55">
        <v>39</v>
      </c>
      <c r="C52" s="55">
        <f>'CO_Attainment for Unit Tests'!B51</f>
        <v>23510250237</v>
      </c>
      <c r="D52" s="56" t="str">
        <f>'CO_Attainment for Unit Tests'!C51</f>
        <v>PATIL DNYANESHWARI SUBHASH</v>
      </c>
      <c r="E52" s="39"/>
    </row>
    <row r="53" spans="2:5" ht="15.75" customHeight="1" x14ac:dyDescent="0.25">
      <c r="B53" s="55">
        <v>40</v>
      </c>
      <c r="C53" s="55">
        <f>'CO_Attainment for Unit Tests'!B52</f>
        <v>23510250238</v>
      </c>
      <c r="D53" s="56" t="str">
        <f>'CO_Attainment for Unit Tests'!C52</f>
        <v>PAWAR ARYA RAJENDRA</v>
      </c>
      <c r="E53" s="39"/>
    </row>
    <row r="54" spans="2:5" ht="15.75" customHeight="1" x14ac:dyDescent="0.25">
      <c r="B54" s="55">
        <v>41</v>
      </c>
      <c r="C54" s="55">
        <f>'CO_Attainment for Unit Tests'!B53</f>
        <v>23510250239</v>
      </c>
      <c r="D54" s="56" t="str">
        <f>'CO_Attainment for Unit Tests'!C53</f>
        <v>PAWAR SARIKA PANDURANG</v>
      </c>
      <c r="E54" s="39"/>
    </row>
    <row r="55" spans="2:5" ht="15.75" customHeight="1" x14ac:dyDescent="0.25">
      <c r="B55" s="55">
        <v>42</v>
      </c>
      <c r="C55" s="55">
        <f>'CO_Attainment for Unit Tests'!B54</f>
        <v>23510250240</v>
      </c>
      <c r="D55" s="56" t="str">
        <f>'CO_Attainment for Unit Tests'!C54</f>
        <v>PAWAR VAIBHAVI LAXMAN</v>
      </c>
      <c r="E55" s="39"/>
    </row>
    <row r="56" spans="2:5" ht="15.75" customHeight="1" x14ac:dyDescent="0.25">
      <c r="B56" s="55">
        <v>43</v>
      </c>
      <c r="C56" s="55">
        <f>'CO_Attainment for Unit Tests'!B55</f>
        <v>23510250241</v>
      </c>
      <c r="D56" s="56" t="str">
        <f>'CO_Attainment for Unit Tests'!C55</f>
        <v>PICHRUTE GAYATRI AMBADAS</v>
      </c>
      <c r="E56" s="39"/>
    </row>
    <row r="57" spans="2:5" ht="15.75" customHeight="1" x14ac:dyDescent="0.25">
      <c r="B57" s="55">
        <v>44</v>
      </c>
      <c r="C57" s="55">
        <f>'CO_Attainment for Unit Tests'!B56</f>
        <v>23510250242</v>
      </c>
      <c r="D57" s="56" t="str">
        <f>'CO_Attainment for Unit Tests'!C56</f>
        <v>PIRJADE AFREEN UBEDULLA</v>
      </c>
      <c r="E57" s="39"/>
    </row>
    <row r="58" spans="2:5" ht="15.75" customHeight="1" x14ac:dyDescent="0.25">
      <c r="B58" s="55">
        <v>45</v>
      </c>
      <c r="C58" s="55">
        <f>'CO_Attainment for Unit Tests'!B57</f>
        <v>23510250244</v>
      </c>
      <c r="D58" s="56" t="str">
        <f>'CO_Attainment for Unit Tests'!C57</f>
        <v>RAJPUT BHIMSING UMRAOSING</v>
      </c>
      <c r="E58" s="39"/>
    </row>
    <row r="59" spans="2:5" ht="15" customHeight="1" x14ac:dyDescent="0.25">
      <c r="B59" s="55">
        <v>46</v>
      </c>
      <c r="C59" s="55">
        <f>'CO_Attainment for Unit Tests'!B58</f>
        <v>23510250246</v>
      </c>
      <c r="D59" s="56" t="str">
        <f>'CO_Attainment for Unit Tests'!C58</f>
        <v>SAKHARKAR SHRAVANI HARI</v>
      </c>
      <c r="E59" s="39"/>
    </row>
    <row r="60" spans="2:5" ht="15.75" customHeight="1" x14ac:dyDescent="0.25">
      <c r="B60" s="55">
        <v>47</v>
      </c>
      <c r="C60" s="55">
        <f>'CO_Attainment for Unit Tests'!B59</f>
        <v>23510250247</v>
      </c>
      <c r="D60" s="56" t="str">
        <f>'CO_Attainment for Unit Tests'!C59</f>
        <v>SHINDALKAR ANIKET SHESHERAO</v>
      </c>
      <c r="E60" s="39"/>
    </row>
    <row r="61" spans="2:5" ht="15.75" customHeight="1" x14ac:dyDescent="0.25">
      <c r="B61" s="55">
        <v>48</v>
      </c>
      <c r="C61" s="55">
        <f>'CO_Attainment for Unit Tests'!B60</f>
        <v>23510250248</v>
      </c>
      <c r="D61" s="56" t="str">
        <f>'CO_Attainment for Unit Tests'!C60</f>
        <v>SHINDE DIPIKA DATTATRAY</v>
      </c>
      <c r="E61" s="39"/>
    </row>
    <row r="62" spans="2:5" ht="15.75" customHeight="1" x14ac:dyDescent="0.25">
      <c r="B62" s="55">
        <v>49</v>
      </c>
      <c r="C62" s="55">
        <f>'CO_Attainment for Unit Tests'!B61</f>
        <v>23510250249</v>
      </c>
      <c r="D62" s="56" t="str">
        <f>'CO_Attainment for Unit Tests'!C61</f>
        <v>SHINDE ROHAN RAJENDRA</v>
      </c>
      <c r="E62" s="39"/>
    </row>
    <row r="63" spans="2:5" ht="15.75" customHeight="1" x14ac:dyDescent="0.25">
      <c r="B63" s="55">
        <v>50</v>
      </c>
      <c r="C63" s="55">
        <f>'CO_Attainment for Unit Tests'!B62</f>
        <v>23510250250</v>
      </c>
      <c r="D63" s="56" t="str">
        <f>'CO_Attainment for Unit Tests'!C62</f>
        <v>SHINDE SHIVAM SANDEEP</v>
      </c>
      <c r="E63" s="39"/>
    </row>
    <row r="64" spans="2:5" ht="15.75" customHeight="1" x14ac:dyDescent="0.25">
      <c r="B64" s="55">
        <v>51</v>
      </c>
      <c r="C64" s="55">
        <f>'CO_Attainment for Unit Tests'!B63</f>
        <v>23510250251</v>
      </c>
      <c r="D64" s="56" t="str">
        <f>'CO_Attainment for Unit Tests'!C63</f>
        <v>SHINDE YASHRAJ YUVRAJ</v>
      </c>
      <c r="E64" s="39"/>
    </row>
    <row r="65" spans="2:5" ht="15.75" customHeight="1" x14ac:dyDescent="0.25">
      <c r="B65" s="55">
        <v>52</v>
      </c>
      <c r="C65" s="55">
        <f>'CO_Attainment for Unit Tests'!B64</f>
        <v>23510250252</v>
      </c>
      <c r="D65" s="56" t="str">
        <f>'CO_Attainment for Unit Tests'!C64</f>
        <v>SIRSAT ABHISHEK SHAHAJI</v>
      </c>
      <c r="E65" s="39"/>
    </row>
    <row r="66" spans="2:5" ht="15.75" customHeight="1" x14ac:dyDescent="0.25">
      <c r="B66" s="55">
        <v>53</v>
      </c>
      <c r="C66" s="55">
        <f>'CO_Attainment for Unit Tests'!B65</f>
        <v>23510250254</v>
      </c>
      <c r="D66" s="56" t="str">
        <f>'CO_Attainment for Unit Tests'!C65</f>
        <v>UMBARDAND SHIVLILA BABASAHEB</v>
      </c>
      <c r="E66" s="39"/>
    </row>
    <row r="67" spans="2:5" ht="15.75" customHeight="1" x14ac:dyDescent="0.25">
      <c r="B67" s="55">
        <v>54</v>
      </c>
      <c r="C67" s="55">
        <f>'CO_Attainment for Unit Tests'!B66</f>
        <v>23510250255</v>
      </c>
      <c r="D67" s="56" t="str">
        <f>'CO_Attainment for Unit Tests'!C66</f>
        <v>VARE ANJALI RAMDAS</v>
      </c>
      <c r="E67" s="39"/>
    </row>
    <row r="68" spans="2:5" ht="15.75" customHeight="1" x14ac:dyDescent="0.25">
      <c r="B68" s="55">
        <v>55</v>
      </c>
      <c r="C68" s="55">
        <f>'CO_Attainment for Unit Tests'!B67</f>
        <v>23510250257</v>
      </c>
      <c r="D68" s="56" t="str">
        <f>'CO_Attainment for Unit Tests'!C67</f>
        <v>WAGHMARE PALLAVI DNYANESHWAR</v>
      </c>
      <c r="E68" s="39"/>
    </row>
    <row r="69" spans="2:5" ht="15.75" customHeight="1" x14ac:dyDescent="0.25">
      <c r="B69" s="55">
        <v>56</v>
      </c>
      <c r="C69" s="55">
        <f>'CO_Attainment for Unit Tests'!B68</f>
        <v>23510250524</v>
      </c>
      <c r="D69" s="56" t="str">
        <f>'CO_Attainment for Unit Tests'!C68</f>
        <v>Gavasane Vedant Amol</v>
      </c>
      <c r="E69" s="39"/>
    </row>
    <row r="70" spans="2:5" ht="15.75" customHeight="1" x14ac:dyDescent="0.25">
      <c r="B70" s="55">
        <v>57</v>
      </c>
      <c r="C70" s="55">
        <f>'CO_Attainment for Unit Tests'!B69</f>
        <v>24510250260</v>
      </c>
      <c r="D70" s="56" t="str">
        <f>'CO_Attainment for Unit Tests'!C69</f>
        <v>HAJARE SWAPNALI SUJIT</v>
      </c>
      <c r="E70" s="39"/>
    </row>
    <row r="71" spans="2:5" ht="15.75" customHeight="1" x14ac:dyDescent="0.25">
      <c r="B71" s="55">
        <v>58</v>
      </c>
      <c r="C71" s="55">
        <f>'CO_Attainment for Unit Tests'!B70</f>
        <v>24510250261</v>
      </c>
      <c r="D71" s="56" t="str">
        <f>'CO_Attainment for Unit Tests'!C70</f>
        <v>MUGALE AMAR RAM</v>
      </c>
      <c r="E71" s="39"/>
    </row>
    <row r="72" spans="2:5" ht="15.75" customHeight="1" x14ac:dyDescent="0.25">
      <c r="B72" s="55">
        <v>59</v>
      </c>
      <c r="C72" s="55">
        <f>'CO_Attainment for Unit Tests'!B71</f>
        <v>24510250262</v>
      </c>
      <c r="D72" s="56" t="str">
        <f>'CO_Attainment for Unit Tests'!C71</f>
        <v>PAWAR ASHWASANDHYA NANDAKUMAR</v>
      </c>
      <c r="E72" s="39"/>
    </row>
    <row r="73" spans="2:5" ht="15.75" customHeight="1" x14ac:dyDescent="0.25">
      <c r="B73" s="55">
        <v>60</v>
      </c>
      <c r="C73" s="55">
        <f>'CO_Attainment for Unit Tests'!B72</f>
        <v>24510250263</v>
      </c>
      <c r="D73" s="56" t="str">
        <f>'CO_Attainment for Unit Tests'!C72</f>
        <v>PAWAR ASHWASHRADHA DHANAJI</v>
      </c>
      <c r="E73" s="39"/>
    </row>
    <row r="74" spans="2:5" ht="15.75" customHeight="1" x14ac:dyDescent="0.25">
      <c r="B74" s="55">
        <v>61</v>
      </c>
      <c r="C74" s="55">
        <f>'CO_Attainment for Unit Tests'!B73</f>
        <v>24510250264</v>
      </c>
      <c r="D74" s="56" t="str">
        <f>'CO_Attainment for Unit Tests'!C73</f>
        <v>SUTAR PRIYA BHAGVANT</v>
      </c>
      <c r="E74" s="39"/>
    </row>
    <row r="75" spans="2:5" ht="15.75" customHeight="1" x14ac:dyDescent="0.25">
      <c r="B75" s="55">
        <v>62</v>
      </c>
      <c r="C75" s="55">
        <f>'CO_Attainment for Unit Tests'!B74</f>
        <v>24510250265</v>
      </c>
      <c r="D75" s="56" t="str">
        <f>'CO_Attainment for Unit Tests'!C74</f>
        <v>SUTAR YOGESH EKNATH</v>
      </c>
      <c r="E75" s="39"/>
    </row>
    <row r="76" spans="2:5" ht="15.75" customHeight="1" x14ac:dyDescent="0.25">
      <c r="B76" s="55">
        <v>63</v>
      </c>
      <c r="C76" s="55">
        <f>'CO_Attainment for Unit Tests'!B75</f>
        <v>24510250266</v>
      </c>
      <c r="D76" s="56" t="str">
        <f>'CO_Attainment for Unit Tests'!C75</f>
        <v>WAWALKAR ANJALI ANIL</v>
      </c>
      <c r="E76" s="39"/>
    </row>
    <row r="77" spans="2:5" ht="15.75" customHeight="1" x14ac:dyDescent="0.25">
      <c r="B77" s="55">
        <v>64</v>
      </c>
      <c r="C77" s="55">
        <f>'CO_Attainment for Unit Tests'!B76</f>
        <v>0</v>
      </c>
      <c r="D77" s="56">
        <f>'CO_Attainment for Unit Tests'!C76</f>
        <v>0</v>
      </c>
      <c r="E77" s="39"/>
    </row>
    <row r="78" spans="2:5" ht="15.75" customHeight="1" x14ac:dyDescent="0.25">
      <c r="B78" s="55">
        <v>65</v>
      </c>
      <c r="C78" s="55">
        <f>'CO_Attainment for Unit Tests'!B77</f>
        <v>0</v>
      </c>
      <c r="D78" s="56">
        <f>'CO_Attainment for Unit Tests'!C77</f>
        <v>0</v>
      </c>
      <c r="E78" s="39"/>
    </row>
    <row r="79" spans="2:5" ht="15.75" customHeight="1" x14ac:dyDescent="0.25">
      <c r="B79" s="55">
        <v>66</v>
      </c>
      <c r="C79" s="55">
        <f>'CO_Attainment for Unit Tests'!B78</f>
        <v>0</v>
      </c>
      <c r="D79" s="56">
        <f>'CO_Attainment for Unit Tests'!C78</f>
        <v>0</v>
      </c>
      <c r="E79" s="39"/>
    </row>
    <row r="80" spans="2:5" ht="15.75" customHeight="1" x14ac:dyDescent="0.25">
      <c r="B80" s="55">
        <v>67</v>
      </c>
      <c r="C80" s="55">
        <f>'CO_Attainment for Unit Tests'!B79</f>
        <v>0</v>
      </c>
      <c r="D80" s="56">
        <f>'CO_Attainment for Unit Tests'!C79</f>
        <v>0</v>
      </c>
      <c r="E80" s="39"/>
    </row>
    <row r="81" spans="2:5" ht="15.75" customHeight="1" x14ac:dyDescent="0.25">
      <c r="B81" s="55">
        <v>68</v>
      </c>
      <c r="C81" s="55">
        <f>'CO_Attainment for Unit Tests'!B80</f>
        <v>0</v>
      </c>
      <c r="D81" s="56">
        <f>'CO_Attainment for Unit Tests'!C80</f>
        <v>0</v>
      </c>
      <c r="E81" s="39"/>
    </row>
    <row r="82" spans="2:5" ht="15.75" customHeight="1" x14ac:dyDescent="0.25">
      <c r="B82" s="55">
        <v>69</v>
      </c>
      <c r="C82" s="55">
        <f>'CO_Attainment for Unit Tests'!B81</f>
        <v>0</v>
      </c>
      <c r="D82" s="56">
        <f>'CO_Attainment for Unit Tests'!C81</f>
        <v>0</v>
      </c>
      <c r="E82" s="39"/>
    </row>
    <row r="83" spans="2:5" ht="15.75" customHeight="1" x14ac:dyDescent="0.25">
      <c r="B83" s="55">
        <v>70</v>
      </c>
      <c r="C83" s="55">
        <f>'CO_Attainment for Unit Tests'!B82</f>
        <v>0</v>
      </c>
      <c r="D83" s="56">
        <f>'CO_Attainment for Unit Tests'!C82</f>
        <v>0</v>
      </c>
      <c r="E83" s="39"/>
    </row>
    <row r="84" spans="2:5" ht="15.75" customHeight="1" x14ac:dyDescent="0.25">
      <c r="B84" s="55">
        <v>71</v>
      </c>
      <c r="C84" s="55">
        <f>'CO_Attainment for Unit Tests'!B83</f>
        <v>0</v>
      </c>
      <c r="D84" s="56">
        <f>'CO_Attainment for Unit Tests'!C83</f>
        <v>0</v>
      </c>
      <c r="E84" s="39"/>
    </row>
    <row r="85" spans="2:5" ht="15.75" customHeight="1" x14ac:dyDescent="0.25">
      <c r="B85" s="55">
        <v>72</v>
      </c>
      <c r="C85" s="55">
        <f>'CO_Attainment for Unit Tests'!B84</f>
        <v>0</v>
      </c>
      <c r="D85" s="56">
        <f>'CO_Attainment for Unit Tests'!C84</f>
        <v>0</v>
      </c>
      <c r="E85" s="39"/>
    </row>
    <row r="86" spans="2:5" ht="15.75" customHeight="1" x14ac:dyDescent="0.25">
      <c r="B86" s="55">
        <v>73</v>
      </c>
      <c r="C86" s="55">
        <f>'CO_Attainment for Unit Tests'!B85</f>
        <v>0</v>
      </c>
      <c r="D86" s="56">
        <f>'CO_Attainment for Unit Tests'!C85</f>
        <v>0</v>
      </c>
      <c r="E86" s="39"/>
    </row>
    <row r="87" spans="2:5" ht="15.75" customHeight="1" x14ac:dyDescent="0.25">
      <c r="B87" s="55">
        <v>74</v>
      </c>
      <c r="C87" s="55">
        <f>'CO_Attainment for Unit Tests'!B86</f>
        <v>0</v>
      </c>
      <c r="D87" s="56">
        <f>'CO_Attainment for Unit Tests'!C86</f>
        <v>0</v>
      </c>
      <c r="E87" s="39"/>
    </row>
    <row r="88" spans="2:5" ht="15" customHeight="1" x14ac:dyDescent="0.25">
      <c r="B88" s="55">
        <v>75</v>
      </c>
      <c r="C88" s="55">
        <f>'CO_Attainment for Unit Tests'!B87</f>
        <v>0</v>
      </c>
      <c r="D88" s="56">
        <f>'CO_Attainment for Unit Tests'!C87</f>
        <v>0</v>
      </c>
      <c r="E88" s="39"/>
    </row>
    <row r="89" spans="2:5" ht="15.75" customHeight="1" x14ac:dyDescent="0.25">
      <c r="B89" s="55">
        <v>76</v>
      </c>
      <c r="C89" s="55">
        <f>'CO_Attainment for Unit Tests'!B88</f>
        <v>0</v>
      </c>
      <c r="D89" s="56">
        <f>'CO_Attainment for Unit Tests'!C88</f>
        <v>0</v>
      </c>
      <c r="E89" s="39"/>
    </row>
    <row r="90" spans="2:5" ht="15.75" customHeight="1" x14ac:dyDescent="0.25">
      <c r="B90" s="55">
        <v>77</v>
      </c>
      <c r="C90" s="55">
        <f>'CO_Attainment for Unit Tests'!B89</f>
        <v>0</v>
      </c>
      <c r="D90" s="56">
        <f>'CO_Attainment for Unit Tests'!C89</f>
        <v>0</v>
      </c>
      <c r="E90" s="39"/>
    </row>
    <row r="91" spans="2:5" ht="15.75" customHeight="1" x14ac:dyDescent="0.25">
      <c r="B91" s="55">
        <v>78</v>
      </c>
      <c r="C91" s="55">
        <f>'CO_Attainment for Unit Tests'!B90</f>
        <v>0</v>
      </c>
      <c r="D91" s="56">
        <f>'CO_Attainment for Unit Tests'!C90</f>
        <v>0</v>
      </c>
      <c r="E91" s="39"/>
    </row>
    <row r="92" spans="2:5" ht="15.75" customHeight="1" x14ac:dyDescent="0.25">
      <c r="B92" s="55">
        <v>79</v>
      </c>
      <c r="C92" s="55">
        <f>'CO_Attainment for Unit Tests'!B91</f>
        <v>0</v>
      </c>
      <c r="D92" s="56">
        <f>'CO_Attainment for Unit Tests'!C91</f>
        <v>0</v>
      </c>
      <c r="E92" s="39"/>
    </row>
    <row r="93" spans="2:5" ht="15.75" customHeight="1" x14ac:dyDescent="0.25">
      <c r="B93" s="55">
        <v>80</v>
      </c>
      <c r="C93" s="55">
        <f>'CO_Attainment for Unit Tests'!B92</f>
        <v>0</v>
      </c>
      <c r="D93" s="56">
        <f>'CO_Attainment for Unit Tests'!C92</f>
        <v>0</v>
      </c>
      <c r="E93" s="39"/>
    </row>
    <row r="94" spans="2:5" ht="24.75" customHeight="1" x14ac:dyDescent="0.25">
      <c r="B94" s="55">
        <v>81</v>
      </c>
      <c r="C94" s="55">
        <f>'CO_Attainment for Unit Tests'!B93</f>
        <v>0</v>
      </c>
      <c r="D94" s="56">
        <f>'CO_Attainment for Unit Tests'!C93</f>
        <v>0</v>
      </c>
      <c r="E94" s="39"/>
    </row>
    <row r="95" spans="2:5" ht="15.75" customHeight="1" x14ac:dyDescent="0.25">
      <c r="B95" s="55">
        <v>82</v>
      </c>
      <c r="C95" s="55">
        <f>'CO_Attainment for Unit Tests'!B94</f>
        <v>0</v>
      </c>
      <c r="D95" s="56">
        <f>'CO_Attainment for Unit Tests'!C94</f>
        <v>0</v>
      </c>
      <c r="E95" s="39"/>
    </row>
    <row r="96" spans="2:5" ht="15.75" customHeight="1" x14ac:dyDescent="0.25">
      <c r="B96" s="55">
        <v>83</v>
      </c>
      <c r="C96" s="55">
        <f>'CO_Attainment for Unit Tests'!B95</f>
        <v>0</v>
      </c>
      <c r="D96" s="56">
        <f>'CO_Attainment for Unit Tests'!C95</f>
        <v>0</v>
      </c>
      <c r="E96" s="39"/>
    </row>
    <row r="97" spans="1:9" ht="33" customHeight="1" x14ac:dyDescent="0.25">
      <c r="B97" s="11"/>
      <c r="C97" s="11"/>
      <c r="D97" s="57" t="s">
        <v>146</v>
      </c>
      <c r="E97" s="262">
        <f>D98*E13/100</f>
        <v>32.878999999999998</v>
      </c>
    </row>
    <row r="98" spans="1:9" ht="15.75" customHeight="1" x14ac:dyDescent="0.25">
      <c r="D98" s="58">
        <v>46.97</v>
      </c>
      <c r="E98" s="188"/>
    </row>
    <row r="99" spans="1:9" ht="15" customHeight="1" x14ac:dyDescent="0.25">
      <c r="D99" s="59" t="s">
        <v>130</v>
      </c>
      <c r="E99" s="60">
        <f>COUNTIF(E14:E96,"&gt;=" &amp;E97)</f>
        <v>0</v>
      </c>
    </row>
    <row r="100" spans="1:9" ht="15.75" customHeight="1" x14ac:dyDescent="0.25">
      <c r="B100" s="11" t="s">
        <v>147</v>
      </c>
      <c r="D100" s="61"/>
      <c r="E100" s="62"/>
    </row>
    <row r="101" spans="1:9" ht="15.75" customHeight="1" x14ac:dyDescent="0.25">
      <c r="D101" s="61"/>
      <c r="E101" s="62"/>
    </row>
    <row r="102" spans="1:9" ht="15.75" customHeight="1" x14ac:dyDescent="0.25">
      <c r="E102" s="10"/>
    </row>
    <row r="103" spans="1:9" ht="33.75" customHeight="1" x14ac:dyDescent="0.25">
      <c r="A103" s="226" t="s">
        <v>131</v>
      </c>
      <c r="B103" s="196"/>
      <c r="C103" s="196"/>
      <c r="D103" s="197"/>
      <c r="E103" s="63" t="s">
        <v>132</v>
      </c>
      <c r="F103" s="41"/>
      <c r="G103" s="64" t="s">
        <v>133</v>
      </c>
      <c r="H103" s="65"/>
      <c r="I103" s="65"/>
    </row>
    <row r="104" spans="1:9" ht="15" customHeight="1" x14ac:dyDescent="0.25">
      <c r="A104" s="229" t="s">
        <v>134</v>
      </c>
      <c r="B104" s="66">
        <v>0.5</v>
      </c>
      <c r="C104" s="263" t="s">
        <v>148</v>
      </c>
      <c r="D104" s="264"/>
      <c r="E104" s="265">
        <f>COUNTA(D14:D96)-COUNTIFS(D14:D96,0)</f>
        <v>63</v>
      </c>
      <c r="F104" s="67">
        <f t="shared" ref="F104:F106" si="0">B104*$E$104</f>
        <v>31.5</v>
      </c>
      <c r="G104" s="68">
        <v>1</v>
      </c>
      <c r="H104" s="65"/>
      <c r="I104" s="65"/>
    </row>
    <row r="105" spans="1:9" ht="15.75" customHeight="1" x14ac:dyDescent="0.25">
      <c r="A105" s="230"/>
      <c r="B105" s="69">
        <v>0.6</v>
      </c>
      <c r="C105" s="256" t="s">
        <v>148</v>
      </c>
      <c r="D105" s="251"/>
      <c r="E105" s="187"/>
      <c r="F105" s="70">
        <f t="shared" si="0"/>
        <v>37.799999999999997</v>
      </c>
      <c r="G105" s="71">
        <v>2</v>
      </c>
      <c r="H105" s="65"/>
      <c r="I105" s="65"/>
    </row>
    <row r="106" spans="1:9" ht="15.75" customHeight="1" x14ac:dyDescent="0.25">
      <c r="A106" s="231"/>
      <c r="B106" s="72">
        <v>0.7</v>
      </c>
      <c r="C106" s="257" t="s">
        <v>149</v>
      </c>
      <c r="D106" s="224"/>
      <c r="E106" s="188"/>
      <c r="F106" s="73">
        <f t="shared" si="0"/>
        <v>44.099999999999994</v>
      </c>
      <c r="G106" s="74">
        <v>3</v>
      </c>
      <c r="H106" s="65"/>
      <c r="I106" s="65"/>
    </row>
    <row r="107" spans="1:9" ht="15.75" customHeight="1" x14ac:dyDescent="0.25">
      <c r="A107" s="65"/>
      <c r="B107" s="65"/>
      <c r="C107" s="65"/>
      <c r="D107" s="65"/>
      <c r="E107" s="75"/>
      <c r="F107" s="65"/>
      <c r="G107" s="65"/>
      <c r="H107" s="65"/>
      <c r="I107" s="65"/>
    </row>
    <row r="108" spans="1:9" ht="15.75" customHeight="1" x14ac:dyDescent="0.25">
      <c r="A108" s="65"/>
      <c r="B108" s="65"/>
      <c r="C108" s="65"/>
      <c r="D108" s="65"/>
      <c r="E108" s="75"/>
      <c r="F108" s="65"/>
      <c r="G108" s="65"/>
      <c r="H108" s="65"/>
      <c r="I108" s="65"/>
    </row>
    <row r="109" spans="1:9" ht="71.25" customHeight="1" x14ac:dyDescent="0.25">
      <c r="A109" s="258" t="s">
        <v>150</v>
      </c>
      <c r="B109" s="259"/>
      <c r="C109" s="49" t="s">
        <v>9</v>
      </c>
      <c r="D109" s="49" t="s">
        <v>11</v>
      </c>
      <c r="E109" s="49" t="s">
        <v>13</v>
      </c>
      <c r="F109" s="49" t="s">
        <v>15</v>
      </c>
      <c r="G109" s="49" t="s">
        <v>139</v>
      </c>
      <c r="H109" s="50" t="s">
        <v>140</v>
      </c>
      <c r="I109" s="65"/>
    </row>
    <row r="110" spans="1:9" ht="39" customHeight="1" x14ac:dyDescent="0.25">
      <c r="A110" s="260" t="s">
        <v>151</v>
      </c>
      <c r="B110" s="261"/>
      <c r="C110" s="52">
        <f>IF(E99&gt;=$F106,3,IF(E99&gt;=$F105,2,IF(E99&gt;=$F104,1,0)))</f>
        <v>0</v>
      </c>
      <c r="D110" s="52">
        <f t="shared" ref="D110:H110" si="1">$C110</f>
        <v>0</v>
      </c>
      <c r="E110" s="52">
        <f t="shared" si="1"/>
        <v>0</v>
      </c>
      <c r="F110" s="52">
        <f t="shared" si="1"/>
        <v>0</v>
      </c>
      <c r="G110" s="52">
        <f t="shared" si="1"/>
        <v>0</v>
      </c>
      <c r="H110" s="52">
        <f t="shared" si="1"/>
        <v>0</v>
      </c>
      <c r="I110" s="65"/>
    </row>
    <row r="111" spans="1:9" ht="15.75" customHeight="1" x14ac:dyDescent="0.25">
      <c r="A111" s="65" t="s">
        <v>152</v>
      </c>
      <c r="B111" s="65"/>
      <c r="C111" s="65"/>
      <c r="D111" s="65"/>
      <c r="E111" s="75"/>
      <c r="F111" s="65"/>
      <c r="G111" s="65"/>
      <c r="H111" s="65"/>
      <c r="I111" s="65"/>
    </row>
    <row r="112" spans="1:9" ht="15.75" customHeight="1" x14ac:dyDescent="0.25">
      <c r="A112" s="65"/>
      <c r="B112" s="65"/>
      <c r="C112" s="65"/>
      <c r="D112" s="65"/>
      <c r="E112" s="75"/>
      <c r="F112" s="65"/>
      <c r="G112" s="65"/>
      <c r="H112" s="65"/>
      <c r="I112" s="65"/>
    </row>
    <row r="113" spans="5:5" ht="15.75" customHeight="1" x14ac:dyDescent="0.25">
      <c r="E113" s="10"/>
    </row>
    <row r="114" spans="5:5" ht="15.75" customHeight="1" x14ac:dyDescent="0.25">
      <c r="E114" s="10"/>
    </row>
    <row r="115" spans="5:5" ht="15.75" customHeight="1" x14ac:dyDescent="0.25">
      <c r="E115" s="10"/>
    </row>
    <row r="116" spans="5:5" ht="15.75" customHeight="1" x14ac:dyDescent="0.25">
      <c r="E116" s="10"/>
    </row>
    <row r="117" spans="5:5" ht="15.75" customHeight="1" x14ac:dyDescent="0.25">
      <c r="E117" s="10"/>
    </row>
    <row r="118" spans="5:5" ht="15.75" customHeight="1" x14ac:dyDescent="0.25">
      <c r="E118" s="10"/>
    </row>
    <row r="119" spans="5:5" ht="15.75" customHeight="1" x14ac:dyDescent="0.25">
      <c r="E119" s="10"/>
    </row>
    <row r="120" spans="5:5" ht="15.75" customHeight="1" x14ac:dyDescent="0.25">
      <c r="E120" s="10"/>
    </row>
    <row r="121" spans="5:5" ht="15.75" customHeight="1" x14ac:dyDescent="0.25">
      <c r="E121" s="10"/>
    </row>
    <row r="122" spans="5:5" ht="15.75" customHeight="1" x14ac:dyDescent="0.25">
      <c r="E122" s="10"/>
    </row>
    <row r="123" spans="5:5" ht="15.75" customHeight="1" x14ac:dyDescent="0.25">
      <c r="E123" s="10"/>
    </row>
    <row r="124" spans="5:5" ht="15.75" customHeight="1" x14ac:dyDescent="0.25">
      <c r="E124" s="10"/>
    </row>
    <row r="125" spans="5:5" ht="15.75" customHeight="1" x14ac:dyDescent="0.25">
      <c r="E125" s="10"/>
    </row>
    <row r="126" spans="5:5" ht="15.75" customHeight="1" x14ac:dyDescent="0.25">
      <c r="E126" s="10"/>
    </row>
    <row r="127" spans="5:5" ht="15.75" customHeight="1" x14ac:dyDescent="0.25">
      <c r="E127" s="10"/>
    </row>
    <row r="128" spans="5:5" ht="15.75" customHeight="1" x14ac:dyDescent="0.25">
      <c r="E128" s="10"/>
    </row>
    <row r="129" spans="5:5" ht="15.75" customHeight="1" x14ac:dyDescent="0.25">
      <c r="E129" s="10"/>
    </row>
    <row r="130" spans="5:5" ht="15.75" customHeight="1" x14ac:dyDescent="0.25">
      <c r="E130" s="10"/>
    </row>
    <row r="131" spans="5:5" ht="15.75" customHeight="1" x14ac:dyDescent="0.25">
      <c r="E131" s="10"/>
    </row>
    <row r="132" spans="5:5" ht="15.75" customHeight="1" x14ac:dyDescent="0.25">
      <c r="E132" s="10"/>
    </row>
    <row r="133" spans="5:5" ht="15.75" customHeight="1" x14ac:dyDescent="0.25">
      <c r="E133" s="10"/>
    </row>
    <row r="134" spans="5:5" ht="15.75" customHeight="1" x14ac:dyDescent="0.25">
      <c r="E134" s="10"/>
    </row>
    <row r="135" spans="5:5" ht="15.75" customHeight="1" x14ac:dyDescent="0.25">
      <c r="E135" s="10"/>
    </row>
    <row r="136" spans="5:5" ht="15.75" customHeight="1" x14ac:dyDescent="0.25">
      <c r="E136" s="10"/>
    </row>
    <row r="137" spans="5:5" ht="15.75" customHeight="1" x14ac:dyDescent="0.25">
      <c r="E137" s="10"/>
    </row>
    <row r="138" spans="5:5" ht="15.75" customHeight="1" x14ac:dyDescent="0.25">
      <c r="E138" s="10"/>
    </row>
    <row r="139" spans="5:5" ht="15.75" customHeight="1" x14ac:dyDescent="0.25">
      <c r="E139" s="10"/>
    </row>
    <row r="140" spans="5:5" ht="15.75" customHeight="1" x14ac:dyDescent="0.25">
      <c r="E140" s="10"/>
    </row>
    <row r="141" spans="5:5" ht="15.75" customHeight="1" x14ac:dyDescent="0.25">
      <c r="E141" s="10"/>
    </row>
    <row r="142" spans="5:5" ht="15.75" customHeight="1" x14ac:dyDescent="0.25">
      <c r="E142" s="10"/>
    </row>
    <row r="143" spans="5:5" ht="15.75" customHeight="1" x14ac:dyDescent="0.25">
      <c r="E143" s="10"/>
    </row>
    <row r="144" spans="5:5" ht="15.75" customHeight="1" x14ac:dyDescent="0.25">
      <c r="E144" s="10"/>
    </row>
    <row r="145" spans="5:5" ht="15.75" customHeight="1" x14ac:dyDescent="0.25">
      <c r="E145" s="10"/>
    </row>
    <row r="146" spans="5:5" ht="15.75" customHeight="1" x14ac:dyDescent="0.25">
      <c r="E146" s="10"/>
    </row>
    <row r="147" spans="5:5" ht="15.75" customHeight="1" x14ac:dyDescent="0.25">
      <c r="E147" s="10"/>
    </row>
    <row r="148" spans="5:5" ht="15.75" customHeight="1" x14ac:dyDescent="0.25">
      <c r="E148" s="10"/>
    </row>
    <row r="149" spans="5:5" ht="15.75" customHeight="1" x14ac:dyDescent="0.25">
      <c r="E149" s="10"/>
    </row>
    <row r="150" spans="5:5" ht="15.75" customHeight="1" x14ac:dyDescent="0.25">
      <c r="E150" s="10"/>
    </row>
    <row r="151" spans="5:5" ht="15.75" customHeight="1" x14ac:dyDescent="0.25">
      <c r="E151" s="10"/>
    </row>
    <row r="152" spans="5:5" ht="15.75" customHeight="1" x14ac:dyDescent="0.25">
      <c r="E152" s="10"/>
    </row>
    <row r="153" spans="5:5" ht="15.75" customHeight="1" x14ac:dyDescent="0.25">
      <c r="E153" s="10"/>
    </row>
    <row r="154" spans="5:5" ht="15.75" customHeight="1" x14ac:dyDescent="0.25">
      <c r="E154" s="10"/>
    </row>
    <row r="155" spans="5:5" ht="15.75" customHeight="1" x14ac:dyDescent="0.25">
      <c r="E155" s="10"/>
    </row>
    <row r="156" spans="5:5" ht="15.75" customHeight="1" x14ac:dyDescent="0.25">
      <c r="E156" s="10"/>
    </row>
    <row r="157" spans="5:5" ht="15.75" customHeight="1" x14ac:dyDescent="0.25">
      <c r="E157" s="10"/>
    </row>
    <row r="158" spans="5:5" ht="15.75" customHeight="1" x14ac:dyDescent="0.25">
      <c r="E158" s="10"/>
    </row>
    <row r="159" spans="5:5" ht="15.75" customHeight="1" x14ac:dyDescent="0.25">
      <c r="E159" s="10"/>
    </row>
    <row r="160" spans="5:5" ht="15.75" customHeight="1" x14ac:dyDescent="0.25">
      <c r="E160" s="10"/>
    </row>
    <row r="161" spans="5:5" ht="15.75" customHeight="1" x14ac:dyDescent="0.25">
      <c r="E161" s="10"/>
    </row>
    <row r="162" spans="5:5" ht="15.75" customHeight="1" x14ac:dyDescent="0.25">
      <c r="E162" s="10"/>
    </row>
    <row r="163" spans="5:5" ht="15.75" customHeight="1" x14ac:dyDescent="0.25">
      <c r="E163" s="10"/>
    </row>
    <row r="164" spans="5:5" ht="15.75" customHeight="1" x14ac:dyDescent="0.25">
      <c r="E164" s="10"/>
    </row>
    <row r="165" spans="5:5" ht="15.75" customHeight="1" x14ac:dyDescent="0.25">
      <c r="E165" s="10"/>
    </row>
    <row r="166" spans="5:5" ht="15.75" customHeight="1" x14ac:dyDescent="0.25">
      <c r="E166" s="10"/>
    </row>
    <row r="167" spans="5:5" ht="15.75" customHeight="1" x14ac:dyDescent="0.25">
      <c r="E167" s="10"/>
    </row>
    <row r="168" spans="5:5" ht="15.75" customHeight="1" x14ac:dyDescent="0.25">
      <c r="E168" s="10"/>
    </row>
    <row r="169" spans="5:5" ht="15.75" customHeight="1" x14ac:dyDescent="0.25">
      <c r="E169" s="10"/>
    </row>
    <row r="170" spans="5:5" ht="15.75" customHeight="1" x14ac:dyDescent="0.25">
      <c r="E170" s="10"/>
    </row>
    <row r="171" spans="5:5" ht="15.75" customHeight="1" x14ac:dyDescent="0.25">
      <c r="E171" s="10"/>
    </row>
    <row r="172" spans="5:5" ht="15.75" customHeight="1" x14ac:dyDescent="0.25">
      <c r="E172" s="10"/>
    </row>
    <row r="173" spans="5:5" ht="15.75" customHeight="1" x14ac:dyDescent="0.25">
      <c r="E173" s="10"/>
    </row>
    <row r="174" spans="5:5" ht="15.75" customHeight="1" x14ac:dyDescent="0.25">
      <c r="E174" s="10"/>
    </row>
    <row r="175" spans="5:5" ht="15.75" customHeight="1" x14ac:dyDescent="0.25">
      <c r="E175" s="10"/>
    </row>
    <row r="176" spans="5:5" ht="15.75" customHeight="1" x14ac:dyDescent="0.25">
      <c r="E176" s="10"/>
    </row>
    <row r="177" spans="5:5" ht="15.75" customHeight="1" x14ac:dyDescent="0.25">
      <c r="E177" s="10"/>
    </row>
    <row r="178" spans="5:5" ht="15.75" customHeight="1" x14ac:dyDescent="0.25">
      <c r="E178" s="10"/>
    </row>
    <row r="179" spans="5:5" ht="15.75" customHeight="1" x14ac:dyDescent="0.25">
      <c r="E179" s="10"/>
    </row>
    <row r="180" spans="5:5" ht="15.75" customHeight="1" x14ac:dyDescent="0.25">
      <c r="E180" s="10"/>
    </row>
    <row r="181" spans="5:5" ht="15.75" customHeight="1" x14ac:dyDescent="0.25">
      <c r="E181" s="10"/>
    </row>
    <row r="182" spans="5:5" ht="15.75" customHeight="1" x14ac:dyDescent="0.25">
      <c r="E182" s="10"/>
    </row>
    <row r="183" spans="5:5" ht="15.75" customHeight="1" x14ac:dyDescent="0.25">
      <c r="E183" s="10"/>
    </row>
    <row r="184" spans="5:5" ht="15.75" customHeight="1" x14ac:dyDescent="0.25">
      <c r="E184" s="10"/>
    </row>
    <row r="185" spans="5:5" ht="15.75" customHeight="1" x14ac:dyDescent="0.25">
      <c r="E185" s="10"/>
    </row>
    <row r="186" spans="5:5" ht="15.75" customHeight="1" x14ac:dyDescent="0.25">
      <c r="E186" s="10"/>
    </row>
    <row r="187" spans="5:5" ht="15.75" customHeight="1" x14ac:dyDescent="0.25">
      <c r="E187" s="10"/>
    </row>
    <row r="188" spans="5:5" ht="15.75" customHeight="1" x14ac:dyDescent="0.25">
      <c r="E188" s="10"/>
    </row>
    <row r="189" spans="5:5" ht="15.75" customHeight="1" x14ac:dyDescent="0.25">
      <c r="E189" s="10"/>
    </row>
    <row r="190" spans="5:5" ht="15.75" customHeight="1" x14ac:dyDescent="0.25">
      <c r="E190" s="10"/>
    </row>
    <row r="191" spans="5:5" ht="15.75" customHeight="1" x14ac:dyDescent="0.25">
      <c r="E191" s="10"/>
    </row>
    <row r="192" spans="5:5" ht="15.75" customHeight="1" x14ac:dyDescent="0.25">
      <c r="E192" s="10"/>
    </row>
    <row r="193" spans="5:5" ht="15.75" customHeight="1" x14ac:dyDescent="0.25">
      <c r="E193" s="10"/>
    </row>
    <row r="194" spans="5:5" ht="15.75" customHeight="1" x14ac:dyDescent="0.25">
      <c r="E194" s="10"/>
    </row>
    <row r="195" spans="5:5" ht="15.75" customHeight="1" x14ac:dyDescent="0.25">
      <c r="E195" s="10"/>
    </row>
    <row r="196" spans="5:5" ht="15.75" customHeight="1" x14ac:dyDescent="0.25">
      <c r="E196" s="10"/>
    </row>
    <row r="197" spans="5:5" ht="15.75" customHeight="1" x14ac:dyDescent="0.25">
      <c r="E197" s="10"/>
    </row>
    <row r="198" spans="5:5" ht="15.75" customHeight="1" x14ac:dyDescent="0.25">
      <c r="E198" s="10"/>
    </row>
    <row r="199" spans="5:5" ht="15.75" customHeight="1" x14ac:dyDescent="0.25">
      <c r="E199" s="10"/>
    </row>
    <row r="200" spans="5:5" ht="15.75" customHeight="1" x14ac:dyDescent="0.25">
      <c r="E200" s="10"/>
    </row>
    <row r="201" spans="5:5" ht="15.75" customHeight="1" x14ac:dyDescent="0.25">
      <c r="E201" s="10"/>
    </row>
    <row r="202" spans="5:5" ht="15.75" customHeight="1" x14ac:dyDescent="0.25">
      <c r="E202" s="10"/>
    </row>
    <row r="203" spans="5:5" ht="15.75" customHeight="1" x14ac:dyDescent="0.25">
      <c r="E203" s="10"/>
    </row>
    <row r="204" spans="5:5" ht="15.75" customHeight="1" x14ac:dyDescent="0.25">
      <c r="E204" s="10"/>
    </row>
    <row r="205" spans="5:5" ht="15.75" customHeight="1" x14ac:dyDescent="0.25">
      <c r="E205" s="10"/>
    </row>
    <row r="206" spans="5:5" ht="15.75" customHeight="1" x14ac:dyDescent="0.25">
      <c r="E206" s="10"/>
    </row>
    <row r="207" spans="5:5" ht="15.75" customHeight="1" x14ac:dyDescent="0.25">
      <c r="E207" s="10"/>
    </row>
    <row r="208" spans="5:5" ht="15.75" customHeight="1" x14ac:dyDescent="0.25">
      <c r="E208" s="10"/>
    </row>
    <row r="209" spans="5:5" ht="15.75" customHeight="1" x14ac:dyDescent="0.25">
      <c r="E209" s="10"/>
    </row>
    <row r="210" spans="5:5" ht="15.75" customHeight="1" x14ac:dyDescent="0.25">
      <c r="E210" s="10"/>
    </row>
    <row r="211" spans="5:5" ht="15.75" customHeight="1" x14ac:dyDescent="0.25">
      <c r="E211" s="10"/>
    </row>
    <row r="212" spans="5:5" ht="15.75" customHeight="1" x14ac:dyDescent="0.25">
      <c r="E212" s="10"/>
    </row>
    <row r="213" spans="5:5" ht="15.75" customHeight="1" x14ac:dyDescent="0.25">
      <c r="E213" s="10"/>
    </row>
    <row r="214" spans="5:5" ht="15.75" customHeight="1" x14ac:dyDescent="0.25">
      <c r="E214" s="10"/>
    </row>
    <row r="215" spans="5:5" ht="15.75" customHeight="1" x14ac:dyDescent="0.25">
      <c r="E215" s="10"/>
    </row>
    <row r="216" spans="5:5" ht="15.75" customHeight="1" x14ac:dyDescent="0.25">
      <c r="E216" s="10"/>
    </row>
    <row r="217" spans="5:5" ht="15.75" customHeight="1" x14ac:dyDescent="0.25">
      <c r="E217" s="10"/>
    </row>
    <row r="218" spans="5:5" ht="15.75" customHeight="1" x14ac:dyDescent="0.25">
      <c r="E218" s="10"/>
    </row>
    <row r="219" spans="5:5" ht="15.75" customHeight="1" x14ac:dyDescent="0.25">
      <c r="E219" s="10"/>
    </row>
    <row r="220" spans="5:5" ht="15.75" customHeight="1" x14ac:dyDescent="0.25">
      <c r="E220" s="10"/>
    </row>
    <row r="221" spans="5:5" ht="15.75" customHeight="1" x14ac:dyDescent="0.25">
      <c r="E221" s="10"/>
    </row>
    <row r="222" spans="5:5" ht="15.75" customHeight="1" x14ac:dyDescent="0.25">
      <c r="E222" s="10"/>
    </row>
    <row r="223" spans="5:5" ht="15.75" customHeight="1" x14ac:dyDescent="0.25">
      <c r="E223" s="10"/>
    </row>
    <row r="224" spans="5:5" ht="15.75" customHeight="1" x14ac:dyDescent="0.25">
      <c r="E224" s="10"/>
    </row>
    <row r="225" spans="5:5" ht="15.75" customHeight="1" x14ac:dyDescent="0.25">
      <c r="E225" s="10"/>
    </row>
    <row r="226" spans="5:5" ht="15.75" customHeight="1" x14ac:dyDescent="0.25">
      <c r="E226" s="10"/>
    </row>
    <row r="227" spans="5:5" ht="15.75" customHeight="1" x14ac:dyDescent="0.25">
      <c r="E227" s="10"/>
    </row>
    <row r="228" spans="5:5" ht="15.75" customHeight="1" x14ac:dyDescent="0.25">
      <c r="E228" s="10"/>
    </row>
    <row r="229" spans="5:5" ht="15.75" customHeight="1" x14ac:dyDescent="0.25">
      <c r="E229" s="10"/>
    </row>
    <row r="230" spans="5:5" ht="15.75" customHeight="1" x14ac:dyDescent="0.25">
      <c r="E230" s="10"/>
    </row>
    <row r="231" spans="5:5" ht="15.75" customHeight="1" x14ac:dyDescent="0.25">
      <c r="E231" s="10"/>
    </row>
    <row r="232" spans="5:5" ht="15.75" customHeight="1" x14ac:dyDescent="0.25">
      <c r="E232" s="10"/>
    </row>
    <row r="233" spans="5:5" ht="15.75" customHeight="1" x14ac:dyDescent="0.25">
      <c r="E233" s="10"/>
    </row>
    <row r="234" spans="5:5" ht="15.75" customHeight="1" x14ac:dyDescent="0.25">
      <c r="E234" s="10"/>
    </row>
    <row r="235" spans="5:5" ht="15.75" customHeight="1" x14ac:dyDescent="0.25">
      <c r="E235" s="10"/>
    </row>
    <row r="236" spans="5:5" ht="15.75" customHeight="1" x14ac:dyDescent="0.25">
      <c r="E236" s="10"/>
    </row>
    <row r="237" spans="5:5" ht="15.75" customHeight="1" x14ac:dyDescent="0.25">
      <c r="E237" s="10"/>
    </row>
    <row r="238" spans="5:5" ht="15.75" customHeight="1" x14ac:dyDescent="0.25">
      <c r="E238" s="10"/>
    </row>
    <row r="239" spans="5:5" ht="15.75" customHeight="1" x14ac:dyDescent="0.25">
      <c r="E239" s="10"/>
    </row>
    <row r="240" spans="5:5" ht="15.75" customHeight="1" x14ac:dyDescent="0.25">
      <c r="E240" s="10"/>
    </row>
    <row r="241" spans="5:5" ht="15.75" customHeight="1" x14ac:dyDescent="0.25">
      <c r="E241" s="10"/>
    </row>
    <row r="242" spans="5:5" ht="15.75" customHeight="1" x14ac:dyDescent="0.25">
      <c r="E242" s="10"/>
    </row>
    <row r="243" spans="5:5" ht="15.75" customHeight="1" x14ac:dyDescent="0.25">
      <c r="E243" s="10"/>
    </row>
    <row r="244" spans="5:5" ht="15.75" customHeight="1" x14ac:dyDescent="0.25">
      <c r="E244" s="10"/>
    </row>
    <row r="245" spans="5:5" ht="15.75" customHeight="1" x14ac:dyDescent="0.25">
      <c r="E245" s="10"/>
    </row>
    <row r="246" spans="5:5" ht="15.75" customHeight="1" x14ac:dyDescent="0.25">
      <c r="E246" s="10"/>
    </row>
    <row r="247" spans="5:5" ht="15.75" customHeight="1" x14ac:dyDescent="0.25">
      <c r="E247" s="10"/>
    </row>
    <row r="248" spans="5:5" ht="15.75" customHeight="1" x14ac:dyDescent="0.25">
      <c r="E248" s="10"/>
    </row>
    <row r="249" spans="5:5" ht="15.75" customHeight="1" x14ac:dyDescent="0.25">
      <c r="E249" s="10"/>
    </row>
    <row r="250" spans="5:5" ht="15.75" customHeight="1" x14ac:dyDescent="0.25">
      <c r="E250" s="10"/>
    </row>
    <row r="251" spans="5:5" ht="15.75" customHeight="1" x14ac:dyDescent="0.25">
      <c r="E251" s="10"/>
    </row>
    <row r="252" spans="5:5" ht="15.75" customHeight="1" x14ac:dyDescent="0.25">
      <c r="E252" s="10"/>
    </row>
    <row r="253" spans="5:5" ht="15.75" customHeight="1" x14ac:dyDescent="0.25">
      <c r="E253" s="10"/>
    </row>
    <row r="254" spans="5:5" ht="15.75" customHeight="1" x14ac:dyDescent="0.25">
      <c r="E254" s="10"/>
    </row>
    <row r="255" spans="5:5" ht="15.75" customHeight="1" x14ac:dyDescent="0.25">
      <c r="E255" s="10"/>
    </row>
    <row r="256" spans="5:5" ht="15.75" customHeight="1" x14ac:dyDescent="0.25">
      <c r="E256" s="10"/>
    </row>
    <row r="257" spans="5:5" ht="15.75" customHeight="1" x14ac:dyDescent="0.25">
      <c r="E257" s="10"/>
    </row>
    <row r="258" spans="5:5" ht="15.75" customHeight="1" x14ac:dyDescent="0.25">
      <c r="E258" s="10"/>
    </row>
    <row r="259" spans="5:5" ht="15.75" customHeight="1" x14ac:dyDescent="0.25">
      <c r="E259" s="10"/>
    </row>
    <row r="260" spans="5:5" ht="15.75" customHeight="1" x14ac:dyDescent="0.25">
      <c r="E260" s="10"/>
    </row>
    <row r="261" spans="5:5" ht="15.75" customHeight="1" x14ac:dyDescent="0.25">
      <c r="E261" s="10"/>
    </row>
    <row r="262" spans="5:5" ht="15.75" customHeight="1" x14ac:dyDescent="0.25">
      <c r="E262" s="10"/>
    </row>
    <row r="263" spans="5:5" ht="15.75" customHeight="1" x14ac:dyDescent="0.25">
      <c r="E263" s="10"/>
    </row>
    <row r="264" spans="5:5" ht="15.75" customHeight="1" x14ac:dyDescent="0.25">
      <c r="E264" s="10"/>
    </row>
    <row r="265" spans="5:5" ht="15.75" customHeight="1" x14ac:dyDescent="0.25">
      <c r="E265" s="10"/>
    </row>
    <row r="266" spans="5:5" ht="15.75" customHeight="1" x14ac:dyDescent="0.25">
      <c r="E266" s="10"/>
    </row>
    <row r="267" spans="5:5" ht="15.75" customHeight="1" x14ac:dyDescent="0.25">
      <c r="E267" s="10"/>
    </row>
    <row r="268" spans="5:5" ht="15.75" customHeight="1" x14ac:dyDescent="0.25">
      <c r="E268" s="10"/>
    </row>
    <row r="269" spans="5:5" ht="15.75" customHeight="1" x14ac:dyDescent="0.25">
      <c r="E269" s="10"/>
    </row>
    <row r="270" spans="5:5" ht="15.75" customHeight="1" x14ac:dyDescent="0.25">
      <c r="E270" s="10"/>
    </row>
    <row r="271" spans="5:5" ht="15.75" customHeight="1" x14ac:dyDescent="0.25">
      <c r="E271" s="10"/>
    </row>
    <row r="272" spans="5:5" ht="15.75" customHeight="1" x14ac:dyDescent="0.25">
      <c r="E272" s="10"/>
    </row>
    <row r="273" spans="5:5" ht="15.75" customHeight="1" x14ac:dyDescent="0.25">
      <c r="E273" s="10"/>
    </row>
    <row r="274" spans="5:5" ht="15.75" customHeight="1" x14ac:dyDescent="0.25">
      <c r="E274" s="10"/>
    </row>
    <row r="275" spans="5:5" ht="15.75" customHeight="1" x14ac:dyDescent="0.25">
      <c r="E275" s="10"/>
    </row>
    <row r="276" spans="5:5" ht="15.75" customHeight="1" x14ac:dyDescent="0.25">
      <c r="E276" s="10"/>
    </row>
    <row r="277" spans="5:5" ht="15.75" customHeight="1" x14ac:dyDescent="0.25">
      <c r="E277" s="10"/>
    </row>
    <row r="278" spans="5:5" ht="15.75" customHeight="1" x14ac:dyDescent="0.25">
      <c r="E278" s="10"/>
    </row>
    <row r="279" spans="5:5" ht="15.75" customHeight="1" x14ac:dyDescent="0.25">
      <c r="E279" s="10"/>
    </row>
    <row r="280" spans="5:5" ht="15.75" customHeight="1" x14ac:dyDescent="0.25">
      <c r="E280" s="10"/>
    </row>
    <row r="281" spans="5:5" ht="15.75" customHeight="1" x14ac:dyDescent="0.25">
      <c r="E281" s="10"/>
    </row>
    <row r="282" spans="5:5" ht="15.75" customHeight="1" x14ac:dyDescent="0.25">
      <c r="E282" s="10"/>
    </row>
    <row r="283" spans="5:5" ht="15.75" customHeight="1" x14ac:dyDescent="0.25">
      <c r="E283" s="10"/>
    </row>
    <row r="284" spans="5:5" ht="15.75" customHeight="1" x14ac:dyDescent="0.25">
      <c r="E284" s="10"/>
    </row>
    <row r="285" spans="5:5" ht="15.75" customHeight="1" x14ac:dyDescent="0.25">
      <c r="E285" s="10"/>
    </row>
    <row r="286" spans="5:5" ht="15.75" customHeight="1" x14ac:dyDescent="0.25">
      <c r="E286" s="10"/>
    </row>
    <row r="287" spans="5:5" ht="15.75" customHeight="1" x14ac:dyDescent="0.25">
      <c r="E287" s="10"/>
    </row>
    <row r="288" spans="5:5" ht="15.75" customHeight="1" x14ac:dyDescent="0.25">
      <c r="E288" s="10"/>
    </row>
    <row r="289" spans="5:5" ht="15.75" customHeight="1" x14ac:dyDescent="0.25">
      <c r="E289" s="10"/>
    </row>
    <row r="290" spans="5:5" ht="15.75" customHeight="1" x14ac:dyDescent="0.25">
      <c r="E290" s="10"/>
    </row>
    <row r="291" spans="5:5" ht="15.75" customHeight="1" x14ac:dyDescent="0.25">
      <c r="E291" s="10"/>
    </row>
    <row r="292" spans="5:5" ht="15.75" customHeight="1" x14ac:dyDescent="0.25">
      <c r="E292" s="10"/>
    </row>
    <row r="293" spans="5:5" ht="15.75" customHeight="1" x14ac:dyDescent="0.25">
      <c r="E293" s="10"/>
    </row>
    <row r="294" spans="5:5" ht="15.75" customHeight="1" x14ac:dyDescent="0.25">
      <c r="E294" s="10"/>
    </row>
    <row r="295" spans="5:5" ht="15.75" customHeight="1" x14ac:dyDescent="0.25">
      <c r="E295" s="10"/>
    </row>
    <row r="296" spans="5:5" ht="15.75" customHeight="1" x14ac:dyDescent="0.25">
      <c r="E296" s="10"/>
    </row>
    <row r="297" spans="5:5" ht="15.75" customHeight="1" x14ac:dyDescent="0.25">
      <c r="E297" s="10"/>
    </row>
    <row r="298" spans="5:5" ht="15.75" customHeight="1" x14ac:dyDescent="0.25">
      <c r="E298" s="10"/>
    </row>
    <row r="299" spans="5:5" ht="15.75" customHeight="1" x14ac:dyDescent="0.25">
      <c r="E299" s="10"/>
    </row>
    <row r="300" spans="5:5" ht="15.75" customHeight="1" x14ac:dyDescent="0.25">
      <c r="E300" s="10"/>
    </row>
    <row r="301" spans="5:5" ht="15.75" customHeight="1" x14ac:dyDescent="0.25">
      <c r="E301" s="10"/>
    </row>
    <row r="302" spans="5:5" ht="15.75" customHeight="1" x14ac:dyDescent="0.25">
      <c r="E302" s="10"/>
    </row>
    <row r="303" spans="5:5" ht="15.75" customHeight="1" x14ac:dyDescent="0.25">
      <c r="E303" s="10"/>
    </row>
    <row r="304" spans="5:5" ht="15.75" customHeight="1" x14ac:dyDescent="0.25">
      <c r="E304" s="10"/>
    </row>
    <row r="305" spans="5:5" ht="15.75" customHeight="1" x14ac:dyDescent="0.25">
      <c r="E305" s="10"/>
    </row>
    <row r="306" spans="5:5" ht="15.75" customHeight="1" x14ac:dyDescent="0.25">
      <c r="E306" s="10"/>
    </row>
    <row r="307" spans="5:5" ht="15.75" customHeight="1" x14ac:dyDescent="0.25">
      <c r="E307" s="10"/>
    </row>
    <row r="308" spans="5:5" ht="15.75" customHeight="1" x14ac:dyDescent="0.25">
      <c r="E308" s="10"/>
    </row>
    <row r="309" spans="5:5" ht="15.75" customHeight="1" x14ac:dyDescent="0.25">
      <c r="E309" s="10"/>
    </row>
    <row r="310" spans="5:5" ht="15.75" customHeight="1" x14ac:dyDescent="0.25">
      <c r="E310" s="10"/>
    </row>
    <row r="311" spans="5:5" ht="15.75" customHeight="1" x14ac:dyDescent="0.25">
      <c r="E311" s="10"/>
    </row>
    <row r="312" spans="5:5" ht="15.75" customHeight="1" x14ac:dyDescent="0.25"/>
    <row r="313" spans="5:5" ht="15.75" customHeight="1" x14ac:dyDescent="0.25"/>
    <row r="314" spans="5:5" ht="15.75" customHeight="1" x14ac:dyDescent="0.25"/>
    <row r="315" spans="5:5" ht="15.75" customHeight="1" x14ac:dyDescent="0.25"/>
    <row r="316" spans="5:5" ht="15.75" customHeight="1" x14ac:dyDescent="0.25"/>
    <row r="317" spans="5:5" ht="15.75" customHeight="1" x14ac:dyDescent="0.25"/>
    <row r="318" spans="5:5" ht="15.75" customHeight="1" x14ac:dyDescent="0.25"/>
    <row r="319" spans="5:5" ht="15.75" customHeight="1" x14ac:dyDescent="0.25"/>
    <row r="320" spans="5:5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A110:B110"/>
    <mergeCell ref="D9:D13"/>
    <mergeCell ref="E9:E12"/>
    <mergeCell ref="E97:E98"/>
    <mergeCell ref="A103:D103"/>
    <mergeCell ref="A104:A106"/>
    <mergeCell ref="C104:D104"/>
    <mergeCell ref="E104:E106"/>
    <mergeCell ref="B9:B13"/>
    <mergeCell ref="C9:C13"/>
    <mergeCell ref="C105:D105"/>
    <mergeCell ref="C106:D106"/>
    <mergeCell ref="A109:B109"/>
    <mergeCell ref="B1:F1"/>
    <mergeCell ref="D4:E4"/>
    <mergeCell ref="D5:E5"/>
    <mergeCell ref="D6:E6"/>
    <mergeCell ref="D7:E7"/>
  </mergeCell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1000"/>
  <sheetViews>
    <sheetView workbookViewId="0">
      <selection activeCell="D60" sqref="D60"/>
    </sheetView>
  </sheetViews>
  <sheetFormatPr defaultColWidth="14.42578125" defaultRowHeight="15" customHeight="1" x14ac:dyDescent="0.25"/>
  <cols>
    <col min="1" max="1" width="8.7109375" customWidth="1"/>
    <col min="2" max="2" width="10.42578125" customWidth="1"/>
    <col min="3" max="3" width="16" customWidth="1"/>
    <col min="4" max="4" width="43.140625" customWidth="1"/>
    <col min="5" max="5" width="15.5703125" customWidth="1"/>
    <col min="6" max="6" width="21.28515625" customWidth="1"/>
    <col min="7" max="7" width="14.7109375" customWidth="1"/>
    <col min="8" max="8" width="8.7109375" customWidth="1"/>
  </cols>
  <sheetData>
    <row r="1" spans="2:8" ht="20.25" x14ac:dyDescent="0.25">
      <c r="D1" s="76" t="s">
        <v>153</v>
      </c>
      <c r="E1" s="76"/>
      <c r="F1" s="76"/>
      <c r="G1" s="76"/>
      <c r="H1" s="6"/>
    </row>
    <row r="2" spans="2:8" ht="20.25" x14ac:dyDescent="0.25">
      <c r="B2" s="6"/>
      <c r="C2" s="6"/>
      <c r="E2" s="53" t="s">
        <v>154</v>
      </c>
      <c r="F2" s="6"/>
      <c r="G2" s="6"/>
    </row>
    <row r="3" spans="2:8" ht="20.25" x14ac:dyDescent="0.25">
      <c r="B3" s="6"/>
      <c r="C3" s="6"/>
      <c r="D3" s="53"/>
      <c r="E3" s="10"/>
      <c r="F3" s="6"/>
      <c r="G3" s="6"/>
    </row>
    <row r="4" spans="2:8" x14ac:dyDescent="0.25">
      <c r="B4" s="6"/>
      <c r="C4" s="5" t="s">
        <v>1</v>
      </c>
      <c r="D4" s="238" t="str">
        <f>'CO_Attainment for Unit Tests'!C3</f>
        <v>SEMINAR AND PROJECT INITIATION COURSE</v>
      </c>
      <c r="E4" s="185"/>
      <c r="F4" s="6"/>
      <c r="G4" s="6"/>
      <c r="H4" s="6"/>
    </row>
    <row r="5" spans="2:8" x14ac:dyDescent="0.25">
      <c r="B5" s="6"/>
      <c r="C5" s="5" t="s">
        <v>3</v>
      </c>
      <c r="D5" s="238">
        <f>'CO_Attainment for Unit Tests'!C4</f>
        <v>315003</v>
      </c>
      <c r="E5" s="185"/>
      <c r="F5" s="6"/>
      <c r="G5" s="6"/>
      <c r="H5" s="6"/>
    </row>
    <row r="6" spans="2:8" x14ac:dyDescent="0.25">
      <c r="B6" s="6"/>
      <c r="C6" s="5" t="s">
        <v>53</v>
      </c>
      <c r="D6" s="238" t="str">
        <f>'CO_Attainment for Unit Tests'!C5</f>
        <v>5th Sem Co5K K-Scheme</v>
      </c>
      <c r="E6" s="185"/>
      <c r="F6" s="6"/>
      <c r="G6" s="6"/>
      <c r="H6" s="6"/>
    </row>
    <row r="7" spans="2:8" x14ac:dyDescent="0.25">
      <c r="B7" s="6"/>
      <c r="C7" s="5" t="s">
        <v>155</v>
      </c>
      <c r="D7" s="238" t="str">
        <f>'CO_Attainment for Unit Tests'!C6</f>
        <v>2025-26</v>
      </c>
      <c r="E7" s="185"/>
      <c r="F7" s="6"/>
      <c r="G7" s="6"/>
      <c r="H7" s="6"/>
    </row>
    <row r="9" spans="2:8" ht="15.75" customHeight="1" x14ac:dyDescent="0.25">
      <c r="B9" s="254" t="s">
        <v>21</v>
      </c>
      <c r="C9" s="255" t="s">
        <v>55</v>
      </c>
      <c r="D9" s="266" t="s">
        <v>56</v>
      </c>
      <c r="E9" s="255" t="s">
        <v>156</v>
      </c>
      <c r="F9" s="255" t="s">
        <v>157</v>
      </c>
      <c r="G9" s="255" t="s">
        <v>158</v>
      </c>
    </row>
    <row r="10" spans="2:8" ht="15.75" customHeight="1" x14ac:dyDescent="0.25">
      <c r="B10" s="213"/>
      <c r="C10" s="213"/>
      <c r="D10" s="213"/>
      <c r="E10" s="213"/>
      <c r="F10" s="213"/>
      <c r="G10" s="213"/>
    </row>
    <row r="11" spans="2:8" ht="15.75" customHeight="1" x14ac:dyDescent="0.25">
      <c r="B11" s="213"/>
      <c r="C11" s="213"/>
      <c r="D11" s="213"/>
      <c r="E11" s="213"/>
      <c r="F11" s="213"/>
      <c r="G11" s="213"/>
    </row>
    <row r="12" spans="2:8" ht="54.75" customHeight="1" x14ac:dyDescent="0.25">
      <c r="B12" s="213"/>
      <c r="C12" s="213"/>
      <c r="D12" s="213"/>
      <c r="E12" s="214"/>
      <c r="F12" s="214"/>
      <c r="G12" s="214"/>
    </row>
    <row r="13" spans="2:8" ht="20.25" customHeight="1" x14ac:dyDescent="0.25">
      <c r="B13" s="214"/>
      <c r="C13" s="214"/>
      <c r="D13" s="214"/>
      <c r="E13" s="32">
        <v>25</v>
      </c>
      <c r="F13" s="32">
        <v>25</v>
      </c>
      <c r="G13" s="32">
        <v>25</v>
      </c>
    </row>
    <row r="14" spans="2:8" x14ac:dyDescent="0.25">
      <c r="B14" s="55">
        <v>1</v>
      </c>
      <c r="C14" s="55">
        <f>'CO_Attainment for Unit Tests'!B13</f>
        <v>2201180008</v>
      </c>
      <c r="D14" s="77" t="str">
        <f>'CO_Attainment for Unit Tests'!C13</f>
        <v>DHANSHETTI PRIYA SANJAY</v>
      </c>
      <c r="E14" s="78">
        <v>20</v>
      </c>
      <c r="F14" s="78">
        <v>20</v>
      </c>
      <c r="G14" s="78">
        <v>20</v>
      </c>
    </row>
    <row r="15" spans="2:8" x14ac:dyDescent="0.25">
      <c r="B15" s="55">
        <v>2</v>
      </c>
      <c r="C15" s="55">
        <f>'CO_Attainment for Unit Tests'!B14</f>
        <v>23510250191</v>
      </c>
      <c r="D15" s="77" t="str">
        <f>'CO_Attainment for Unit Tests'!C14</f>
        <v>ADSUL SHASHWATI NITIN</v>
      </c>
      <c r="E15" s="79">
        <v>24</v>
      </c>
      <c r="F15" s="78">
        <v>24</v>
      </c>
      <c r="G15" s="79">
        <v>23</v>
      </c>
    </row>
    <row r="16" spans="2:8" x14ac:dyDescent="0.25">
      <c r="B16" s="55">
        <v>3</v>
      </c>
      <c r="C16" s="55">
        <f>'CO_Attainment for Unit Tests'!B15</f>
        <v>23510250192</v>
      </c>
      <c r="D16" s="77" t="str">
        <f>'CO_Attainment for Unit Tests'!C15</f>
        <v>AVISHKAR BABRUWAN BHISE</v>
      </c>
      <c r="E16" s="78">
        <v>23</v>
      </c>
      <c r="F16" s="78">
        <v>23</v>
      </c>
      <c r="G16" s="78">
        <v>23</v>
      </c>
    </row>
    <row r="17" spans="2:7" x14ac:dyDescent="0.25">
      <c r="B17" s="55">
        <v>4</v>
      </c>
      <c r="C17" s="55">
        <f>'CO_Attainment for Unit Tests'!B16</f>
        <v>23510250193</v>
      </c>
      <c r="D17" s="77" t="str">
        <f>'CO_Attainment for Unit Tests'!C16</f>
        <v>AWAD MAHESHWARI BHAU</v>
      </c>
      <c r="E17" s="78">
        <v>24</v>
      </c>
      <c r="F17" s="78">
        <v>23</v>
      </c>
      <c r="G17" s="78">
        <v>22</v>
      </c>
    </row>
    <row r="18" spans="2:7" x14ac:dyDescent="0.25">
      <c r="B18" s="55">
        <v>5</v>
      </c>
      <c r="C18" s="55">
        <f>'CO_Attainment for Unit Tests'!B17</f>
        <v>23510250194</v>
      </c>
      <c r="D18" s="77" t="str">
        <f>'CO_Attainment for Unit Tests'!C17</f>
        <v>BADVE SHARVANI DNYANESHWAR</v>
      </c>
      <c r="E18" s="78">
        <v>24</v>
      </c>
      <c r="F18" s="78">
        <v>24</v>
      </c>
      <c r="G18" s="78">
        <v>24</v>
      </c>
    </row>
    <row r="19" spans="2:7" x14ac:dyDescent="0.25">
      <c r="B19" s="55">
        <v>6</v>
      </c>
      <c r="C19" s="55">
        <f>'CO_Attainment for Unit Tests'!B18</f>
        <v>23510250195</v>
      </c>
      <c r="D19" s="77" t="str">
        <f>'CO_Attainment for Unit Tests'!C18</f>
        <v>BAGADE MANASI MUKUND</v>
      </c>
      <c r="E19" s="78">
        <v>24</v>
      </c>
      <c r="F19" s="78">
        <v>24</v>
      </c>
      <c r="G19" s="78">
        <v>24</v>
      </c>
    </row>
    <row r="20" spans="2:7" x14ac:dyDescent="0.25">
      <c r="B20" s="55">
        <v>7</v>
      </c>
      <c r="C20" s="55">
        <f>'CO_Attainment for Unit Tests'!B19</f>
        <v>23510250196</v>
      </c>
      <c r="D20" s="77" t="str">
        <f>'CO_Attainment for Unit Tests'!C19</f>
        <v>BARDE ARCHANA HANUMANT</v>
      </c>
      <c r="E20" s="78">
        <v>23</v>
      </c>
      <c r="F20" s="78">
        <v>24</v>
      </c>
      <c r="G20" s="78">
        <v>22</v>
      </c>
    </row>
    <row r="21" spans="2:7" ht="15.75" customHeight="1" x14ac:dyDescent="0.25">
      <c r="B21" s="55">
        <v>8</v>
      </c>
      <c r="C21" s="55">
        <f>'CO_Attainment for Unit Tests'!B20</f>
        <v>23510250197</v>
      </c>
      <c r="D21" s="77" t="str">
        <f>'CO_Attainment for Unit Tests'!C20</f>
        <v>BARMADE SHRADDHA SUDHAKAR</v>
      </c>
      <c r="E21" s="78">
        <v>24</v>
      </c>
      <c r="F21" s="78">
        <v>24</v>
      </c>
      <c r="G21" s="78">
        <v>24</v>
      </c>
    </row>
    <row r="22" spans="2:7" ht="15.75" customHeight="1" x14ac:dyDescent="0.25">
      <c r="B22" s="55">
        <v>9</v>
      </c>
      <c r="C22" s="55">
        <f>'CO_Attainment for Unit Tests'!B21</f>
        <v>23510250198</v>
      </c>
      <c r="D22" s="77" t="str">
        <f>'CO_Attainment for Unit Tests'!C21</f>
        <v>BEDKE ANKITA SHRIRAM</v>
      </c>
      <c r="E22" s="78">
        <v>23</v>
      </c>
      <c r="F22" s="78">
        <v>23</v>
      </c>
      <c r="G22" s="78">
        <v>23</v>
      </c>
    </row>
    <row r="23" spans="2:7" ht="15.75" customHeight="1" x14ac:dyDescent="0.25">
      <c r="B23" s="55">
        <v>10</v>
      </c>
      <c r="C23" s="55">
        <f>'CO_Attainment for Unit Tests'!B22</f>
        <v>23510250199</v>
      </c>
      <c r="D23" s="77" t="str">
        <f>'CO_Attainment for Unit Tests'!C22</f>
        <v>BHAD SHRAVANI UMAKANT</v>
      </c>
      <c r="E23" s="78">
        <v>23</v>
      </c>
      <c r="F23" s="78">
        <v>23</v>
      </c>
      <c r="G23" s="78">
        <v>23</v>
      </c>
    </row>
    <row r="24" spans="2:7" ht="15.75" customHeight="1" x14ac:dyDescent="0.25">
      <c r="B24" s="55">
        <v>11</v>
      </c>
      <c r="C24" s="55">
        <f>'CO_Attainment for Unit Tests'!B23</f>
        <v>23510250200</v>
      </c>
      <c r="D24" s="77" t="str">
        <f>'CO_Attainment for Unit Tests'!C23</f>
        <v>BHORE NIKITA SHANKAR</v>
      </c>
      <c r="E24" s="78">
        <v>24</v>
      </c>
      <c r="F24" s="78">
        <v>23</v>
      </c>
      <c r="G24" s="78">
        <v>23</v>
      </c>
    </row>
    <row r="25" spans="2:7" ht="15.75" customHeight="1" x14ac:dyDescent="0.25">
      <c r="B25" s="55">
        <v>12</v>
      </c>
      <c r="C25" s="55">
        <f>'CO_Attainment for Unit Tests'!B24</f>
        <v>23510250201</v>
      </c>
      <c r="D25" s="77" t="str">
        <f>'CO_Attainment for Unit Tests'!C24</f>
        <v>BHOSALE PRADNYA HARIDAS</v>
      </c>
      <c r="E25" s="78">
        <v>23</v>
      </c>
      <c r="F25" s="78">
        <v>23</v>
      </c>
      <c r="G25" s="78">
        <v>22</v>
      </c>
    </row>
    <row r="26" spans="2:7" ht="15.75" customHeight="1" x14ac:dyDescent="0.25">
      <c r="B26" s="55">
        <v>13</v>
      </c>
      <c r="C26" s="55">
        <f>'CO_Attainment for Unit Tests'!B25</f>
        <v>23510250202</v>
      </c>
      <c r="D26" s="77" t="str">
        <f>'CO_Attainment for Unit Tests'!C25</f>
        <v>BHOSALE TEJAS GAJANAN</v>
      </c>
      <c r="E26" s="78">
        <v>22</v>
      </c>
      <c r="F26" s="78">
        <v>22</v>
      </c>
      <c r="G26" s="78">
        <v>21</v>
      </c>
    </row>
    <row r="27" spans="2:7" ht="15.75" customHeight="1" x14ac:dyDescent="0.25">
      <c r="B27" s="55">
        <v>14</v>
      </c>
      <c r="C27" s="55">
        <f>'CO_Attainment for Unit Tests'!B26</f>
        <v>23510250203</v>
      </c>
      <c r="D27" s="77" t="str">
        <f>'CO_Attainment for Unit Tests'!C26</f>
        <v>BIRAJDAR PRASHANT PADMAKAR</v>
      </c>
      <c r="E27" s="78">
        <v>24</v>
      </c>
      <c r="F27" s="78">
        <v>24</v>
      </c>
      <c r="G27" s="78">
        <v>24</v>
      </c>
    </row>
    <row r="28" spans="2:7" ht="15.75" customHeight="1" x14ac:dyDescent="0.25">
      <c r="B28" s="55">
        <v>15</v>
      </c>
      <c r="C28" s="55">
        <f>'CO_Attainment for Unit Tests'!B27</f>
        <v>23510250204</v>
      </c>
      <c r="D28" s="77" t="str">
        <f>'CO_Attainment for Unit Tests'!C27</f>
        <v>CHANDANE SHRAVANI PRASHANT</v>
      </c>
      <c r="E28" s="78">
        <v>22</v>
      </c>
      <c r="F28" s="78">
        <v>22</v>
      </c>
      <c r="G28" s="78">
        <v>21</v>
      </c>
    </row>
    <row r="29" spans="2:7" ht="15.75" customHeight="1" x14ac:dyDescent="0.25">
      <c r="B29" s="55">
        <v>16</v>
      </c>
      <c r="C29" s="55">
        <f>'CO_Attainment for Unit Tests'!B28</f>
        <v>23510250205</v>
      </c>
      <c r="D29" s="77" t="str">
        <f>'CO_Attainment for Unit Tests'!C28</f>
        <v>CHAVAN NIKITA NARAYAN</v>
      </c>
      <c r="E29" s="78">
        <v>24</v>
      </c>
      <c r="F29" s="78">
        <v>24</v>
      </c>
      <c r="G29" s="78">
        <v>24</v>
      </c>
    </row>
    <row r="30" spans="2:7" ht="15.75" customHeight="1" x14ac:dyDescent="0.25">
      <c r="B30" s="55">
        <v>17</v>
      </c>
      <c r="C30" s="55">
        <f>'CO_Attainment for Unit Tests'!B29</f>
        <v>23510250207</v>
      </c>
      <c r="D30" s="77" t="str">
        <f>'CO_Attainment for Unit Tests'!C29</f>
        <v>DANE SUSHANT VITTHAL</v>
      </c>
      <c r="E30" s="78">
        <v>22</v>
      </c>
      <c r="F30" s="78">
        <v>22</v>
      </c>
      <c r="G30" s="78">
        <v>21</v>
      </c>
    </row>
    <row r="31" spans="2:7" ht="15.75" customHeight="1" x14ac:dyDescent="0.25">
      <c r="B31" s="55">
        <v>18</v>
      </c>
      <c r="C31" s="55">
        <f>'CO_Attainment for Unit Tests'!B30</f>
        <v>23510250208</v>
      </c>
      <c r="D31" s="77" t="str">
        <f>'CO_Attainment for Unit Tests'!C30</f>
        <v>DEMGUNDE RAVIKIRAN DHONDIRAM</v>
      </c>
      <c r="E31" s="78">
        <v>24</v>
      </c>
      <c r="F31" s="78">
        <v>24</v>
      </c>
      <c r="G31" s="78">
        <v>24</v>
      </c>
    </row>
    <row r="32" spans="2:7" ht="15.75" customHeight="1" x14ac:dyDescent="0.25">
      <c r="B32" s="55">
        <v>19</v>
      </c>
      <c r="C32" s="55">
        <f>'CO_Attainment for Unit Tests'!B31</f>
        <v>23510250209</v>
      </c>
      <c r="D32" s="77" t="str">
        <f>'CO_Attainment for Unit Tests'!C31</f>
        <v>DHAGE ANUPAMA NAGESH</v>
      </c>
      <c r="E32" s="78">
        <v>24</v>
      </c>
      <c r="F32" s="78">
        <v>24</v>
      </c>
      <c r="G32" s="78">
        <v>24</v>
      </c>
    </row>
    <row r="33" spans="2:7" ht="15.75" customHeight="1" x14ac:dyDescent="0.25">
      <c r="B33" s="55">
        <v>20</v>
      </c>
      <c r="C33" s="55">
        <f>'CO_Attainment for Unit Tests'!B32</f>
        <v>23510250210</v>
      </c>
      <c r="D33" s="77" t="str">
        <f>'CO_Attainment for Unit Tests'!C32</f>
        <v>FULMALI SARTHAK SANTOSH</v>
      </c>
      <c r="E33" s="78">
        <v>23</v>
      </c>
      <c r="F33" s="78">
        <v>23</v>
      </c>
      <c r="G33" s="78">
        <v>21</v>
      </c>
    </row>
    <row r="34" spans="2:7" ht="15.75" customHeight="1" x14ac:dyDescent="0.25">
      <c r="B34" s="55">
        <v>21</v>
      </c>
      <c r="C34" s="55">
        <f>'CO_Attainment for Unit Tests'!B33</f>
        <v>23510250212</v>
      </c>
      <c r="D34" s="77" t="str">
        <f>'CO_Attainment for Unit Tests'!C33</f>
        <v>GAVALI MONIKA DNYANDEO</v>
      </c>
      <c r="E34" s="78">
        <v>23</v>
      </c>
      <c r="F34" s="78">
        <v>23</v>
      </c>
      <c r="G34" s="78">
        <v>23</v>
      </c>
    </row>
    <row r="35" spans="2:7" ht="15.75" customHeight="1" x14ac:dyDescent="0.25">
      <c r="B35" s="55">
        <v>22</v>
      </c>
      <c r="C35" s="55">
        <f>'CO_Attainment for Unit Tests'!B34</f>
        <v>23510250215</v>
      </c>
      <c r="D35" s="77" t="str">
        <f>'CO_Attainment for Unit Tests'!C34</f>
        <v>ISAKE PRATIKSHA MAHESH</v>
      </c>
      <c r="E35" s="78">
        <v>22</v>
      </c>
      <c r="F35" s="78">
        <v>22</v>
      </c>
      <c r="G35" s="78">
        <v>20</v>
      </c>
    </row>
    <row r="36" spans="2:7" ht="15.75" customHeight="1" x14ac:dyDescent="0.25">
      <c r="B36" s="55">
        <v>23</v>
      </c>
      <c r="C36" s="55">
        <f>'CO_Attainment for Unit Tests'!B35</f>
        <v>23510250216</v>
      </c>
      <c r="D36" s="77" t="str">
        <f>'CO_Attainment for Unit Tests'!C35</f>
        <v>JAGTAP SHREYA SHRIRANG</v>
      </c>
      <c r="E36" s="78">
        <v>23</v>
      </c>
      <c r="F36" s="78">
        <v>24</v>
      </c>
      <c r="G36" s="78">
        <v>23</v>
      </c>
    </row>
    <row r="37" spans="2:7" ht="15.75" customHeight="1" x14ac:dyDescent="0.25">
      <c r="B37" s="55">
        <v>24</v>
      </c>
      <c r="C37" s="55">
        <f>'CO_Attainment for Unit Tests'!B36</f>
        <v>23510250217</v>
      </c>
      <c r="D37" s="77" t="str">
        <f>'CO_Attainment for Unit Tests'!C36</f>
        <v>JOSHI TANUJA GUNDERAO</v>
      </c>
      <c r="E37" s="78">
        <v>25</v>
      </c>
      <c r="F37" s="78">
        <v>25</v>
      </c>
      <c r="G37" s="78">
        <v>24</v>
      </c>
    </row>
    <row r="38" spans="2:7" ht="15.75" customHeight="1" x14ac:dyDescent="0.25">
      <c r="B38" s="55">
        <v>25</v>
      </c>
      <c r="C38" s="55">
        <f>'CO_Attainment for Unit Tests'!B37</f>
        <v>23510250218</v>
      </c>
      <c r="D38" s="77" t="str">
        <f>'CO_Attainment for Unit Tests'!C37</f>
        <v>KALE PRACHI KISHOR</v>
      </c>
      <c r="E38" s="78">
        <v>23</v>
      </c>
      <c r="F38" s="78">
        <v>23</v>
      </c>
      <c r="G38" s="78">
        <v>22</v>
      </c>
    </row>
    <row r="39" spans="2:7" ht="15.75" customHeight="1" x14ac:dyDescent="0.25">
      <c r="B39" s="55">
        <v>26</v>
      </c>
      <c r="C39" s="55">
        <f>'CO_Attainment for Unit Tests'!B38</f>
        <v>23510250219</v>
      </c>
      <c r="D39" s="77" t="str">
        <f>'CO_Attainment for Unit Tests'!C38</f>
        <v>KALE VAISHNAVI DHANRAJ</v>
      </c>
      <c r="E39" s="78">
        <v>24</v>
      </c>
      <c r="F39" s="78">
        <v>24</v>
      </c>
      <c r="G39" s="78">
        <v>23</v>
      </c>
    </row>
    <row r="40" spans="2:7" ht="15.75" customHeight="1" x14ac:dyDescent="0.25">
      <c r="B40" s="55">
        <v>27</v>
      </c>
      <c r="C40" s="55">
        <f>'CO_Attainment for Unit Tests'!B39</f>
        <v>23510250221</v>
      </c>
      <c r="D40" s="77" t="str">
        <f>'CO_Attainment for Unit Tests'!C39</f>
        <v>KAMBLE SONAM VILAS</v>
      </c>
      <c r="E40" s="78">
        <v>23</v>
      </c>
      <c r="F40" s="78">
        <v>23</v>
      </c>
      <c r="G40" s="78">
        <v>23</v>
      </c>
    </row>
    <row r="41" spans="2:7" ht="15.75" customHeight="1" x14ac:dyDescent="0.25">
      <c r="B41" s="55">
        <v>28</v>
      </c>
      <c r="C41" s="55">
        <f>'CO_Attainment for Unit Tests'!B40</f>
        <v>23510250222</v>
      </c>
      <c r="D41" s="77" t="str">
        <f>'CO_Attainment for Unit Tests'!C40</f>
        <v>KENDRE MAYURI TUKARAM</v>
      </c>
      <c r="E41" s="78">
        <v>25</v>
      </c>
      <c r="F41" s="78">
        <v>25</v>
      </c>
      <c r="G41" s="78">
        <v>25</v>
      </c>
    </row>
    <row r="42" spans="2:7" ht="15.75" customHeight="1" x14ac:dyDescent="0.25">
      <c r="B42" s="55">
        <v>29</v>
      </c>
      <c r="C42" s="55">
        <f>'CO_Attainment for Unit Tests'!B41</f>
        <v>23510250223</v>
      </c>
      <c r="D42" s="77" t="str">
        <f>'CO_Attainment for Unit Tests'!C41</f>
        <v>KHANDAGALE SUHANI VIKRAM</v>
      </c>
      <c r="E42" s="78">
        <v>23</v>
      </c>
      <c r="F42" s="78">
        <v>23</v>
      </c>
      <c r="G42" s="78">
        <v>22</v>
      </c>
    </row>
    <row r="43" spans="2:7" ht="15.75" customHeight="1" x14ac:dyDescent="0.25">
      <c r="B43" s="55">
        <v>30</v>
      </c>
      <c r="C43" s="55">
        <f>'CO_Attainment for Unit Tests'!B42</f>
        <v>23510250224</v>
      </c>
      <c r="D43" s="77" t="str">
        <f>'CO_Attainment for Unit Tests'!C42</f>
        <v>KHUNE PRIYANKA PRAMOD</v>
      </c>
      <c r="E43" s="78">
        <v>20</v>
      </c>
      <c r="F43" s="78">
        <v>20</v>
      </c>
      <c r="G43" s="78">
        <v>21</v>
      </c>
    </row>
    <row r="44" spans="2:7" ht="15.75" customHeight="1" x14ac:dyDescent="0.25">
      <c r="B44" s="55">
        <v>31</v>
      </c>
      <c r="C44" s="55">
        <f>'CO_Attainment for Unit Tests'!B43</f>
        <v>23510250225</v>
      </c>
      <c r="D44" s="77" t="str">
        <f>'CO_Attainment for Unit Tests'!C43</f>
        <v>KSHIRSAGAR ISHWARI DATTATRAYA</v>
      </c>
      <c r="E44" s="78">
        <v>23</v>
      </c>
      <c r="F44" s="78">
        <v>23</v>
      </c>
      <c r="G44" s="78">
        <v>22</v>
      </c>
    </row>
    <row r="45" spans="2:7" ht="15.75" customHeight="1" x14ac:dyDescent="0.25">
      <c r="B45" s="55">
        <v>32</v>
      </c>
      <c r="C45" s="55">
        <f>'CO_Attainment for Unit Tests'!B44</f>
        <v>23510250226</v>
      </c>
      <c r="D45" s="77" t="str">
        <f>'CO_Attainment for Unit Tests'!C44</f>
        <v>LONDHE PRAMILA CHHATRAGUN</v>
      </c>
      <c r="E45" s="78">
        <v>22</v>
      </c>
      <c r="F45" s="78">
        <v>23</v>
      </c>
      <c r="G45" s="78">
        <v>21</v>
      </c>
    </row>
    <row r="46" spans="2:7" ht="15.75" customHeight="1" x14ac:dyDescent="0.25">
      <c r="B46" s="55">
        <v>33</v>
      </c>
      <c r="C46" s="55">
        <f>'CO_Attainment for Unit Tests'!B45</f>
        <v>23510250227</v>
      </c>
      <c r="D46" s="77" t="str">
        <f>'CO_Attainment for Unit Tests'!C45</f>
        <v>MALI KARAN ASHOK</v>
      </c>
      <c r="E46" s="78">
        <v>24</v>
      </c>
      <c r="F46" s="78">
        <v>24</v>
      </c>
      <c r="G46" s="78">
        <v>24</v>
      </c>
    </row>
    <row r="47" spans="2:7" ht="15.75" customHeight="1" x14ac:dyDescent="0.25">
      <c r="B47" s="55">
        <v>34</v>
      </c>
      <c r="C47" s="55">
        <f>'CO_Attainment for Unit Tests'!B46</f>
        <v>23510250228</v>
      </c>
      <c r="D47" s="77" t="str">
        <f>'CO_Attainment for Unit Tests'!C46</f>
        <v>MENDHEKAR PRITI GOROBA</v>
      </c>
      <c r="E47" s="78">
        <v>22</v>
      </c>
      <c r="F47" s="78">
        <v>23</v>
      </c>
      <c r="G47" s="78">
        <v>21</v>
      </c>
    </row>
    <row r="48" spans="2:7" ht="15.75" customHeight="1" x14ac:dyDescent="0.25">
      <c r="B48" s="55">
        <v>35</v>
      </c>
      <c r="C48" s="55">
        <f>'CO_Attainment for Unit Tests'!B47</f>
        <v>23510250233</v>
      </c>
      <c r="D48" s="77" t="str">
        <f>'CO_Attainment for Unit Tests'!C47</f>
        <v>NIMBALKAR ASMITA BHUJANG</v>
      </c>
      <c r="E48" s="78">
        <v>25</v>
      </c>
      <c r="F48" s="78">
        <v>25</v>
      </c>
      <c r="G48" s="78">
        <v>24</v>
      </c>
    </row>
    <row r="49" spans="2:7" ht="15.75" customHeight="1" x14ac:dyDescent="0.25">
      <c r="B49" s="55">
        <v>36</v>
      </c>
      <c r="C49" s="55">
        <f>'CO_Attainment for Unit Tests'!B48</f>
        <v>23510250234</v>
      </c>
      <c r="D49" s="77" t="str">
        <f>'CO_Attainment for Unit Tests'!C48</f>
        <v>PANCHAL GAYATRI DNYANESHWAR</v>
      </c>
      <c r="E49" s="78">
        <v>24</v>
      </c>
      <c r="F49" s="78">
        <v>24</v>
      </c>
      <c r="G49" s="78">
        <v>23</v>
      </c>
    </row>
    <row r="50" spans="2:7" ht="15.75" customHeight="1" x14ac:dyDescent="0.25">
      <c r="B50" s="55">
        <v>37</v>
      </c>
      <c r="C50" s="55">
        <f>'CO_Attainment for Unit Tests'!B49</f>
        <v>23510250235</v>
      </c>
      <c r="D50" s="77" t="str">
        <f>'CO_Attainment for Unit Tests'!C49</f>
        <v>PATHAN ADIBA FIRDOS AMJAD KHAN</v>
      </c>
      <c r="E50" s="78">
        <v>21</v>
      </c>
      <c r="F50" s="78">
        <v>23</v>
      </c>
      <c r="G50" s="78">
        <v>21</v>
      </c>
    </row>
    <row r="51" spans="2:7" ht="15.75" customHeight="1" x14ac:dyDescent="0.25">
      <c r="B51" s="55">
        <v>38</v>
      </c>
      <c r="C51" s="55">
        <f>'CO_Attainment for Unit Tests'!B50</f>
        <v>23510250236</v>
      </c>
      <c r="D51" s="77" t="str">
        <f>'CO_Attainment for Unit Tests'!C50</f>
        <v>PATIL AMRUTA SURESH</v>
      </c>
      <c r="E51" s="78">
        <v>23</v>
      </c>
      <c r="F51" s="78">
        <v>23</v>
      </c>
      <c r="G51" s="78">
        <v>21</v>
      </c>
    </row>
    <row r="52" spans="2:7" ht="15.75" customHeight="1" x14ac:dyDescent="0.25">
      <c r="B52" s="55">
        <v>39</v>
      </c>
      <c r="C52" s="55">
        <f>'CO_Attainment for Unit Tests'!B51</f>
        <v>23510250237</v>
      </c>
      <c r="D52" s="77" t="str">
        <f>'CO_Attainment for Unit Tests'!C51</f>
        <v>PATIL DNYANESHWARI SUBHASH</v>
      </c>
      <c r="E52" s="78">
        <v>24</v>
      </c>
      <c r="F52" s="78">
        <v>23</v>
      </c>
      <c r="G52" s="78">
        <v>23</v>
      </c>
    </row>
    <row r="53" spans="2:7" ht="15.75" customHeight="1" x14ac:dyDescent="0.25">
      <c r="B53" s="55">
        <v>40</v>
      </c>
      <c r="C53" s="55">
        <f>'CO_Attainment for Unit Tests'!B52</f>
        <v>23510250238</v>
      </c>
      <c r="D53" s="77" t="str">
        <f>'CO_Attainment for Unit Tests'!C52</f>
        <v>PAWAR ARYA RAJENDRA</v>
      </c>
      <c r="E53" s="78">
        <v>24</v>
      </c>
      <c r="F53" s="78">
        <v>24</v>
      </c>
      <c r="G53" s="78">
        <v>24</v>
      </c>
    </row>
    <row r="54" spans="2:7" ht="15.75" customHeight="1" x14ac:dyDescent="0.25">
      <c r="B54" s="55">
        <v>41</v>
      </c>
      <c r="C54" s="55">
        <f>'CO_Attainment for Unit Tests'!B53</f>
        <v>23510250239</v>
      </c>
      <c r="D54" s="77" t="str">
        <f>'CO_Attainment for Unit Tests'!C53</f>
        <v>PAWAR SARIKA PANDURANG</v>
      </c>
      <c r="E54" s="78">
        <v>24</v>
      </c>
      <c r="F54" s="78">
        <v>24</v>
      </c>
      <c r="G54" s="78">
        <v>23</v>
      </c>
    </row>
    <row r="55" spans="2:7" ht="15.75" customHeight="1" x14ac:dyDescent="0.25">
      <c r="B55" s="55">
        <v>42</v>
      </c>
      <c r="C55" s="55">
        <f>'CO_Attainment for Unit Tests'!B54</f>
        <v>23510250240</v>
      </c>
      <c r="D55" s="77" t="str">
        <f>'CO_Attainment for Unit Tests'!C54</f>
        <v>PAWAR VAIBHAVI LAXMAN</v>
      </c>
      <c r="E55" s="78">
        <v>25</v>
      </c>
      <c r="F55" s="78">
        <v>25</v>
      </c>
      <c r="G55" s="78">
        <v>24</v>
      </c>
    </row>
    <row r="56" spans="2:7" ht="15.75" customHeight="1" x14ac:dyDescent="0.25">
      <c r="B56" s="55">
        <v>43</v>
      </c>
      <c r="C56" s="55">
        <f>'CO_Attainment for Unit Tests'!B55</f>
        <v>23510250241</v>
      </c>
      <c r="D56" s="77" t="str">
        <f>'CO_Attainment for Unit Tests'!C55</f>
        <v>PICHRUTE GAYATRI AMBADAS</v>
      </c>
      <c r="E56" s="78">
        <v>24</v>
      </c>
      <c r="F56" s="78">
        <v>24</v>
      </c>
      <c r="G56" s="78">
        <v>23</v>
      </c>
    </row>
    <row r="57" spans="2:7" ht="15.75" customHeight="1" x14ac:dyDescent="0.25">
      <c r="B57" s="55">
        <v>44</v>
      </c>
      <c r="C57" s="55">
        <f>'CO_Attainment for Unit Tests'!B56</f>
        <v>23510250242</v>
      </c>
      <c r="D57" s="77" t="str">
        <f>'CO_Attainment for Unit Tests'!C56</f>
        <v>PIRJADE AFREEN UBEDULLA</v>
      </c>
      <c r="E57" s="78">
        <v>24</v>
      </c>
      <c r="F57" s="78">
        <v>24</v>
      </c>
      <c r="G57" s="78">
        <v>24</v>
      </c>
    </row>
    <row r="58" spans="2:7" ht="15.75" customHeight="1" x14ac:dyDescent="0.25">
      <c r="B58" s="55">
        <v>45</v>
      </c>
      <c r="C58" s="55">
        <f>'CO_Attainment for Unit Tests'!B57</f>
        <v>23510250244</v>
      </c>
      <c r="D58" s="77" t="str">
        <f>'CO_Attainment for Unit Tests'!C57</f>
        <v>RAJPUT BHIMSING UMRAOSING</v>
      </c>
      <c r="E58" s="78">
        <v>24</v>
      </c>
      <c r="F58" s="78">
        <v>25</v>
      </c>
      <c r="G58" s="78">
        <v>24</v>
      </c>
    </row>
    <row r="59" spans="2:7" ht="15.75" customHeight="1" x14ac:dyDescent="0.25">
      <c r="B59" s="55">
        <v>46</v>
      </c>
      <c r="C59" s="55">
        <f>'CO_Attainment for Unit Tests'!B58</f>
        <v>23510250246</v>
      </c>
      <c r="D59" s="77" t="str">
        <f>'CO_Attainment for Unit Tests'!C58</f>
        <v>SAKHARKAR SHRAVANI HARI</v>
      </c>
      <c r="E59" s="78">
        <v>24</v>
      </c>
      <c r="F59" s="78">
        <v>24</v>
      </c>
      <c r="G59" s="78">
        <v>24</v>
      </c>
    </row>
    <row r="60" spans="2:7" ht="15.75" customHeight="1" x14ac:dyDescent="0.25">
      <c r="B60" s="55">
        <v>47</v>
      </c>
      <c r="C60" s="55">
        <f>'CO_Attainment for Unit Tests'!B59</f>
        <v>23510250247</v>
      </c>
      <c r="D60" s="77" t="str">
        <f>'CO_Attainment for Unit Tests'!C59</f>
        <v>SHINDALKAR ANIKET SHESHERAO</v>
      </c>
      <c r="E60" s="78">
        <v>25</v>
      </c>
      <c r="F60" s="78">
        <v>24</v>
      </c>
      <c r="G60" s="78">
        <v>24</v>
      </c>
    </row>
    <row r="61" spans="2:7" ht="15.75" customHeight="1" x14ac:dyDescent="0.25">
      <c r="B61" s="55">
        <v>48</v>
      </c>
      <c r="C61" s="55">
        <f>'CO_Attainment for Unit Tests'!B60</f>
        <v>23510250248</v>
      </c>
      <c r="D61" s="77" t="str">
        <f>'CO_Attainment for Unit Tests'!C60</f>
        <v>SHINDE DIPIKA DATTATRAY</v>
      </c>
      <c r="E61" s="78">
        <v>23</v>
      </c>
      <c r="F61" s="78">
        <v>23</v>
      </c>
      <c r="G61" s="78">
        <v>22</v>
      </c>
    </row>
    <row r="62" spans="2:7" ht="15.75" customHeight="1" x14ac:dyDescent="0.25">
      <c r="B62" s="55">
        <v>49</v>
      </c>
      <c r="C62" s="55">
        <f>'CO_Attainment for Unit Tests'!B61</f>
        <v>23510250249</v>
      </c>
      <c r="D62" s="77" t="str">
        <f>'CO_Attainment for Unit Tests'!C61</f>
        <v>SHINDE ROHAN RAJENDRA</v>
      </c>
      <c r="E62" s="78">
        <v>23</v>
      </c>
      <c r="F62" s="78">
        <v>23</v>
      </c>
      <c r="G62" s="78">
        <v>22</v>
      </c>
    </row>
    <row r="63" spans="2:7" ht="15.75" customHeight="1" x14ac:dyDescent="0.25">
      <c r="B63" s="55">
        <v>50</v>
      </c>
      <c r="C63" s="55">
        <f>'CO_Attainment for Unit Tests'!B62</f>
        <v>23510250250</v>
      </c>
      <c r="D63" s="77" t="str">
        <f>'CO_Attainment for Unit Tests'!C62</f>
        <v>SHINDE SHIVAM SANDEEP</v>
      </c>
      <c r="E63" s="78">
        <v>23</v>
      </c>
      <c r="F63" s="78">
        <v>23</v>
      </c>
      <c r="G63" s="78">
        <v>22</v>
      </c>
    </row>
    <row r="64" spans="2:7" ht="15.75" customHeight="1" x14ac:dyDescent="0.25">
      <c r="B64" s="55">
        <v>51</v>
      </c>
      <c r="C64" s="55">
        <f>'CO_Attainment for Unit Tests'!B63</f>
        <v>23510250251</v>
      </c>
      <c r="D64" s="77" t="str">
        <f>'CO_Attainment for Unit Tests'!C63</f>
        <v>SHINDE YASHRAJ YUVRAJ</v>
      </c>
      <c r="E64" s="78">
        <v>24</v>
      </c>
      <c r="F64" s="78">
        <v>24</v>
      </c>
      <c r="G64" s="78">
        <v>24</v>
      </c>
    </row>
    <row r="65" spans="2:7" ht="15.75" customHeight="1" x14ac:dyDescent="0.25">
      <c r="B65" s="55">
        <v>52</v>
      </c>
      <c r="C65" s="55">
        <f>'CO_Attainment for Unit Tests'!B64</f>
        <v>23510250252</v>
      </c>
      <c r="D65" s="77" t="str">
        <f>'CO_Attainment for Unit Tests'!C64</f>
        <v>SIRSAT ABHISHEK SHAHAJI</v>
      </c>
      <c r="E65" s="78">
        <v>23</v>
      </c>
      <c r="F65" s="78">
        <v>23</v>
      </c>
      <c r="G65" s="78">
        <v>22</v>
      </c>
    </row>
    <row r="66" spans="2:7" ht="15.75" customHeight="1" x14ac:dyDescent="0.25">
      <c r="B66" s="55">
        <v>53</v>
      </c>
      <c r="C66" s="55">
        <f>'CO_Attainment for Unit Tests'!B65</f>
        <v>23510250254</v>
      </c>
      <c r="D66" s="77" t="str">
        <f>'CO_Attainment for Unit Tests'!C65</f>
        <v>UMBARDAND SHIVLILA BABASAHEB</v>
      </c>
      <c r="E66" s="78">
        <v>23</v>
      </c>
      <c r="F66" s="78">
        <v>23</v>
      </c>
      <c r="G66" s="78">
        <v>23</v>
      </c>
    </row>
    <row r="67" spans="2:7" ht="15.75" customHeight="1" x14ac:dyDescent="0.25">
      <c r="B67" s="55">
        <v>54</v>
      </c>
      <c r="C67" s="55">
        <f>'CO_Attainment for Unit Tests'!B66</f>
        <v>23510250255</v>
      </c>
      <c r="D67" s="77" t="str">
        <f>'CO_Attainment for Unit Tests'!C66</f>
        <v>VARE ANJALI RAMDAS</v>
      </c>
      <c r="E67" s="78">
        <v>23</v>
      </c>
      <c r="F67" s="78">
        <v>24</v>
      </c>
      <c r="G67" s="78">
        <v>24</v>
      </c>
    </row>
    <row r="68" spans="2:7" ht="15.75" customHeight="1" x14ac:dyDescent="0.25">
      <c r="B68" s="55">
        <v>55</v>
      </c>
      <c r="C68" s="55">
        <f>'CO_Attainment for Unit Tests'!B67</f>
        <v>23510250257</v>
      </c>
      <c r="D68" s="77" t="str">
        <f>'CO_Attainment for Unit Tests'!C67</f>
        <v>WAGHMARE PALLAVI DNYANESHWAR</v>
      </c>
      <c r="E68" s="78">
        <v>22</v>
      </c>
      <c r="F68" s="78">
        <v>22</v>
      </c>
      <c r="G68" s="78">
        <v>20</v>
      </c>
    </row>
    <row r="69" spans="2:7" ht="15.75" customHeight="1" x14ac:dyDescent="0.25">
      <c r="B69" s="55">
        <v>56</v>
      </c>
      <c r="C69" s="55">
        <f>'CO_Attainment for Unit Tests'!B68</f>
        <v>23510250524</v>
      </c>
      <c r="D69" s="77" t="str">
        <f>'CO_Attainment for Unit Tests'!C68</f>
        <v>Gavasane Vedant Amol</v>
      </c>
      <c r="E69" s="78">
        <v>24</v>
      </c>
      <c r="F69" s="78">
        <v>24</v>
      </c>
      <c r="G69" s="78">
        <v>24</v>
      </c>
    </row>
    <row r="70" spans="2:7" ht="15.75" customHeight="1" x14ac:dyDescent="0.25">
      <c r="B70" s="55">
        <v>57</v>
      </c>
      <c r="C70" s="55">
        <f>'CO_Attainment for Unit Tests'!B69</f>
        <v>24510250260</v>
      </c>
      <c r="D70" s="77" t="str">
        <f>'CO_Attainment for Unit Tests'!C69</f>
        <v>HAJARE SWAPNALI SUJIT</v>
      </c>
      <c r="E70" s="78">
        <v>24</v>
      </c>
      <c r="F70" s="78">
        <v>24</v>
      </c>
      <c r="G70" s="78">
        <v>24</v>
      </c>
    </row>
    <row r="71" spans="2:7" ht="15.75" customHeight="1" x14ac:dyDescent="0.25">
      <c r="B71" s="55">
        <v>58</v>
      </c>
      <c r="C71" s="55">
        <f>'CO_Attainment for Unit Tests'!B70</f>
        <v>24510250261</v>
      </c>
      <c r="D71" s="77" t="str">
        <f>'CO_Attainment for Unit Tests'!C70</f>
        <v>MUGALE AMAR RAM</v>
      </c>
      <c r="E71" s="78">
        <v>23</v>
      </c>
      <c r="F71" s="78">
        <v>22</v>
      </c>
      <c r="G71" s="78">
        <v>22</v>
      </c>
    </row>
    <row r="72" spans="2:7" ht="15.75" customHeight="1" x14ac:dyDescent="0.25">
      <c r="B72" s="55">
        <v>59</v>
      </c>
      <c r="C72" s="55">
        <f>'CO_Attainment for Unit Tests'!B71</f>
        <v>24510250262</v>
      </c>
      <c r="D72" s="77" t="str">
        <f>'CO_Attainment for Unit Tests'!C71</f>
        <v>PAWAR ASHWASANDHYA NANDAKUMAR</v>
      </c>
      <c r="E72" s="78">
        <v>22</v>
      </c>
      <c r="F72" s="78">
        <v>23</v>
      </c>
      <c r="G72" s="78">
        <v>22</v>
      </c>
    </row>
    <row r="73" spans="2:7" ht="15.75" customHeight="1" x14ac:dyDescent="0.25">
      <c r="B73" s="55">
        <v>60</v>
      </c>
      <c r="C73" s="55">
        <f>'CO_Attainment for Unit Tests'!B72</f>
        <v>24510250263</v>
      </c>
      <c r="D73" s="77" t="str">
        <f>'CO_Attainment for Unit Tests'!C72</f>
        <v>PAWAR ASHWASHRADHA DHANAJI</v>
      </c>
      <c r="E73" s="80">
        <v>24</v>
      </c>
      <c r="F73" s="80">
        <v>24</v>
      </c>
      <c r="G73" s="80">
        <v>22</v>
      </c>
    </row>
    <row r="74" spans="2:7" ht="15.75" customHeight="1" x14ac:dyDescent="0.25">
      <c r="B74" s="55">
        <v>61</v>
      </c>
      <c r="C74" s="55">
        <f>'CO_Attainment for Unit Tests'!B73</f>
        <v>24510250264</v>
      </c>
      <c r="D74" s="77" t="str">
        <f>'CO_Attainment for Unit Tests'!C73</f>
        <v>SUTAR PRIYA BHAGVANT</v>
      </c>
      <c r="E74" s="78">
        <v>23</v>
      </c>
      <c r="F74" s="78">
        <v>23</v>
      </c>
      <c r="G74" s="78">
        <v>23</v>
      </c>
    </row>
    <row r="75" spans="2:7" ht="15.75" customHeight="1" x14ac:dyDescent="0.25">
      <c r="B75" s="55">
        <v>62</v>
      </c>
      <c r="C75" s="55">
        <f>'CO_Attainment for Unit Tests'!B74</f>
        <v>24510250265</v>
      </c>
      <c r="D75" s="77" t="str">
        <f>'CO_Attainment for Unit Tests'!C74</f>
        <v>SUTAR YOGESH EKNATH</v>
      </c>
      <c r="E75" s="78">
        <v>23</v>
      </c>
      <c r="F75" s="78">
        <v>20</v>
      </c>
      <c r="G75" s="78">
        <v>23</v>
      </c>
    </row>
    <row r="76" spans="2:7" ht="15.75" customHeight="1" x14ac:dyDescent="0.25">
      <c r="B76" s="55">
        <v>63</v>
      </c>
      <c r="C76" s="55">
        <f>'CO_Attainment for Unit Tests'!B75</f>
        <v>24510250266</v>
      </c>
      <c r="D76" s="77" t="str">
        <f>'CO_Attainment for Unit Tests'!C75</f>
        <v>WAWALKAR ANJALI ANIL</v>
      </c>
      <c r="E76" s="78">
        <v>21</v>
      </c>
      <c r="F76" s="78">
        <v>22</v>
      </c>
      <c r="G76" s="78">
        <v>22</v>
      </c>
    </row>
    <row r="77" spans="2:7" ht="15.75" customHeight="1" x14ac:dyDescent="0.25">
      <c r="B77" s="55">
        <v>64</v>
      </c>
      <c r="C77" s="55">
        <f>'CO_Attainment for Unit Tests'!B76</f>
        <v>0</v>
      </c>
      <c r="D77" s="77">
        <f>'CO_Attainment for Unit Tests'!C76</f>
        <v>0</v>
      </c>
      <c r="E77" s="38"/>
      <c r="F77" s="39"/>
      <c r="G77" s="39"/>
    </row>
    <row r="78" spans="2:7" ht="15.75" customHeight="1" x14ac:dyDescent="0.25">
      <c r="B78" s="55">
        <v>65</v>
      </c>
      <c r="C78" s="55">
        <f>'CO_Attainment for Unit Tests'!B77</f>
        <v>0</v>
      </c>
      <c r="D78" s="77">
        <f>'CO_Attainment for Unit Tests'!C77</f>
        <v>0</v>
      </c>
      <c r="E78" s="38"/>
      <c r="F78" s="39"/>
      <c r="G78" s="39"/>
    </row>
    <row r="79" spans="2:7" ht="15.75" customHeight="1" x14ac:dyDescent="0.25">
      <c r="B79" s="55">
        <v>66</v>
      </c>
      <c r="C79" s="55">
        <f>'CO_Attainment for Unit Tests'!B78</f>
        <v>0</v>
      </c>
      <c r="D79" s="77">
        <f>'CO_Attainment for Unit Tests'!C78</f>
        <v>0</v>
      </c>
      <c r="E79" s="38"/>
      <c r="F79" s="39"/>
      <c r="G79" s="39"/>
    </row>
    <row r="80" spans="2:7" ht="15.75" customHeight="1" x14ac:dyDescent="0.25">
      <c r="B80" s="55">
        <v>67</v>
      </c>
      <c r="C80" s="55">
        <f>'CO_Attainment for Unit Tests'!B79</f>
        <v>0</v>
      </c>
      <c r="D80" s="77">
        <f>'CO_Attainment for Unit Tests'!C79</f>
        <v>0</v>
      </c>
      <c r="E80" s="38"/>
      <c r="F80" s="39"/>
      <c r="G80" s="39"/>
    </row>
    <row r="81" spans="2:7" ht="15.75" customHeight="1" x14ac:dyDescent="0.25">
      <c r="B81" s="55">
        <v>68</v>
      </c>
      <c r="C81" s="55">
        <f>'CO_Attainment for Unit Tests'!B80</f>
        <v>0</v>
      </c>
      <c r="D81" s="77">
        <f>'CO_Attainment for Unit Tests'!C80</f>
        <v>0</v>
      </c>
      <c r="E81" s="38"/>
      <c r="F81" s="39"/>
      <c r="G81" s="39"/>
    </row>
    <row r="82" spans="2:7" ht="15.75" customHeight="1" x14ac:dyDescent="0.25">
      <c r="B82" s="55">
        <v>69</v>
      </c>
      <c r="C82" s="55">
        <f>'CO_Attainment for Unit Tests'!B81</f>
        <v>0</v>
      </c>
      <c r="D82" s="77">
        <f>'CO_Attainment for Unit Tests'!C81</f>
        <v>0</v>
      </c>
      <c r="E82" s="38"/>
      <c r="F82" s="39"/>
      <c r="G82" s="39"/>
    </row>
    <row r="83" spans="2:7" ht="15.75" customHeight="1" x14ac:dyDescent="0.25">
      <c r="B83" s="55">
        <v>70</v>
      </c>
      <c r="C83" s="55">
        <f>'CO_Attainment for Unit Tests'!B82</f>
        <v>0</v>
      </c>
      <c r="D83" s="77">
        <f>'CO_Attainment for Unit Tests'!C82</f>
        <v>0</v>
      </c>
      <c r="E83" s="38"/>
      <c r="F83" s="39"/>
      <c r="G83" s="39"/>
    </row>
    <row r="84" spans="2:7" ht="15.75" customHeight="1" x14ac:dyDescent="0.25">
      <c r="B84" s="55">
        <v>71</v>
      </c>
      <c r="C84" s="55">
        <f>'CO_Attainment for Unit Tests'!B83</f>
        <v>0</v>
      </c>
      <c r="D84" s="77">
        <f>'CO_Attainment for Unit Tests'!C83</f>
        <v>0</v>
      </c>
      <c r="E84" s="38"/>
      <c r="F84" s="39"/>
      <c r="G84" s="39"/>
    </row>
    <row r="85" spans="2:7" ht="15.75" customHeight="1" x14ac:dyDescent="0.25">
      <c r="B85" s="55">
        <v>72</v>
      </c>
      <c r="C85" s="55">
        <f>'CO_Attainment for Unit Tests'!B84</f>
        <v>0</v>
      </c>
      <c r="D85" s="77">
        <f>'CO_Attainment for Unit Tests'!C84</f>
        <v>0</v>
      </c>
      <c r="E85" s="38"/>
      <c r="F85" s="39"/>
      <c r="G85" s="39"/>
    </row>
    <row r="86" spans="2:7" ht="15.75" customHeight="1" x14ac:dyDescent="0.25">
      <c r="B86" s="55">
        <v>73</v>
      </c>
      <c r="C86" s="55">
        <f>'CO_Attainment for Unit Tests'!B85</f>
        <v>0</v>
      </c>
      <c r="D86" s="77">
        <f>'CO_Attainment for Unit Tests'!C85</f>
        <v>0</v>
      </c>
      <c r="E86" s="38"/>
      <c r="F86" s="39"/>
      <c r="G86" s="39"/>
    </row>
    <row r="87" spans="2:7" ht="15.75" customHeight="1" x14ac:dyDescent="0.25">
      <c r="B87" s="55">
        <v>74</v>
      </c>
      <c r="C87" s="55">
        <f>'CO_Attainment for Unit Tests'!B86</f>
        <v>0</v>
      </c>
      <c r="D87" s="77">
        <f>'CO_Attainment for Unit Tests'!C86</f>
        <v>0</v>
      </c>
      <c r="E87" s="38"/>
      <c r="F87" s="39"/>
      <c r="G87" s="39"/>
    </row>
    <row r="88" spans="2:7" ht="15.75" customHeight="1" x14ac:dyDescent="0.25">
      <c r="B88" s="55">
        <v>75</v>
      </c>
      <c r="C88" s="55">
        <f>'CO_Attainment for Unit Tests'!B87</f>
        <v>0</v>
      </c>
      <c r="D88" s="77">
        <f>'CO_Attainment for Unit Tests'!C87</f>
        <v>0</v>
      </c>
      <c r="E88" s="38"/>
      <c r="F88" s="39"/>
      <c r="G88" s="39"/>
    </row>
    <row r="89" spans="2:7" ht="15.75" customHeight="1" x14ac:dyDescent="0.25">
      <c r="B89" s="55">
        <v>76</v>
      </c>
      <c r="C89" s="55">
        <f>'CO_Attainment for Unit Tests'!B88</f>
        <v>0</v>
      </c>
      <c r="D89" s="77">
        <f>'CO_Attainment for Unit Tests'!C88</f>
        <v>0</v>
      </c>
      <c r="E89" s="38"/>
      <c r="F89" s="39"/>
      <c r="G89" s="39"/>
    </row>
    <row r="90" spans="2:7" ht="15.75" customHeight="1" x14ac:dyDescent="0.25">
      <c r="B90" s="55">
        <v>77</v>
      </c>
      <c r="C90" s="55">
        <f>'CO_Attainment for Unit Tests'!B89</f>
        <v>0</v>
      </c>
      <c r="D90" s="77">
        <f>'CO_Attainment for Unit Tests'!C89</f>
        <v>0</v>
      </c>
      <c r="E90" s="38"/>
      <c r="F90" s="39"/>
      <c r="G90" s="39"/>
    </row>
    <row r="91" spans="2:7" ht="15.75" customHeight="1" x14ac:dyDescent="0.25">
      <c r="B91" s="55">
        <v>78</v>
      </c>
      <c r="C91" s="55">
        <f>'CO_Attainment for Unit Tests'!B90</f>
        <v>0</v>
      </c>
      <c r="D91" s="77">
        <f>'CO_Attainment for Unit Tests'!C90</f>
        <v>0</v>
      </c>
      <c r="E91" s="38"/>
      <c r="F91" s="39"/>
      <c r="G91" s="39"/>
    </row>
    <row r="92" spans="2:7" ht="15.75" customHeight="1" x14ac:dyDescent="0.25">
      <c r="B92" s="55">
        <v>79</v>
      </c>
      <c r="C92" s="55">
        <f>'CO_Attainment for Unit Tests'!B91</f>
        <v>0</v>
      </c>
      <c r="D92" s="77">
        <f>'CO_Attainment for Unit Tests'!C91</f>
        <v>0</v>
      </c>
      <c r="E92" s="38"/>
      <c r="F92" s="39"/>
      <c r="G92" s="39"/>
    </row>
    <row r="93" spans="2:7" ht="15.75" customHeight="1" x14ac:dyDescent="0.25">
      <c r="B93" s="55">
        <v>80</v>
      </c>
      <c r="C93" s="55">
        <f>'CO_Attainment for Unit Tests'!B92</f>
        <v>0</v>
      </c>
      <c r="D93" s="77">
        <f>'CO_Attainment for Unit Tests'!C92</f>
        <v>0</v>
      </c>
      <c r="E93" s="38"/>
      <c r="F93" s="39"/>
      <c r="G93" s="39"/>
    </row>
    <row r="94" spans="2:7" ht="15.75" customHeight="1" x14ac:dyDescent="0.25">
      <c r="B94" s="55">
        <v>81</v>
      </c>
      <c r="C94" s="55">
        <f>'CO_Attainment for Unit Tests'!B93</f>
        <v>0</v>
      </c>
      <c r="D94" s="77">
        <f>'CO_Attainment for Unit Tests'!C93</f>
        <v>0</v>
      </c>
      <c r="E94" s="38"/>
      <c r="F94" s="39"/>
      <c r="G94" s="39"/>
    </row>
    <row r="95" spans="2:7" ht="15.75" customHeight="1" x14ac:dyDescent="0.25">
      <c r="B95" s="55">
        <v>82</v>
      </c>
      <c r="C95" s="55">
        <f>'CO_Attainment for Unit Tests'!B94</f>
        <v>0</v>
      </c>
      <c r="D95" s="77">
        <f>'CO_Attainment for Unit Tests'!C94</f>
        <v>0</v>
      </c>
      <c r="E95" s="38"/>
      <c r="F95" s="39"/>
      <c r="G95" s="39"/>
    </row>
    <row r="96" spans="2:7" ht="15.75" customHeight="1" x14ac:dyDescent="0.25">
      <c r="B96" s="55">
        <v>83</v>
      </c>
      <c r="C96" s="55">
        <f>'CO_Attainment for Unit Tests'!B95</f>
        <v>0</v>
      </c>
      <c r="D96" s="77">
        <f>'CO_Attainment for Unit Tests'!C95</f>
        <v>0</v>
      </c>
      <c r="E96" s="38"/>
      <c r="F96" s="39"/>
      <c r="G96" s="39"/>
    </row>
    <row r="97" spans="1:8" ht="30.75" customHeight="1" x14ac:dyDescent="0.25">
      <c r="B97" s="11"/>
      <c r="C97" s="11"/>
      <c r="D97" s="81" t="s">
        <v>159</v>
      </c>
      <c r="E97" s="267">
        <f>ROUNDUP(D98*E13/100,1)</f>
        <v>15</v>
      </c>
      <c r="F97" s="267">
        <f>ROUNDUP(D98*F13/100,1)</f>
        <v>15</v>
      </c>
      <c r="G97" s="267">
        <f>ROUNDUP(D98*G13/100,1)</f>
        <v>15</v>
      </c>
    </row>
    <row r="98" spans="1:8" ht="15.75" customHeight="1" x14ac:dyDescent="0.25">
      <c r="D98" s="82">
        <v>60</v>
      </c>
      <c r="E98" s="188"/>
      <c r="F98" s="188"/>
      <c r="G98" s="188"/>
    </row>
    <row r="99" spans="1:8" ht="15.75" customHeight="1" x14ac:dyDescent="0.25">
      <c r="D99" s="59" t="s">
        <v>130</v>
      </c>
      <c r="E99" s="60">
        <f t="shared" ref="E99:G99" si="0">COUNTIF(E14:E96,"&gt;=" &amp;E97)</f>
        <v>63</v>
      </c>
      <c r="F99" s="60">
        <f t="shared" si="0"/>
        <v>63</v>
      </c>
      <c r="G99" s="60">
        <f t="shared" si="0"/>
        <v>63</v>
      </c>
    </row>
    <row r="100" spans="1:8" ht="15.75" customHeight="1" x14ac:dyDescent="0.25"/>
    <row r="101" spans="1:8" ht="15.75" customHeight="1" x14ac:dyDescent="0.25"/>
    <row r="102" spans="1:8" ht="15.75" customHeight="1" x14ac:dyDescent="0.25"/>
    <row r="103" spans="1:8" ht="46.5" customHeight="1" x14ac:dyDescent="0.25">
      <c r="A103" s="65"/>
      <c r="B103" s="226" t="s">
        <v>160</v>
      </c>
      <c r="C103" s="196"/>
      <c r="D103" s="197"/>
      <c r="E103" s="83" t="s">
        <v>132</v>
      </c>
      <c r="F103" s="41"/>
      <c r="G103" s="64" t="s">
        <v>133</v>
      </c>
      <c r="H103" s="65"/>
    </row>
    <row r="104" spans="1:8" ht="15.75" customHeight="1" x14ac:dyDescent="0.25">
      <c r="A104" s="65"/>
      <c r="B104" s="229" t="s">
        <v>134</v>
      </c>
      <c r="C104" s="66">
        <v>0.5</v>
      </c>
      <c r="D104" s="67" t="s">
        <v>149</v>
      </c>
      <c r="E104" s="265">
        <f>COUNTA(D14:D96)-COUNTIFS(D14:D96,0)</f>
        <v>63</v>
      </c>
      <c r="F104" s="84">
        <f>C104*$E104</f>
        <v>31.5</v>
      </c>
      <c r="G104" s="68">
        <v>1</v>
      </c>
      <c r="H104" s="65"/>
    </row>
    <row r="105" spans="1:8" ht="15.75" customHeight="1" x14ac:dyDescent="0.25">
      <c r="A105" s="65"/>
      <c r="B105" s="230"/>
      <c r="C105" s="69">
        <v>0.6</v>
      </c>
      <c r="D105" s="70" t="s">
        <v>149</v>
      </c>
      <c r="E105" s="187"/>
      <c r="F105" s="85">
        <f>C105*$E104</f>
        <v>37.799999999999997</v>
      </c>
      <c r="G105" s="71">
        <v>2</v>
      </c>
      <c r="H105" s="65"/>
    </row>
    <row r="106" spans="1:8" ht="15.75" customHeight="1" x14ac:dyDescent="0.25">
      <c r="A106" s="65"/>
      <c r="B106" s="231"/>
      <c r="C106" s="72">
        <v>0.7</v>
      </c>
      <c r="D106" s="73" t="s">
        <v>149</v>
      </c>
      <c r="E106" s="188"/>
      <c r="F106" s="86">
        <f>C106*$E104</f>
        <v>44.099999999999994</v>
      </c>
      <c r="G106" s="74">
        <v>3</v>
      </c>
      <c r="H106" s="65"/>
    </row>
    <row r="107" spans="1:8" ht="15.75" customHeight="1" x14ac:dyDescent="0.25">
      <c r="A107" s="65"/>
      <c r="B107" s="65"/>
      <c r="C107" s="65"/>
      <c r="D107" s="65"/>
      <c r="E107" s="65"/>
      <c r="F107" s="65"/>
      <c r="G107" s="65"/>
      <c r="H107" s="65"/>
    </row>
    <row r="108" spans="1:8" ht="15.75" customHeight="1" x14ac:dyDescent="0.25">
      <c r="A108" s="65"/>
      <c r="B108" s="65"/>
      <c r="C108" s="65"/>
      <c r="D108" s="65"/>
      <c r="E108" s="65"/>
      <c r="F108" s="65"/>
      <c r="G108" s="65"/>
      <c r="H108" s="65"/>
    </row>
    <row r="109" spans="1:8" ht="33" customHeight="1" x14ac:dyDescent="0.25">
      <c r="A109" s="195" t="s">
        <v>161</v>
      </c>
      <c r="B109" s="268"/>
      <c r="C109" s="87" t="s">
        <v>9</v>
      </c>
      <c r="D109" s="87" t="s">
        <v>11</v>
      </c>
      <c r="E109" s="87" t="s">
        <v>13</v>
      </c>
      <c r="F109" s="87" t="s">
        <v>15</v>
      </c>
      <c r="G109" s="87" t="s">
        <v>139</v>
      </c>
      <c r="H109" s="88" t="s">
        <v>140</v>
      </c>
    </row>
    <row r="110" spans="1:8" ht="36.75" customHeight="1" x14ac:dyDescent="0.25">
      <c r="A110" s="269" t="s">
        <v>162</v>
      </c>
      <c r="B110" s="259"/>
      <c r="C110" s="89">
        <f>IF(E99&gt;=$F106,3,IF(E99&gt;=$F105,2,IF(E99&gt;=$F104,1,0)))</f>
        <v>3</v>
      </c>
      <c r="D110" s="89">
        <f t="shared" ref="D110:H110" si="1">$C110</f>
        <v>3</v>
      </c>
      <c r="E110" s="89">
        <f t="shared" si="1"/>
        <v>3</v>
      </c>
      <c r="F110" s="89">
        <f t="shared" si="1"/>
        <v>3</v>
      </c>
      <c r="G110" s="89">
        <f t="shared" si="1"/>
        <v>3</v>
      </c>
      <c r="H110" s="90">
        <f t="shared" si="1"/>
        <v>3</v>
      </c>
    </row>
    <row r="111" spans="1:8" ht="37.5" customHeight="1" x14ac:dyDescent="0.25">
      <c r="A111" s="270" t="s">
        <v>163</v>
      </c>
      <c r="B111" s="185"/>
      <c r="C111" s="91">
        <f>IF(F99&gt;=$F106,3,IF(F99&gt;=$F105,2,IF(F99&gt;=$F104,1,0)))</f>
        <v>3</v>
      </c>
      <c r="D111" s="91">
        <f t="shared" ref="D111:H111" si="2">$C111</f>
        <v>3</v>
      </c>
      <c r="E111" s="91">
        <f t="shared" si="2"/>
        <v>3</v>
      </c>
      <c r="F111" s="91">
        <f t="shared" si="2"/>
        <v>3</v>
      </c>
      <c r="G111" s="91">
        <f t="shared" si="2"/>
        <v>3</v>
      </c>
      <c r="H111" s="92">
        <f t="shared" si="2"/>
        <v>3</v>
      </c>
    </row>
    <row r="112" spans="1:8" ht="31.5" customHeight="1" x14ac:dyDescent="0.25">
      <c r="A112" s="271" t="s">
        <v>164</v>
      </c>
      <c r="B112" s="261"/>
      <c r="C112" s="52">
        <f>IF(G99&gt;=$F106,3,IF(G99&gt;=$F105,2,IF(G99&gt;=$F104,1,0)))</f>
        <v>3</v>
      </c>
      <c r="D112" s="52">
        <f t="shared" ref="D112:H112" si="3">$C112</f>
        <v>3</v>
      </c>
      <c r="E112" s="52">
        <f t="shared" si="3"/>
        <v>3</v>
      </c>
      <c r="F112" s="52">
        <f t="shared" si="3"/>
        <v>3</v>
      </c>
      <c r="G112" s="52">
        <f t="shared" si="3"/>
        <v>3</v>
      </c>
      <c r="H112" s="93">
        <f t="shared" si="3"/>
        <v>3</v>
      </c>
    </row>
    <row r="113" spans="2:7" ht="15.75" customHeight="1" x14ac:dyDescent="0.25">
      <c r="B113" s="11"/>
    </row>
    <row r="114" spans="2:7" ht="15.75" customHeight="1" x14ac:dyDescent="0.25">
      <c r="C114" s="11"/>
    </row>
    <row r="115" spans="2:7" ht="15.75" customHeight="1" x14ac:dyDescent="0.25">
      <c r="C115" s="11"/>
    </row>
    <row r="116" spans="2:7" ht="15.75" customHeight="1" x14ac:dyDescent="0.25"/>
    <row r="117" spans="2:7" ht="15.75" customHeight="1" x14ac:dyDescent="0.25"/>
    <row r="118" spans="2:7" ht="15.75" customHeight="1" x14ac:dyDescent="0.25"/>
    <row r="119" spans="2:7" ht="15.75" customHeight="1" x14ac:dyDescent="0.25">
      <c r="G119" s="10"/>
    </row>
    <row r="120" spans="2:7" ht="15.75" customHeight="1" x14ac:dyDescent="0.25">
      <c r="G120" s="10"/>
    </row>
    <row r="121" spans="2:7" ht="15.75" customHeight="1" x14ac:dyDescent="0.25"/>
    <row r="122" spans="2:7" ht="15.75" customHeight="1" x14ac:dyDescent="0.25"/>
    <row r="123" spans="2:7" ht="15.75" customHeight="1" x14ac:dyDescent="0.25"/>
    <row r="124" spans="2:7" ht="15.75" customHeight="1" x14ac:dyDescent="0.25"/>
    <row r="125" spans="2:7" ht="15.75" customHeight="1" x14ac:dyDescent="0.25"/>
    <row r="126" spans="2:7" ht="15.75" customHeight="1" x14ac:dyDescent="0.25"/>
    <row r="127" spans="2:7" ht="15.75" customHeight="1" x14ac:dyDescent="0.25"/>
    <row r="128" spans="2:7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0">
    <mergeCell ref="A112:B112"/>
    <mergeCell ref="E9:E12"/>
    <mergeCell ref="F9:F12"/>
    <mergeCell ref="G9:G12"/>
    <mergeCell ref="F97:F98"/>
    <mergeCell ref="G97:G98"/>
    <mergeCell ref="B103:D103"/>
    <mergeCell ref="B104:B106"/>
    <mergeCell ref="E97:E98"/>
    <mergeCell ref="E104:E106"/>
    <mergeCell ref="A109:B109"/>
    <mergeCell ref="A110:B110"/>
    <mergeCell ref="A111:B111"/>
    <mergeCell ref="D4:E4"/>
    <mergeCell ref="D5:E5"/>
    <mergeCell ref="D6:E6"/>
    <mergeCell ref="D7:E7"/>
    <mergeCell ref="B9:B13"/>
    <mergeCell ref="C9:C13"/>
    <mergeCell ref="D9:D13"/>
  </mergeCells>
  <pageMargins left="0.7" right="0.7" top="0.75" bottom="0.75" header="0" footer="0"/>
  <pageSetup scale="2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G1000"/>
  <sheetViews>
    <sheetView workbookViewId="0"/>
  </sheetViews>
  <sheetFormatPr defaultColWidth="14.42578125" defaultRowHeight="15" customHeight="1" x14ac:dyDescent="0.25"/>
  <cols>
    <col min="1" max="2" width="8.7109375" customWidth="1"/>
    <col min="3" max="3" width="13.85546875" customWidth="1"/>
    <col min="4" max="4" width="43.85546875" customWidth="1"/>
    <col min="5" max="5" width="19.140625" customWidth="1"/>
    <col min="6" max="7" width="8.7109375" customWidth="1"/>
  </cols>
  <sheetData>
    <row r="1" spans="2:6" ht="20.25" x14ac:dyDescent="0.25">
      <c r="C1" s="76" t="s">
        <v>165</v>
      </c>
      <c r="E1" s="76"/>
      <c r="F1" s="6"/>
    </row>
    <row r="2" spans="2:6" x14ac:dyDescent="0.25">
      <c r="B2" s="6"/>
      <c r="C2" s="6"/>
      <c r="E2" s="6"/>
    </row>
    <row r="3" spans="2:6" ht="20.25" x14ac:dyDescent="0.25">
      <c r="B3" s="6"/>
      <c r="C3" s="6"/>
      <c r="D3" s="53"/>
      <c r="E3" s="6"/>
    </row>
    <row r="4" spans="2:6" x14ac:dyDescent="0.25">
      <c r="B4" s="6"/>
      <c r="C4" s="5" t="s">
        <v>1</v>
      </c>
      <c r="D4" s="55" t="str">
        <f>'CO_attain_SLA_FA-PR_SA-PR'!D4</f>
        <v>SEMINAR AND PROJECT INITIATION COURSE</v>
      </c>
      <c r="E4" s="6"/>
      <c r="F4" s="6"/>
    </row>
    <row r="5" spans="2:6" x14ac:dyDescent="0.25">
      <c r="B5" s="6"/>
      <c r="C5" s="5" t="s">
        <v>3</v>
      </c>
      <c r="D5" s="55">
        <f>'CO_attain_SLA_FA-PR_SA-PR'!D5</f>
        <v>315003</v>
      </c>
      <c r="E5" s="6"/>
      <c r="F5" s="6"/>
    </row>
    <row r="6" spans="2:6" x14ac:dyDescent="0.25">
      <c r="B6" s="6"/>
      <c r="C6" s="5" t="s">
        <v>53</v>
      </c>
      <c r="D6" s="55" t="str">
        <f>'CO_attain_SLA_FA-PR_SA-PR'!D6</f>
        <v>5th Sem Co5K K-Scheme</v>
      </c>
      <c r="E6" s="6"/>
      <c r="F6" s="6"/>
    </row>
    <row r="7" spans="2:6" x14ac:dyDescent="0.25">
      <c r="B7" s="6"/>
      <c r="C7" s="5" t="s">
        <v>155</v>
      </c>
      <c r="D7" s="55" t="str">
        <f>'CO_attain_SLA_FA-PR_SA-PR'!D7</f>
        <v>2025-26</v>
      </c>
      <c r="E7" s="6"/>
      <c r="F7" s="6"/>
    </row>
    <row r="8" spans="2:6" x14ac:dyDescent="0.25">
      <c r="B8" s="6"/>
      <c r="C8" s="5"/>
      <c r="D8" s="94"/>
      <c r="E8" s="6"/>
      <c r="F8" s="6"/>
    </row>
    <row r="9" spans="2:6" ht="15.75" x14ac:dyDescent="0.25">
      <c r="B9" s="95" t="s">
        <v>166</v>
      </c>
    </row>
    <row r="10" spans="2:6" ht="15.75" customHeight="1" x14ac:dyDescent="0.25">
      <c r="B10" s="278" t="s">
        <v>21</v>
      </c>
      <c r="C10" s="279" t="s">
        <v>167</v>
      </c>
      <c r="D10" s="280" t="s">
        <v>56</v>
      </c>
      <c r="E10" s="279" t="s">
        <v>168</v>
      </c>
    </row>
    <row r="11" spans="2:6" x14ac:dyDescent="0.25">
      <c r="B11" s="187"/>
      <c r="C11" s="187"/>
      <c r="D11" s="187"/>
      <c r="E11" s="187"/>
    </row>
    <row r="12" spans="2:6" x14ac:dyDescent="0.25">
      <c r="B12" s="187"/>
      <c r="C12" s="187"/>
      <c r="D12" s="187"/>
      <c r="E12" s="187"/>
    </row>
    <row r="13" spans="2:6" x14ac:dyDescent="0.25">
      <c r="B13" s="187"/>
      <c r="C13" s="187"/>
      <c r="D13" s="187"/>
      <c r="E13" s="281"/>
    </row>
    <row r="14" spans="2:6" x14ac:dyDescent="0.25">
      <c r="B14" s="188"/>
      <c r="C14" s="188"/>
      <c r="D14" s="188"/>
      <c r="E14" s="96">
        <v>5</v>
      </c>
    </row>
    <row r="15" spans="2:6" x14ac:dyDescent="0.25">
      <c r="B15" s="97">
        <v>1</v>
      </c>
      <c r="C15" s="97">
        <f>'CO_attainment for FA-TH ESE'!C14</f>
        <v>2201180008</v>
      </c>
      <c r="D15" s="97" t="str">
        <f>'CO_attainment for FA-TH ESE'!D14</f>
        <v>DHANSHETTI PRIYA SANJAY</v>
      </c>
      <c r="E15" s="97">
        <v>0</v>
      </c>
    </row>
    <row r="16" spans="2:6" hidden="1" x14ac:dyDescent="0.25">
      <c r="B16" s="98"/>
      <c r="C16" s="98" t="e">
        <f>'CO_attainment for FA-TH ESE'!#REF!</f>
        <v>#REF!</v>
      </c>
      <c r="D16" s="98" t="e">
        <f>'CO_attainment for FA-TH ESE'!#REF!</f>
        <v>#REF!</v>
      </c>
      <c r="E16" s="99"/>
    </row>
    <row r="17" spans="2:5" x14ac:dyDescent="0.25">
      <c r="B17" s="98">
        <v>2</v>
      </c>
      <c r="C17" s="98" t="e">
        <f>'CO_attainment for FA-TH ESE'!#REF!</f>
        <v>#REF!</v>
      </c>
      <c r="D17" s="98" t="e">
        <f>'CO_attainment for FA-TH ESE'!#REF!</f>
        <v>#REF!</v>
      </c>
      <c r="E17" s="98"/>
    </row>
    <row r="18" spans="2:5" hidden="1" x14ac:dyDescent="0.25">
      <c r="B18" s="98"/>
      <c r="C18" s="98" t="e">
        <f>'CO_attainment for FA-TH ESE'!#REF!</f>
        <v>#REF!</v>
      </c>
      <c r="D18" s="98" t="e">
        <f>'CO_attainment for FA-TH ESE'!#REF!</f>
        <v>#REF!</v>
      </c>
      <c r="E18" s="98"/>
    </row>
    <row r="19" spans="2:5" x14ac:dyDescent="0.25">
      <c r="B19" s="98">
        <v>3</v>
      </c>
      <c r="C19" s="98" t="e">
        <f>'CO_attainment for FA-TH ESE'!#REF!</f>
        <v>#REF!</v>
      </c>
      <c r="D19" s="98" t="e">
        <f>'CO_attainment for FA-TH ESE'!#REF!</f>
        <v>#REF!</v>
      </c>
      <c r="E19" s="98"/>
    </row>
    <row r="20" spans="2:5" hidden="1" x14ac:dyDescent="0.25">
      <c r="B20" s="98"/>
      <c r="C20" s="98" t="e">
        <f>'CO_attainment for FA-TH ESE'!#REF!</f>
        <v>#REF!</v>
      </c>
      <c r="D20" s="98" t="e">
        <f>'CO_attainment for FA-TH ESE'!#REF!</f>
        <v>#REF!</v>
      </c>
      <c r="E20" s="99"/>
    </row>
    <row r="21" spans="2:5" ht="15.75" hidden="1" customHeight="1" x14ac:dyDescent="0.25">
      <c r="B21" s="98"/>
      <c r="C21" s="98" t="e">
        <f>'CO_attainment for FA-TH ESE'!#REF!</f>
        <v>#REF!</v>
      </c>
      <c r="D21" s="98" t="e">
        <f>'CO_attainment for FA-TH ESE'!#REF!</f>
        <v>#REF!</v>
      </c>
      <c r="E21" s="99"/>
    </row>
    <row r="22" spans="2:5" ht="15.75" customHeight="1" x14ac:dyDescent="0.25">
      <c r="B22" s="98">
        <v>4</v>
      </c>
      <c r="C22" s="98" t="e">
        <f>'CO_attainment for FA-TH ESE'!#REF!</f>
        <v>#REF!</v>
      </c>
      <c r="D22" s="98" t="e">
        <f>'CO_attainment for FA-TH ESE'!#REF!</f>
        <v>#REF!</v>
      </c>
      <c r="E22" s="98"/>
    </row>
    <row r="23" spans="2:5" ht="15.75" hidden="1" customHeight="1" x14ac:dyDescent="0.25">
      <c r="B23" s="98"/>
      <c r="C23" s="98" t="e">
        <f>'CO_attainment for FA-TH ESE'!#REF!</f>
        <v>#REF!</v>
      </c>
      <c r="D23" s="98" t="e">
        <f>'CO_attainment for FA-TH ESE'!#REF!</f>
        <v>#REF!</v>
      </c>
      <c r="E23" s="99"/>
    </row>
    <row r="24" spans="2:5" ht="15.75" hidden="1" customHeight="1" x14ac:dyDescent="0.25">
      <c r="B24" s="98"/>
      <c r="C24" s="98" t="e">
        <f>'CO_attainment for FA-TH ESE'!#REF!</f>
        <v>#REF!</v>
      </c>
      <c r="D24" s="98" t="e">
        <f>'CO_attainment for FA-TH ESE'!#REF!</f>
        <v>#REF!</v>
      </c>
      <c r="E24" s="99"/>
    </row>
    <row r="25" spans="2:5" ht="15.75" hidden="1" customHeight="1" x14ac:dyDescent="0.25">
      <c r="B25" s="98"/>
      <c r="C25" s="98" t="e">
        <f>'CO_attainment for FA-TH ESE'!#REF!</f>
        <v>#REF!</v>
      </c>
      <c r="D25" s="98" t="e">
        <f>'CO_attainment for FA-TH ESE'!#REF!</f>
        <v>#REF!</v>
      </c>
      <c r="E25" s="98"/>
    </row>
    <row r="26" spans="2:5" ht="15.75" hidden="1" customHeight="1" x14ac:dyDescent="0.25">
      <c r="B26" s="98"/>
      <c r="C26" s="98" t="e">
        <f>'CO_attainment for FA-TH ESE'!#REF!</f>
        <v>#REF!</v>
      </c>
      <c r="D26" s="98" t="e">
        <f>'CO_attainment for FA-TH ESE'!#REF!</f>
        <v>#REF!</v>
      </c>
      <c r="E26" s="98"/>
    </row>
    <row r="27" spans="2:5" ht="15.75" hidden="1" customHeight="1" x14ac:dyDescent="0.25">
      <c r="B27" s="98"/>
      <c r="C27" s="98" t="e">
        <f>'CO_attainment for FA-TH ESE'!#REF!</f>
        <v>#REF!</v>
      </c>
      <c r="D27" s="98" t="e">
        <f>'CO_attainment for FA-TH ESE'!#REF!</f>
        <v>#REF!</v>
      </c>
      <c r="E27" s="98"/>
    </row>
    <row r="28" spans="2:5" ht="15.75" hidden="1" customHeight="1" x14ac:dyDescent="0.25">
      <c r="B28" s="98"/>
      <c r="C28" s="98" t="e">
        <f>'CO_attainment for FA-TH ESE'!#REF!</f>
        <v>#REF!</v>
      </c>
      <c r="D28" s="98" t="e">
        <f>'CO_attainment for FA-TH ESE'!#REF!</f>
        <v>#REF!</v>
      </c>
      <c r="E28" s="98"/>
    </row>
    <row r="29" spans="2:5" ht="15.75" hidden="1" customHeight="1" x14ac:dyDescent="0.25">
      <c r="B29" s="98"/>
      <c r="C29" s="98" t="e">
        <f>'CO_attainment for FA-TH ESE'!#REF!</f>
        <v>#REF!</v>
      </c>
      <c r="D29" s="98" t="e">
        <f>'CO_attainment for FA-TH ESE'!#REF!</f>
        <v>#REF!</v>
      </c>
      <c r="E29" s="98"/>
    </row>
    <row r="30" spans="2:5" ht="15.75" hidden="1" customHeight="1" x14ac:dyDescent="0.25">
      <c r="B30" s="98"/>
      <c r="C30" s="98" t="e">
        <f>'CO_attainment for FA-TH ESE'!#REF!</f>
        <v>#REF!</v>
      </c>
      <c r="D30" s="98" t="e">
        <f>'CO_attainment for FA-TH ESE'!#REF!</f>
        <v>#REF!</v>
      </c>
      <c r="E30" s="98"/>
    </row>
    <row r="31" spans="2:5" ht="15.75" customHeight="1" x14ac:dyDescent="0.25">
      <c r="B31" s="98">
        <v>5</v>
      </c>
      <c r="C31" s="98" t="e">
        <f>'CO_attainment for FA-TH ESE'!#REF!</f>
        <v>#REF!</v>
      </c>
      <c r="D31" s="98" t="e">
        <f>'CO_attainment for FA-TH ESE'!#REF!</f>
        <v>#REF!</v>
      </c>
      <c r="E31" s="98"/>
    </row>
    <row r="32" spans="2:5" ht="15.75" hidden="1" customHeight="1" x14ac:dyDescent="0.25">
      <c r="B32" s="98"/>
      <c r="C32" s="98" t="e">
        <f>'CO_attainment for FA-TH ESE'!#REF!</f>
        <v>#REF!</v>
      </c>
      <c r="D32" s="98" t="e">
        <f>'CO_attainment for FA-TH ESE'!#REF!</f>
        <v>#REF!</v>
      </c>
      <c r="E32" s="98"/>
    </row>
    <row r="33" spans="2:5" ht="15.75" hidden="1" customHeight="1" x14ac:dyDescent="0.25">
      <c r="B33" s="98"/>
      <c r="C33" s="98" t="e">
        <f>'CO_attainment for FA-TH ESE'!#REF!</f>
        <v>#REF!</v>
      </c>
      <c r="D33" s="98" t="e">
        <f>'CO_attainment for FA-TH ESE'!#REF!</f>
        <v>#REF!</v>
      </c>
      <c r="E33" s="98"/>
    </row>
    <row r="34" spans="2:5" ht="15.75" hidden="1" customHeight="1" x14ac:dyDescent="0.25">
      <c r="B34" s="98"/>
      <c r="C34" s="98" t="e">
        <f>'CO_attainment for FA-TH ESE'!#REF!</f>
        <v>#REF!</v>
      </c>
      <c r="D34" s="98" t="e">
        <f>'CO_attainment for FA-TH ESE'!#REF!</f>
        <v>#REF!</v>
      </c>
      <c r="E34" s="98"/>
    </row>
    <row r="35" spans="2:5" ht="15.75" hidden="1" customHeight="1" x14ac:dyDescent="0.25">
      <c r="B35" s="98"/>
      <c r="C35" s="98" t="e">
        <f>'CO_attainment for FA-TH ESE'!#REF!</f>
        <v>#REF!</v>
      </c>
      <c r="D35" s="98" t="e">
        <f>'CO_attainment for FA-TH ESE'!#REF!</f>
        <v>#REF!</v>
      </c>
      <c r="E35" s="98"/>
    </row>
    <row r="36" spans="2:5" ht="15.75" hidden="1" customHeight="1" x14ac:dyDescent="0.25">
      <c r="B36" s="98"/>
      <c r="C36" s="98" t="e">
        <f>'CO_attainment for FA-TH ESE'!#REF!</f>
        <v>#REF!</v>
      </c>
      <c r="D36" s="98" t="e">
        <f>'CO_attainment for FA-TH ESE'!#REF!</f>
        <v>#REF!</v>
      </c>
      <c r="E36" s="98"/>
    </row>
    <row r="37" spans="2:5" ht="15.75" hidden="1" customHeight="1" x14ac:dyDescent="0.25">
      <c r="B37" s="98"/>
      <c r="C37" s="98" t="e">
        <f>'CO_attainment for FA-TH ESE'!#REF!</f>
        <v>#REF!</v>
      </c>
      <c r="D37" s="98" t="e">
        <f>'CO_attainment for FA-TH ESE'!#REF!</f>
        <v>#REF!</v>
      </c>
      <c r="E37" s="98"/>
    </row>
    <row r="38" spans="2:5" ht="15.75" customHeight="1" x14ac:dyDescent="0.25">
      <c r="B38" s="98">
        <v>6</v>
      </c>
      <c r="C38" s="98" t="e">
        <f>'CO_attainment for FA-TH ESE'!#REF!</f>
        <v>#REF!</v>
      </c>
      <c r="D38" s="98" t="e">
        <f>'CO_attainment for FA-TH ESE'!#REF!</f>
        <v>#REF!</v>
      </c>
      <c r="E38" s="98"/>
    </row>
    <row r="39" spans="2:5" ht="15.75" hidden="1" customHeight="1" x14ac:dyDescent="0.25">
      <c r="B39" s="98"/>
      <c r="C39" s="98" t="e">
        <f>'CO_attainment for FA-TH ESE'!#REF!</f>
        <v>#REF!</v>
      </c>
      <c r="D39" s="98" t="e">
        <f>'CO_attainment for FA-TH ESE'!#REF!</f>
        <v>#REF!</v>
      </c>
      <c r="E39" s="98"/>
    </row>
    <row r="40" spans="2:5" ht="15.75" hidden="1" customHeight="1" x14ac:dyDescent="0.25">
      <c r="B40" s="98"/>
      <c r="C40" s="98" t="e">
        <f>'CO_attainment for FA-TH ESE'!#REF!</f>
        <v>#REF!</v>
      </c>
      <c r="D40" s="98" t="e">
        <f>'CO_attainment for FA-TH ESE'!#REF!</f>
        <v>#REF!</v>
      </c>
      <c r="E40" s="98"/>
    </row>
    <row r="41" spans="2:5" ht="15.75" hidden="1" customHeight="1" x14ac:dyDescent="0.25">
      <c r="B41" s="98"/>
      <c r="C41" s="98" t="e">
        <f>'CO_attainment for FA-TH ESE'!#REF!</f>
        <v>#REF!</v>
      </c>
      <c r="D41" s="98" t="e">
        <f>'CO_attainment for FA-TH ESE'!#REF!</f>
        <v>#REF!</v>
      </c>
      <c r="E41" s="98"/>
    </row>
    <row r="42" spans="2:5" ht="15.75" hidden="1" customHeight="1" x14ac:dyDescent="0.25">
      <c r="B42" s="98"/>
      <c r="C42" s="98" t="e">
        <f>'CO_attainment for FA-TH ESE'!#REF!</f>
        <v>#REF!</v>
      </c>
      <c r="D42" s="98" t="e">
        <f>'CO_attainment for FA-TH ESE'!#REF!</f>
        <v>#REF!</v>
      </c>
      <c r="E42" s="98"/>
    </row>
    <row r="43" spans="2:5" ht="15.75" hidden="1" customHeight="1" x14ac:dyDescent="0.25">
      <c r="B43" s="98"/>
      <c r="C43" s="98" t="e">
        <f>'CO_attainment for FA-TH ESE'!#REF!</f>
        <v>#REF!</v>
      </c>
      <c r="D43" s="98" t="e">
        <f>'CO_attainment for FA-TH ESE'!#REF!</f>
        <v>#REF!</v>
      </c>
      <c r="E43" s="98"/>
    </row>
    <row r="44" spans="2:5" ht="15.75" hidden="1" customHeight="1" x14ac:dyDescent="0.25">
      <c r="B44" s="98"/>
      <c r="C44" s="98" t="e">
        <f>'CO_attainment for FA-TH ESE'!#REF!</f>
        <v>#REF!</v>
      </c>
      <c r="D44" s="98" t="e">
        <f>'CO_attainment for FA-TH ESE'!#REF!</f>
        <v>#REF!</v>
      </c>
      <c r="E44" s="98"/>
    </row>
    <row r="45" spans="2:5" ht="15.75" hidden="1" customHeight="1" x14ac:dyDescent="0.25">
      <c r="B45" s="98"/>
      <c r="C45" s="98" t="e">
        <f>'CO_attainment for FA-TH ESE'!#REF!</f>
        <v>#REF!</v>
      </c>
      <c r="D45" s="98" t="e">
        <f>'CO_attainment for FA-TH ESE'!#REF!</f>
        <v>#REF!</v>
      </c>
      <c r="E45" s="98"/>
    </row>
    <row r="46" spans="2:5" ht="15.75" hidden="1" customHeight="1" x14ac:dyDescent="0.25">
      <c r="B46" s="98"/>
      <c r="C46" s="98" t="e">
        <f>'CO_attainment for FA-TH ESE'!#REF!</f>
        <v>#REF!</v>
      </c>
      <c r="D46" s="98" t="e">
        <f>'CO_attainment for FA-TH ESE'!#REF!</f>
        <v>#REF!</v>
      </c>
      <c r="E46" s="98"/>
    </row>
    <row r="47" spans="2:5" ht="15.75" hidden="1" customHeight="1" x14ac:dyDescent="0.25">
      <c r="B47" s="98"/>
      <c r="C47" s="98" t="e">
        <f>'CO_attainment for FA-TH ESE'!#REF!</f>
        <v>#REF!</v>
      </c>
      <c r="D47" s="98" t="e">
        <f>'CO_attainment for FA-TH ESE'!#REF!</f>
        <v>#REF!</v>
      </c>
      <c r="E47" s="98"/>
    </row>
    <row r="48" spans="2:5" ht="15.75" hidden="1" customHeight="1" x14ac:dyDescent="0.25">
      <c r="B48" s="98"/>
      <c r="C48" s="98" t="e">
        <f>'CO_attainment for FA-TH ESE'!#REF!</f>
        <v>#REF!</v>
      </c>
      <c r="D48" s="98" t="e">
        <f>'CO_attainment for FA-TH ESE'!#REF!</f>
        <v>#REF!</v>
      </c>
      <c r="E48" s="98"/>
    </row>
    <row r="49" spans="2:5" ht="15.75" hidden="1" customHeight="1" x14ac:dyDescent="0.25">
      <c r="B49" s="98"/>
      <c r="C49" s="98" t="e">
        <f>'CO_attainment for FA-TH ESE'!#REF!</f>
        <v>#REF!</v>
      </c>
      <c r="D49" s="98" t="e">
        <f>'CO_attainment for FA-TH ESE'!#REF!</f>
        <v>#REF!</v>
      </c>
      <c r="E49" s="98"/>
    </row>
    <row r="50" spans="2:5" ht="15.75" hidden="1" customHeight="1" x14ac:dyDescent="0.25">
      <c r="B50" s="98"/>
      <c r="C50" s="98" t="e">
        <f>'CO_attainment for FA-TH ESE'!#REF!</f>
        <v>#REF!</v>
      </c>
      <c r="D50" s="98" t="e">
        <f>'CO_attainment for FA-TH ESE'!#REF!</f>
        <v>#REF!</v>
      </c>
      <c r="E50" s="98"/>
    </row>
    <row r="51" spans="2:5" ht="15.75" hidden="1" customHeight="1" x14ac:dyDescent="0.25">
      <c r="B51" s="98"/>
      <c r="C51" s="98" t="e">
        <f>'CO_attainment for FA-TH ESE'!#REF!</f>
        <v>#REF!</v>
      </c>
      <c r="D51" s="98" t="e">
        <f>'CO_attainment for FA-TH ESE'!#REF!</f>
        <v>#REF!</v>
      </c>
      <c r="E51" s="98"/>
    </row>
    <row r="52" spans="2:5" ht="15.75" hidden="1" customHeight="1" x14ac:dyDescent="0.25">
      <c r="B52" s="98"/>
      <c r="C52" s="98" t="e">
        <f>'CO_attainment for FA-TH ESE'!#REF!</f>
        <v>#REF!</v>
      </c>
      <c r="D52" s="98" t="e">
        <f>'CO_attainment for FA-TH ESE'!#REF!</f>
        <v>#REF!</v>
      </c>
      <c r="E52" s="98"/>
    </row>
    <row r="53" spans="2:5" ht="15.75" hidden="1" customHeight="1" x14ac:dyDescent="0.25">
      <c r="B53" s="98"/>
      <c r="C53" s="98" t="e">
        <f>'CO_attainment for FA-TH ESE'!#REF!</f>
        <v>#REF!</v>
      </c>
      <c r="D53" s="98" t="e">
        <f>'CO_attainment for FA-TH ESE'!#REF!</f>
        <v>#REF!</v>
      </c>
      <c r="E53" s="98"/>
    </row>
    <row r="54" spans="2:5" ht="15.75" hidden="1" customHeight="1" x14ac:dyDescent="0.25">
      <c r="B54" s="98"/>
      <c r="C54" s="98" t="e">
        <f>'CO_attainment for FA-TH ESE'!#REF!</f>
        <v>#REF!</v>
      </c>
      <c r="D54" s="98" t="e">
        <f>'CO_attainment for FA-TH ESE'!#REF!</f>
        <v>#REF!</v>
      </c>
      <c r="E54" s="98"/>
    </row>
    <row r="55" spans="2:5" ht="15.75" hidden="1" customHeight="1" x14ac:dyDescent="0.25">
      <c r="B55" s="98"/>
      <c r="C55" s="98" t="e">
        <f>'CO_attainment for FA-TH ESE'!#REF!</f>
        <v>#REF!</v>
      </c>
      <c r="D55" s="98" t="e">
        <f>'CO_attainment for FA-TH ESE'!#REF!</f>
        <v>#REF!</v>
      </c>
      <c r="E55" s="98"/>
    </row>
    <row r="56" spans="2:5" ht="15.75" hidden="1" customHeight="1" x14ac:dyDescent="0.25">
      <c r="B56" s="98"/>
      <c r="C56" s="98" t="e">
        <f>'CO_attainment for FA-TH ESE'!#REF!</f>
        <v>#REF!</v>
      </c>
      <c r="D56" s="98" t="e">
        <f>'CO_attainment for FA-TH ESE'!#REF!</f>
        <v>#REF!</v>
      </c>
      <c r="E56" s="98"/>
    </row>
    <row r="57" spans="2:5" ht="15.75" hidden="1" customHeight="1" x14ac:dyDescent="0.25">
      <c r="B57" s="98"/>
      <c r="C57" s="98" t="e">
        <f>'CO_attainment for FA-TH ESE'!#REF!</f>
        <v>#REF!</v>
      </c>
      <c r="D57" s="98" t="e">
        <f>'CO_attainment for FA-TH ESE'!#REF!</f>
        <v>#REF!</v>
      </c>
      <c r="E57" s="98"/>
    </row>
    <row r="58" spans="2:5" ht="15.75" hidden="1" customHeight="1" x14ac:dyDescent="0.25">
      <c r="B58" s="98"/>
      <c r="C58" s="98" t="e">
        <f>'CO_attainment for FA-TH ESE'!#REF!</f>
        <v>#REF!</v>
      </c>
      <c r="D58" s="98" t="e">
        <f>'CO_attainment for FA-TH ESE'!#REF!</f>
        <v>#REF!</v>
      </c>
      <c r="E58" s="98"/>
    </row>
    <row r="59" spans="2:5" ht="15.75" hidden="1" customHeight="1" x14ac:dyDescent="0.25">
      <c r="B59" s="98"/>
      <c r="C59" s="98" t="e">
        <f>'CO_attainment for FA-TH ESE'!#REF!</f>
        <v>#REF!</v>
      </c>
      <c r="D59" s="98" t="e">
        <f>'CO_attainment for FA-TH ESE'!#REF!</f>
        <v>#REF!</v>
      </c>
      <c r="E59" s="98"/>
    </row>
    <row r="60" spans="2:5" ht="15.75" hidden="1" customHeight="1" x14ac:dyDescent="0.25">
      <c r="B60" s="98"/>
      <c r="C60" s="98" t="e">
        <f>'CO_attainment for FA-TH ESE'!#REF!</f>
        <v>#REF!</v>
      </c>
      <c r="D60" s="98" t="e">
        <f>'CO_attainment for FA-TH ESE'!#REF!</f>
        <v>#REF!</v>
      </c>
      <c r="E60" s="98"/>
    </row>
    <row r="61" spans="2:5" ht="15.75" hidden="1" customHeight="1" x14ac:dyDescent="0.25">
      <c r="B61" s="98"/>
      <c r="C61" s="98" t="e">
        <f>'CO_attainment for FA-TH ESE'!#REF!</f>
        <v>#REF!</v>
      </c>
      <c r="D61" s="98" t="e">
        <f>'CO_attainment for FA-TH ESE'!#REF!</f>
        <v>#REF!</v>
      </c>
      <c r="E61" s="98"/>
    </row>
    <row r="62" spans="2:5" ht="15.75" hidden="1" customHeight="1" x14ac:dyDescent="0.25">
      <c r="B62" s="98"/>
      <c r="C62" s="98" t="e">
        <f>'CO_attainment for FA-TH ESE'!#REF!</f>
        <v>#REF!</v>
      </c>
      <c r="D62" s="98" t="e">
        <f>'CO_attainment for FA-TH ESE'!#REF!</f>
        <v>#REF!</v>
      </c>
      <c r="E62" s="98"/>
    </row>
    <row r="63" spans="2:5" ht="15.75" hidden="1" customHeight="1" x14ac:dyDescent="0.25">
      <c r="B63" s="98"/>
      <c r="C63" s="98" t="e">
        <f>'CO_attainment for FA-TH ESE'!#REF!</f>
        <v>#REF!</v>
      </c>
      <c r="D63" s="98" t="e">
        <f>'CO_attainment for FA-TH ESE'!#REF!</f>
        <v>#REF!</v>
      </c>
      <c r="E63" s="98"/>
    </row>
    <row r="64" spans="2:5" ht="15.75" customHeight="1" x14ac:dyDescent="0.25">
      <c r="B64" s="98">
        <v>7</v>
      </c>
      <c r="C64" s="98" t="e">
        <f>'CO_attainment for FA-TH ESE'!#REF!</f>
        <v>#REF!</v>
      </c>
      <c r="D64" s="98" t="e">
        <f>'CO_attainment for FA-TH ESE'!#REF!</f>
        <v>#REF!</v>
      </c>
      <c r="E64" s="98"/>
    </row>
    <row r="65" spans="2:5" ht="15.75" hidden="1" customHeight="1" x14ac:dyDescent="0.25">
      <c r="B65" s="98"/>
      <c r="C65" s="98" t="e">
        <f>'CO_attainment for FA-TH ESE'!#REF!</f>
        <v>#REF!</v>
      </c>
      <c r="D65" s="98" t="e">
        <f>'CO_attainment for FA-TH ESE'!#REF!</f>
        <v>#REF!</v>
      </c>
      <c r="E65" s="98"/>
    </row>
    <row r="66" spans="2:5" ht="15.75" hidden="1" customHeight="1" x14ac:dyDescent="0.25">
      <c r="B66" s="98"/>
      <c r="C66" s="98" t="e">
        <f>'CO_attainment for FA-TH ESE'!#REF!</f>
        <v>#REF!</v>
      </c>
      <c r="D66" s="98" t="e">
        <f>'CO_attainment for FA-TH ESE'!#REF!</f>
        <v>#REF!</v>
      </c>
      <c r="E66" s="98"/>
    </row>
    <row r="67" spans="2:5" ht="15.75" hidden="1" customHeight="1" x14ac:dyDescent="0.25">
      <c r="B67" s="98"/>
      <c r="C67" s="98" t="e">
        <f>'CO_attainment for FA-TH ESE'!#REF!</f>
        <v>#REF!</v>
      </c>
      <c r="D67" s="98" t="e">
        <f>'CO_attainment for FA-TH ESE'!#REF!</f>
        <v>#REF!</v>
      </c>
      <c r="E67" s="98"/>
    </row>
    <row r="68" spans="2:5" ht="15.75" customHeight="1" x14ac:dyDescent="0.25">
      <c r="B68" s="98">
        <v>8</v>
      </c>
      <c r="C68" s="98" t="e">
        <f>'CO_attainment for FA-TH ESE'!#REF!</f>
        <v>#REF!</v>
      </c>
      <c r="D68" s="98" t="e">
        <f>'CO_attainment for FA-TH ESE'!#REF!</f>
        <v>#REF!</v>
      </c>
      <c r="E68" s="98"/>
    </row>
    <row r="69" spans="2:5" ht="15.75" hidden="1" customHeight="1" x14ac:dyDescent="0.25">
      <c r="B69" s="98"/>
      <c r="C69" s="98" t="e">
        <f>'CO_attainment for FA-TH ESE'!#REF!</f>
        <v>#REF!</v>
      </c>
      <c r="D69" s="98" t="e">
        <f>'CO_attainment for FA-TH ESE'!#REF!</f>
        <v>#REF!</v>
      </c>
      <c r="E69" s="98"/>
    </row>
    <row r="70" spans="2:5" ht="15.75" hidden="1" customHeight="1" x14ac:dyDescent="0.25">
      <c r="B70" s="98"/>
      <c r="C70" s="98" t="e">
        <f>'CO_attainment for FA-TH ESE'!#REF!</f>
        <v>#REF!</v>
      </c>
      <c r="D70" s="98" t="e">
        <f>'CO_attainment for FA-TH ESE'!#REF!</f>
        <v>#REF!</v>
      </c>
      <c r="E70" s="98"/>
    </row>
    <row r="71" spans="2:5" ht="15.75" customHeight="1" x14ac:dyDescent="0.25">
      <c r="B71" s="98">
        <v>9</v>
      </c>
      <c r="C71" s="98" t="e">
        <f>'CO_attainment for FA-TH ESE'!#REF!</f>
        <v>#REF!</v>
      </c>
      <c r="D71" s="98" t="e">
        <f>'CO_attainment for FA-TH ESE'!#REF!</f>
        <v>#REF!</v>
      </c>
      <c r="E71" s="98"/>
    </row>
    <row r="72" spans="2:5" ht="15.75" hidden="1" customHeight="1" x14ac:dyDescent="0.25">
      <c r="B72" s="98"/>
      <c r="C72" s="98" t="e">
        <f>'CO_attainment for FA-TH ESE'!#REF!</f>
        <v>#REF!</v>
      </c>
      <c r="D72" s="98" t="e">
        <f>'CO_attainment for FA-TH ESE'!#REF!</f>
        <v>#REF!</v>
      </c>
      <c r="E72" s="98"/>
    </row>
    <row r="73" spans="2:5" ht="15.75" customHeight="1" x14ac:dyDescent="0.25">
      <c r="B73" s="98"/>
      <c r="C73" s="98"/>
      <c r="D73" s="98"/>
      <c r="E73" s="98"/>
    </row>
    <row r="74" spans="2:5" ht="15.75" customHeight="1" x14ac:dyDescent="0.25">
      <c r="B74" s="98"/>
      <c r="C74" s="98"/>
      <c r="D74" s="98"/>
      <c r="E74" s="98"/>
    </row>
    <row r="75" spans="2:5" ht="15.75" customHeight="1" x14ac:dyDescent="0.25">
      <c r="B75" s="98"/>
      <c r="C75" s="98"/>
      <c r="D75" s="98"/>
      <c r="E75" s="98"/>
    </row>
    <row r="76" spans="2:5" ht="15.75" customHeight="1" x14ac:dyDescent="0.25">
      <c r="B76" s="98"/>
      <c r="C76" s="98"/>
      <c r="D76" s="98"/>
      <c r="E76" s="98"/>
    </row>
    <row r="77" spans="2:5" ht="15.75" customHeight="1" x14ac:dyDescent="0.25">
      <c r="B77" s="98"/>
      <c r="C77" s="98"/>
      <c r="D77" s="98"/>
      <c r="E77" s="98"/>
    </row>
    <row r="78" spans="2:5" ht="15.75" customHeight="1" x14ac:dyDescent="0.25">
      <c r="B78" s="98"/>
      <c r="C78" s="98"/>
      <c r="D78" s="98"/>
      <c r="E78" s="98"/>
    </row>
    <row r="79" spans="2:5" ht="15.75" customHeight="1" x14ac:dyDescent="0.25">
      <c r="B79" s="98"/>
      <c r="C79" s="100"/>
      <c r="D79" s="100"/>
      <c r="E79" s="100"/>
    </row>
    <row r="80" spans="2:5" ht="15.75" customHeight="1" x14ac:dyDescent="0.25">
      <c r="D80" s="101" t="s">
        <v>169</v>
      </c>
      <c r="E80" s="102">
        <f>ROUNDUP(AVERAGE(E15:E79),1)</f>
        <v>0</v>
      </c>
    </row>
    <row r="81" spans="1:7" ht="15.75" customHeight="1" x14ac:dyDescent="0.25">
      <c r="D81" s="101" t="s">
        <v>170</v>
      </c>
      <c r="E81" s="102">
        <f>(E80/5)*100</f>
        <v>0</v>
      </c>
    </row>
    <row r="82" spans="1:7" ht="15.75" customHeight="1" x14ac:dyDescent="0.25">
      <c r="A82" s="11" t="s">
        <v>171</v>
      </c>
      <c r="D82" s="94"/>
      <c r="E82" s="27"/>
    </row>
    <row r="83" spans="1:7" ht="15.75" customHeight="1" x14ac:dyDescent="0.25">
      <c r="A83" s="11" t="s">
        <v>172</v>
      </c>
      <c r="D83" s="94"/>
      <c r="E83" s="27"/>
    </row>
    <row r="84" spans="1:7" ht="15.75" customHeight="1" x14ac:dyDescent="0.25"/>
    <row r="85" spans="1:7" ht="42.75" customHeight="1" x14ac:dyDescent="0.25">
      <c r="A85" s="282" t="s">
        <v>173</v>
      </c>
      <c r="B85" s="196"/>
      <c r="C85" s="196"/>
      <c r="D85" s="197"/>
      <c r="E85" s="103" t="s">
        <v>133</v>
      </c>
    </row>
    <row r="86" spans="1:7" ht="15.75" customHeight="1" x14ac:dyDescent="0.25">
      <c r="A86" s="283" t="s">
        <v>134</v>
      </c>
      <c r="B86" s="284" t="s">
        <v>174</v>
      </c>
      <c r="C86" s="285"/>
      <c r="D86" s="264"/>
      <c r="E86" s="104">
        <v>1</v>
      </c>
    </row>
    <row r="87" spans="1:7" ht="15.75" customHeight="1" x14ac:dyDescent="0.25">
      <c r="A87" s="230"/>
      <c r="B87" s="272" t="s">
        <v>175</v>
      </c>
      <c r="C87" s="273"/>
      <c r="D87" s="251"/>
      <c r="E87" s="105">
        <v>2</v>
      </c>
    </row>
    <row r="88" spans="1:7" ht="15.75" customHeight="1" x14ac:dyDescent="0.25">
      <c r="A88" s="231"/>
      <c r="B88" s="274" t="s">
        <v>176</v>
      </c>
      <c r="C88" s="275"/>
      <c r="D88" s="224"/>
      <c r="E88" s="106">
        <v>3</v>
      </c>
    </row>
    <row r="89" spans="1:7" ht="15.75" customHeight="1" x14ac:dyDescent="0.25"/>
    <row r="90" spans="1:7" ht="30.75" customHeight="1" x14ac:dyDescent="0.25">
      <c r="A90" s="276" t="s">
        <v>161</v>
      </c>
      <c r="B90" s="268"/>
      <c r="C90" s="107" t="s">
        <v>9</v>
      </c>
      <c r="D90" s="107" t="s">
        <v>11</v>
      </c>
      <c r="E90" s="107" t="s">
        <v>13</v>
      </c>
      <c r="F90" s="107" t="s">
        <v>139</v>
      </c>
      <c r="G90" s="108" t="s">
        <v>140</v>
      </c>
    </row>
    <row r="91" spans="1:7" ht="30" customHeight="1" x14ac:dyDescent="0.25">
      <c r="A91" s="277" t="s">
        <v>177</v>
      </c>
      <c r="B91" s="259"/>
      <c r="C91" s="109">
        <f>IF(E81&gt;=80,3,IF(E81&gt;=65,2,IF(E81&gt;=40,1,0)))</f>
        <v>0</v>
      </c>
      <c r="D91" s="109">
        <f t="shared" ref="D91:G91" si="0">$C91</f>
        <v>0</v>
      </c>
      <c r="E91" s="109">
        <f t="shared" si="0"/>
        <v>0</v>
      </c>
      <c r="F91" s="109">
        <f t="shared" si="0"/>
        <v>0</v>
      </c>
      <c r="G91" s="110">
        <f t="shared" si="0"/>
        <v>0</v>
      </c>
    </row>
    <row r="92" spans="1:7" ht="15" customHeight="1" x14ac:dyDescent="0.25">
      <c r="A92" s="11" t="s">
        <v>178</v>
      </c>
      <c r="E92" s="10"/>
    </row>
    <row r="93" spans="1:7" ht="12" customHeight="1" x14ac:dyDescent="0.25">
      <c r="B93" s="11" t="s">
        <v>179</v>
      </c>
    </row>
    <row r="94" spans="1:7" ht="15.75" customHeight="1" x14ac:dyDescent="0.25"/>
    <row r="95" spans="1:7" ht="15.75" customHeight="1" x14ac:dyDescent="0.25"/>
    <row r="96" spans="1:7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E10:E13"/>
    <mergeCell ref="A85:D85"/>
    <mergeCell ref="A86:A88"/>
    <mergeCell ref="B86:D86"/>
    <mergeCell ref="B87:D87"/>
    <mergeCell ref="B88:D88"/>
    <mergeCell ref="A90:B90"/>
    <mergeCell ref="A91:B91"/>
    <mergeCell ref="B10:B14"/>
    <mergeCell ref="C10:C14"/>
    <mergeCell ref="D10:D14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000"/>
  <sheetViews>
    <sheetView workbookViewId="0"/>
  </sheetViews>
  <sheetFormatPr defaultColWidth="14.42578125" defaultRowHeight="15" customHeight="1" x14ac:dyDescent="0.25"/>
  <cols>
    <col min="1" max="3" width="8.7109375" customWidth="1"/>
    <col min="4" max="4" width="31.140625" customWidth="1"/>
    <col min="5" max="5" width="11.42578125" customWidth="1"/>
    <col min="6" max="16" width="8.7109375" customWidth="1"/>
  </cols>
  <sheetData>
    <row r="1" spans="2:16" ht="28.5" x14ac:dyDescent="0.45">
      <c r="F1" s="111" t="s">
        <v>180</v>
      </c>
      <c r="G1" s="111"/>
      <c r="H1" s="111"/>
      <c r="I1" s="3"/>
    </row>
    <row r="4" spans="2:16" ht="15.75" x14ac:dyDescent="0.25">
      <c r="B4" s="10"/>
      <c r="C4" s="12" t="s">
        <v>181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2:16" ht="15.75" x14ac:dyDescent="0.25">
      <c r="B5" s="10"/>
      <c r="C5" s="12" t="s">
        <v>182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2:16" x14ac:dyDescent="0.25">
      <c r="B6" s="186" t="s">
        <v>21</v>
      </c>
      <c r="C6" s="189" t="s">
        <v>22</v>
      </c>
      <c r="D6" s="190"/>
      <c r="E6" s="195" t="s">
        <v>23</v>
      </c>
      <c r="F6" s="196"/>
      <c r="G6" s="196"/>
      <c r="H6" s="196"/>
      <c r="I6" s="196"/>
      <c r="J6" s="196"/>
      <c r="K6" s="196"/>
      <c r="L6" s="196"/>
      <c r="M6" s="196"/>
      <c r="N6" s="197"/>
      <c r="O6" s="195" t="s">
        <v>24</v>
      </c>
      <c r="P6" s="197"/>
    </row>
    <row r="7" spans="2:16" x14ac:dyDescent="0.25">
      <c r="B7" s="187"/>
      <c r="C7" s="191"/>
      <c r="D7" s="192"/>
      <c r="E7" s="13" t="s">
        <v>25</v>
      </c>
      <c r="F7" s="13" t="s">
        <v>26</v>
      </c>
      <c r="G7" s="13" t="s">
        <v>27</v>
      </c>
      <c r="H7" s="13" t="s">
        <v>28</v>
      </c>
      <c r="I7" s="13" t="s">
        <v>29</v>
      </c>
      <c r="J7" s="13" t="s">
        <v>30</v>
      </c>
      <c r="K7" s="13" t="s">
        <v>31</v>
      </c>
      <c r="L7" s="13" t="s">
        <v>183</v>
      </c>
      <c r="M7" s="13" t="s">
        <v>184</v>
      </c>
      <c r="N7" s="13" t="s">
        <v>185</v>
      </c>
      <c r="O7" s="13" t="s">
        <v>32</v>
      </c>
      <c r="P7" s="13" t="s">
        <v>33</v>
      </c>
    </row>
    <row r="8" spans="2:16" ht="62.25" x14ac:dyDescent="0.25">
      <c r="B8" s="188"/>
      <c r="C8" s="193"/>
      <c r="D8" s="194"/>
      <c r="E8" s="15" t="s">
        <v>186</v>
      </c>
      <c r="F8" s="15" t="s">
        <v>187</v>
      </c>
      <c r="G8" s="15" t="s">
        <v>188</v>
      </c>
      <c r="H8" s="15" t="s">
        <v>189</v>
      </c>
      <c r="I8" s="15" t="s">
        <v>190</v>
      </c>
      <c r="J8" s="15" t="s">
        <v>191</v>
      </c>
      <c r="K8" s="15" t="s">
        <v>192</v>
      </c>
      <c r="L8" s="15" t="s">
        <v>193</v>
      </c>
      <c r="M8" s="15" t="s">
        <v>194</v>
      </c>
      <c r="N8" s="15" t="s">
        <v>195</v>
      </c>
      <c r="O8" s="112" t="s">
        <v>196</v>
      </c>
      <c r="P8" s="113" t="s">
        <v>197</v>
      </c>
    </row>
    <row r="9" spans="2:16" ht="63.75" customHeight="1" x14ac:dyDescent="0.25">
      <c r="B9" s="114">
        <v>1</v>
      </c>
      <c r="C9" s="18" t="s">
        <v>9</v>
      </c>
      <c r="D9" s="19" t="s">
        <v>198</v>
      </c>
      <c r="E9" s="115">
        <v>3</v>
      </c>
      <c r="F9" s="115">
        <v>3</v>
      </c>
      <c r="G9" s="115">
        <v>2</v>
      </c>
      <c r="H9" s="115">
        <v>2</v>
      </c>
      <c r="I9" s="115">
        <v>2</v>
      </c>
      <c r="J9" s="115">
        <v>2</v>
      </c>
      <c r="K9" s="115">
        <v>2</v>
      </c>
      <c r="L9" s="115">
        <v>2</v>
      </c>
      <c r="M9" s="115">
        <v>2</v>
      </c>
      <c r="N9" s="115">
        <v>3</v>
      </c>
      <c r="O9" s="115">
        <v>3</v>
      </c>
      <c r="P9" s="115">
        <v>2</v>
      </c>
    </row>
    <row r="10" spans="2:16" ht="60.75" customHeight="1" x14ac:dyDescent="0.25">
      <c r="B10" s="114">
        <v>2</v>
      </c>
      <c r="C10" s="18" t="s">
        <v>11</v>
      </c>
      <c r="D10" s="22" t="s">
        <v>199</v>
      </c>
      <c r="E10" s="115">
        <v>3</v>
      </c>
      <c r="F10" s="115">
        <v>3</v>
      </c>
      <c r="G10" s="115">
        <v>1</v>
      </c>
      <c r="H10" s="115">
        <v>2</v>
      </c>
      <c r="I10" s="115">
        <v>2</v>
      </c>
      <c r="J10" s="115">
        <v>2</v>
      </c>
      <c r="K10" s="115">
        <v>2</v>
      </c>
      <c r="L10" s="115">
        <v>2</v>
      </c>
      <c r="M10" s="115">
        <v>2</v>
      </c>
      <c r="N10" s="115">
        <v>1</v>
      </c>
      <c r="O10" s="115">
        <v>2</v>
      </c>
      <c r="P10" s="115">
        <v>2</v>
      </c>
    </row>
    <row r="11" spans="2:16" ht="57.75" customHeight="1" x14ac:dyDescent="0.25">
      <c r="B11" s="114">
        <v>3</v>
      </c>
      <c r="C11" s="18" t="s">
        <v>13</v>
      </c>
      <c r="D11" s="22" t="s">
        <v>200</v>
      </c>
      <c r="E11" s="115">
        <v>3</v>
      </c>
      <c r="F11" s="115">
        <v>3</v>
      </c>
      <c r="G11" s="115">
        <v>2</v>
      </c>
      <c r="H11" s="115">
        <v>2</v>
      </c>
      <c r="I11" s="115">
        <v>2</v>
      </c>
      <c r="J11" s="115">
        <v>3</v>
      </c>
      <c r="K11" s="115">
        <v>2</v>
      </c>
      <c r="L11" s="115">
        <v>3</v>
      </c>
      <c r="M11" s="115">
        <v>2</v>
      </c>
      <c r="N11" s="115">
        <v>2</v>
      </c>
      <c r="O11" s="115">
        <v>2</v>
      </c>
      <c r="P11" s="115">
        <v>2</v>
      </c>
    </row>
    <row r="12" spans="2:16" ht="84" customHeight="1" x14ac:dyDescent="0.25">
      <c r="B12" s="114">
        <v>4</v>
      </c>
      <c r="C12" s="18" t="s">
        <v>15</v>
      </c>
      <c r="D12" s="22" t="s">
        <v>201</v>
      </c>
      <c r="E12" s="115">
        <v>3</v>
      </c>
      <c r="F12" s="115">
        <v>3</v>
      </c>
      <c r="G12" s="115">
        <v>2</v>
      </c>
      <c r="H12" s="115">
        <v>3</v>
      </c>
      <c r="I12" s="115">
        <v>3</v>
      </c>
      <c r="J12" s="115">
        <v>2</v>
      </c>
      <c r="K12" s="115">
        <v>3</v>
      </c>
      <c r="L12" s="115">
        <v>2</v>
      </c>
      <c r="M12" s="115">
        <v>2</v>
      </c>
      <c r="N12" s="115">
        <v>3</v>
      </c>
      <c r="O12" s="115">
        <v>2</v>
      </c>
      <c r="P12" s="115">
        <v>2</v>
      </c>
    </row>
    <row r="13" spans="2:16" ht="48" customHeight="1" x14ac:dyDescent="0.25">
      <c r="B13" s="114">
        <v>5</v>
      </c>
      <c r="C13" s="18" t="s">
        <v>17</v>
      </c>
      <c r="D13" s="22" t="s">
        <v>202</v>
      </c>
      <c r="E13" s="115">
        <v>3</v>
      </c>
      <c r="F13" s="115">
        <v>3</v>
      </c>
      <c r="G13" s="115">
        <v>3</v>
      </c>
      <c r="H13" s="115">
        <v>3</v>
      </c>
      <c r="I13" s="115">
        <v>2</v>
      </c>
      <c r="J13" s="115">
        <v>2</v>
      </c>
      <c r="K13" s="115">
        <v>1</v>
      </c>
      <c r="L13" s="115">
        <v>3</v>
      </c>
      <c r="M13" s="115">
        <v>2</v>
      </c>
      <c r="N13" s="115">
        <v>2</v>
      </c>
      <c r="O13" s="115">
        <v>3</v>
      </c>
      <c r="P13" s="115">
        <v>3</v>
      </c>
    </row>
    <row r="14" spans="2:16" ht="48" customHeight="1" x14ac:dyDescent="0.25">
      <c r="B14" s="114">
        <v>6</v>
      </c>
      <c r="C14" s="18" t="s">
        <v>203</v>
      </c>
      <c r="D14" s="22" t="s">
        <v>204</v>
      </c>
      <c r="E14" s="115">
        <v>3</v>
      </c>
      <c r="F14" s="115">
        <v>3</v>
      </c>
      <c r="G14" s="115">
        <v>2</v>
      </c>
      <c r="H14" s="115">
        <v>2</v>
      </c>
      <c r="I14" s="115">
        <v>1</v>
      </c>
      <c r="J14" s="115">
        <v>2</v>
      </c>
      <c r="K14" s="115">
        <v>1</v>
      </c>
      <c r="L14" s="115">
        <v>1</v>
      </c>
      <c r="M14" s="115">
        <v>2</v>
      </c>
      <c r="N14" s="115">
        <v>1</v>
      </c>
      <c r="O14" s="115">
        <v>2</v>
      </c>
      <c r="P14" s="115">
        <v>2</v>
      </c>
    </row>
    <row r="15" spans="2:16" x14ac:dyDescent="0.25">
      <c r="B15" s="286" t="s">
        <v>205</v>
      </c>
      <c r="C15" s="196"/>
      <c r="D15" s="197"/>
      <c r="E15" s="116">
        <f t="shared" ref="E15:P15" si="0">ROUNDUP(AVERAGE(E9:E14),2)</f>
        <v>3</v>
      </c>
      <c r="F15" s="116">
        <f t="shared" si="0"/>
        <v>3</v>
      </c>
      <c r="G15" s="116">
        <f t="shared" si="0"/>
        <v>2</v>
      </c>
      <c r="H15" s="116">
        <f t="shared" si="0"/>
        <v>2.34</v>
      </c>
      <c r="I15" s="116">
        <f t="shared" si="0"/>
        <v>2</v>
      </c>
      <c r="J15" s="116">
        <f t="shared" si="0"/>
        <v>2.17</v>
      </c>
      <c r="K15" s="116">
        <f t="shared" si="0"/>
        <v>1.84</v>
      </c>
      <c r="L15" s="116">
        <f t="shared" si="0"/>
        <v>2.17</v>
      </c>
      <c r="M15" s="116">
        <f t="shared" si="0"/>
        <v>2</v>
      </c>
      <c r="N15" s="116">
        <f t="shared" si="0"/>
        <v>2</v>
      </c>
      <c r="O15" s="116">
        <f t="shared" si="0"/>
        <v>2.34</v>
      </c>
      <c r="P15" s="116">
        <f t="shared" si="0"/>
        <v>2.17</v>
      </c>
    </row>
    <row r="16" spans="2:16" x14ac:dyDescent="0.25">
      <c r="B16" s="287" t="s">
        <v>206</v>
      </c>
      <c r="C16" s="196"/>
      <c r="D16" s="197"/>
      <c r="E16" s="117">
        <f t="shared" ref="E16:P16" si="1">ROUNDUP((E15*2.66)/3,2)</f>
        <v>2.66</v>
      </c>
      <c r="F16" s="117">
        <f t="shared" si="1"/>
        <v>2.66</v>
      </c>
      <c r="G16" s="117">
        <f t="shared" si="1"/>
        <v>1.78</v>
      </c>
      <c r="H16" s="117">
        <f t="shared" si="1"/>
        <v>2.0799999999999996</v>
      </c>
      <c r="I16" s="117">
        <f t="shared" si="1"/>
        <v>1.78</v>
      </c>
      <c r="J16" s="117">
        <f t="shared" si="1"/>
        <v>1.93</v>
      </c>
      <c r="K16" s="117">
        <f t="shared" si="1"/>
        <v>1.64</v>
      </c>
      <c r="L16" s="117">
        <f t="shared" si="1"/>
        <v>1.93</v>
      </c>
      <c r="M16" s="117">
        <f t="shared" si="1"/>
        <v>1.78</v>
      </c>
      <c r="N16" s="117">
        <f t="shared" si="1"/>
        <v>1.78</v>
      </c>
      <c r="O16" s="117">
        <f t="shared" si="1"/>
        <v>2.0799999999999996</v>
      </c>
      <c r="P16" s="117">
        <f t="shared" si="1"/>
        <v>1.93</v>
      </c>
    </row>
    <row r="17" spans="2:16" x14ac:dyDescent="0.25">
      <c r="B17" s="287" t="s">
        <v>207</v>
      </c>
      <c r="C17" s="196"/>
      <c r="D17" s="197"/>
      <c r="E17" s="117">
        <f t="shared" ref="E17:P17" si="2">ROUNDUP((E16/3)*100,2)</f>
        <v>88.67</v>
      </c>
      <c r="F17" s="117">
        <f t="shared" si="2"/>
        <v>88.67</v>
      </c>
      <c r="G17" s="117">
        <f t="shared" si="2"/>
        <v>59.339999999999996</v>
      </c>
      <c r="H17" s="117">
        <f t="shared" si="2"/>
        <v>69.34</v>
      </c>
      <c r="I17" s="117">
        <f t="shared" si="2"/>
        <v>59.339999999999996</v>
      </c>
      <c r="J17" s="117">
        <f t="shared" si="2"/>
        <v>64.34</v>
      </c>
      <c r="K17" s="117">
        <f t="shared" si="2"/>
        <v>54.669999999999995</v>
      </c>
      <c r="L17" s="117">
        <f t="shared" si="2"/>
        <v>64.34</v>
      </c>
      <c r="M17" s="117">
        <f t="shared" si="2"/>
        <v>59.339999999999996</v>
      </c>
      <c r="N17" s="117">
        <f t="shared" si="2"/>
        <v>59.339999999999996</v>
      </c>
      <c r="O17" s="117">
        <f t="shared" si="2"/>
        <v>69.34</v>
      </c>
      <c r="P17" s="117">
        <f t="shared" si="2"/>
        <v>64.34</v>
      </c>
    </row>
    <row r="21" spans="2:16" ht="15.75" customHeight="1" x14ac:dyDescent="0.25"/>
    <row r="22" spans="2:16" ht="15.75" customHeight="1" x14ac:dyDescent="0.25"/>
    <row r="23" spans="2:16" ht="15.75" customHeight="1" x14ac:dyDescent="0.25"/>
    <row r="24" spans="2:16" ht="15.75" customHeight="1" x14ac:dyDescent="0.25"/>
    <row r="25" spans="2:16" ht="15.75" customHeight="1" x14ac:dyDescent="0.25"/>
    <row r="26" spans="2:16" ht="15.75" customHeight="1" x14ac:dyDescent="0.25"/>
    <row r="27" spans="2:16" ht="15.75" customHeight="1" x14ac:dyDescent="0.25"/>
    <row r="28" spans="2:16" ht="15.75" customHeight="1" x14ac:dyDescent="0.25"/>
    <row r="29" spans="2:16" ht="15.75" customHeight="1" x14ac:dyDescent="0.25"/>
    <row r="30" spans="2:16" ht="15.75" customHeight="1" x14ac:dyDescent="0.25"/>
    <row r="31" spans="2:16" ht="15.75" customHeight="1" x14ac:dyDescent="0.25"/>
    <row r="32" spans="2:1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B16:D16"/>
    <mergeCell ref="B17:D17"/>
    <mergeCell ref="B6:B8"/>
    <mergeCell ref="C6:D8"/>
    <mergeCell ref="E6:N6"/>
    <mergeCell ref="O6:P6"/>
    <mergeCell ref="B15:D15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Z1000"/>
  <sheetViews>
    <sheetView showGridLines="0" workbookViewId="0"/>
  </sheetViews>
  <sheetFormatPr defaultColWidth="14.42578125" defaultRowHeight="15" customHeight="1" x14ac:dyDescent="0.25"/>
  <cols>
    <col min="1" max="1" width="9.140625" customWidth="1"/>
    <col min="2" max="2" width="7.140625" customWidth="1"/>
    <col min="3" max="3" width="19" customWidth="1"/>
    <col min="4" max="4" width="26.85546875" customWidth="1"/>
    <col min="5" max="5" width="9.7109375" customWidth="1"/>
    <col min="6" max="6" width="7.140625" customWidth="1"/>
    <col min="7" max="7" width="6.5703125" customWidth="1"/>
    <col min="8" max="8" width="10.28515625" customWidth="1"/>
    <col min="9" max="9" width="13.7109375" customWidth="1"/>
    <col min="10" max="10" width="10.7109375" customWidth="1"/>
    <col min="11" max="26" width="9.140625" customWidth="1"/>
  </cols>
  <sheetData>
    <row r="1" spans="1:26" ht="23.25" x14ac:dyDescent="0.25">
      <c r="A1" s="10"/>
      <c r="B1" s="10"/>
      <c r="C1" s="10"/>
      <c r="D1" s="10"/>
      <c r="E1" s="118" t="s">
        <v>208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x14ac:dyDescent="0.25">
      <c r="A3" s="10"/>
      <c r="B3" s="6"/>
      <c r="C3" s="5" t="s">
        <v>1</v>
      </c>
      <c r="D3" s="55" t="str">
        <f>'CO_attainment for Indirect'!D4</f>
        <v>SEMINAR AND PROJECT INITIATION COURSE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x14ac:dyDescent="0.25">
      <c r="A4" s="10"/>
      <c r="B4" s="6"/>
      <c r="C4" s="5" t="s">
        <v>3</v>
      </c>
      <c r="D4" s="55">
        <f>'CO_attainment for Indirect'!D5</f>
        <v>315003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x14ac:dyDescent="0.25">
      <c r="A5" s="10"/>
      <c r="B5" s="6"/>
      <c r="C5" s="5" t="s">
        <v>53</v>
      </c>
      <c r="D5" s="55" t="str">
        <f>'CO_attainment for Indirect'!D6</f>
        <v>5th Sem Co5K K-Scheme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x14ac:dyDescent="0.25">
      <c r="A6" s="10"/>
      <c r="B6" s="6"/>
      <c r="C6" s="5" t="s">
        <v>155</v>
      </c>
      <c r="D6" s="55" t="str">
        <f>'CO_attain_SLA_FA-PR_SA-PR'!D7</f>
        <v>2025-26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1" x14ac:dyDescent="0.25">
      <c r="A8" s="10"/>
      <c r="B8" s="10"/>
      <c r="C8" s="288" t="s">
        <v>209</v>
      </c>
      <c r="D8" s="196"/>
      <c r="E8" s="196"/>
      <c r="F8" s="196"/>
      <c r="G8" s="196"/>
      <c r="H8" s="196"/>
      <c r="I8" s="196"/>
      <c r="J8" s="197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x14ac:dyDescent="0.25">
      <c r="A9" s="10"/>
      <c r="B9" s="10"/>
      <c r="C9" s="289" t="s">
        <v>210</v>
      </c>
      <c r="D9" s="196"/>
      <c r="E9" s="196"/>
      <c r="F9" s="196"/>
      <c r="G9" s="196"/>
      <c r="H9" s="197"/>
      <c r="I9" s="290" t="s">
        <v>211</v>
      </c>
      <c r="J9" s="19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x14ac:dyDescent="0.25">
      <c r="A10" s="10"/>
      <c r="B10" s="10"/>
      <c r="C10" s="291" t="s">
        <v>212</v>
      </c>
      <c r="D10" s="292" t="s">
        <v>213</v>
      </c>
      <c r="E10" s="293"/>
      <c r="F10" s="293"/>
      <c r="G10" s="194"/>
      <c r="H10" s="119" t="s">
        <v>214</v>
      </c>
      <c r="I10" s="193"/>
      <c r="J10" s="194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45.75" customHeight="1" x14ac:dyDescent="0.25">
      <c r="A11" s="10"/>
      <c r="B11" s="10"/>
      <c r="C11" s="188"/>
      <c r="D11" s="120" t="s">
        <v>215</v>
      </c>
      <c r="E11" s="121" t="s">
        <v>216</v>
      </c>
      <c r="F11" s="121" t="s">
        <v>217</v>
      </c>
      <c r="G11" s="122" t="s">
        <v>218</v>
      </c>
      <c r="H11" s="123" t="s">
        <v>219</v>
      </c>
      <c r="I11" s="294" t="s">
        <v>220</v>
      </c>
      <c r="J11" s="197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x14ac:dyDescent="0.25">
      <c r="A12" s="10"/>
      <c r="B12" s="10"/>
      <c r="C12" s="124" t="s">
        <v>9</v>
      </c>
      <c r="D12" s="125">
        <f>'CO_Attainment for Unit Tests'!D110</f>
        <v>0</v>
      </c>
      <c r="E12" s="126">
        <f>'CO_attain_SLA_FA-PR_SA-PR'!C111</f>
        <v>3</v>
      </c>
      <c r="F12" s="126">
        <f>'CO_attain_SLA_FA-PR_SA-PR'!C110</f>
        <v>3</v>
      </c>
      <c r="G12" s="126">
        <f>'CO_attain_SLA_FA-PR_SA-PR'!C112</f>
        <v>3</v>
      </c>
      <c r="H12" s="127">
        <f>'CO_attainment for FA-TH ESE'!C110</f>
        <v>0</v>
      </c>
      <c r="I12" s="295">
        <f>'CO_attainment for Indirect'!C91</f>
        <v>0</v>
      </c>
      <c r="J12" s="264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x14ac:dyDescent="0.25">
      <c r="A13" s="10"/>
      <c r="B13" s="10"/>
      <c r="C13" s="128" t="s">
        <v>11</v>
      </c>
      <c r="D13" s="129">
        <f>'CO_Attainment for Unit Tests'!E110</f>
        <v>0</v>
      </c>
      <c r="E13" s="130">
        <f t="shared" ref="E13:E17" si="0">$E12</f>
        <v>3</v>
      </c>
      <c r="F13" s="130">
        <f t="shared" ref="F13:F17" si="1">$F12</f>
        <v>3</v>
      </c>
      <c r="G13" s="130">
        <f t="shared" ref="G13:G17" si="2">$G12</f>
        <v>3</v>
      </c>
      <c r="H13" s="131">
        <f t="shared" ref="H13:H17" si="3">$H12</f>
        <v>0</v>
      </c>
      <c r="I13" s="299">
        <f t="shared" ref="I13:I17" si="4">$I12</f>
        <v>0</v>
      </c>
      <c r="J13" s="25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x14ac:dyDescent="0.25">
      <c r="A14" s="10"/>
      <c r="B14" s="10"/>
      <c r="C14" s="128" t="s">
        <v>13</v>
      </c>
      <c r="D14" s="129">
        <f>'CO_Attainment for Unit Tests'!F110</f>
        <v>0</v>
      </c>
      <c r="E14" s="130">
        <f t="shared" si="0"/>
        <v>3</v>
      </c>
      <c r="F14" s="130">
        <f t="shared" si="1"/>
        <v>3</v>
      </c>
      <c r="G14" s="130">
        <f t="shared" si="2"/>
        <v>3</v>
      </c>
      <c r="H14" s="131">
        <f t="shared" si="3"/>
        <v>0</v>
      </c>
      <c r="I14" s="299">
        <f t="shared" si="4"/>
        <v>0</v>
      </c>
      <c r="J14" s="25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x14ac:dyDescent="0.25">
      <c r="A15" s="10"/>
      <c r="B15" s="10"/>
      <c r="C15" s="128" t="s">
        <v>15</v>
      </c>
      <c r="D15" s="129">
        <f>'CO_Attainment for Unit Tests'!G110</f>
        <v>0</v>
      </c>
      <c r="E15" s="130">
        <f t="shared" si="0"/>
        <v>3</v>
      </c>
      <c r="F15" s="130">
        <f t="shared" si="1"/>
        <v>3</v>
      </c>
      <c r="G15" s="130">
        <f t="shared" si="2"/>
        <v>3</v>
      </c>
      <c r="H15" s="131">
        <f t="shared" si="3"/>
        <v>0</v>
      </c>
      <c r="I15" s="299">
        <f t="shared" si="4"/>
        <v>0</v>
      </c>
      <c r="J15" s="25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x14ac:dyDescent="0.25">
      <c r="A16" s="10"/>
      <c r="B16" s="10"/>
      <c r="C16" s="128" t="s">
        <v>17</v>
      </c>
      <c r="D16" s="129">
        <f>'CO_Attainment for Unit Tests'!H110</f>
        <v>0</v>
      </c>
      <c r="E16" s="130">
        <f t="shared" si="0"/>
        <v>3</v>
      </c>
      <c r="F16" s="130">
        <f t="shared" si="1"/>
        <v>3</v>
      </c>
      <c r="G16" s="130">
        <f t="shared" si="2"/>
        <v>3</v>
      </c>
      <c r="H16" s="131">
        <f t="shared" si="3"/>
        <v>0</v>
      </c>
      <c r="I16" s="299">
        <f t="shared" si="4"/>
        <v>0</v>
      </c>
      <c r="J16" s="25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x14ac:dyDescent="0.25">
      <c r="A17" s="10"/>
      <c r="B17" s="10"/>
      <c r="C17" s="132" t="s">
        <v>203</v>
      </c>
      <c r="D17" s="133">
        <f>'CO_Attainment for Unit Tests'!I110</f>
        <v>0</v>
      </c>
      <c r="E17" s="134">
        <f t="shared" si="0"/>
        <v>3</v>
      </c>
      <c r="F17" s="134">
        <f t="shared" si="1"/>
        <v>3</v>
      </c>
      <c r="G17" s="134">
        <f t="shared" si="2"/>
        <v>3</v>
      </c>
      <c r="H17" s="135">
        <f t="shared" si="3"/>
        <v>0</v>
      </c>
      <c r="I17" s="299">
        <f t="shared" si="4"/>
        <v>0</v>
      </c>
      <c r="J17" s="25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x14ac:dyDescent="0.25">
      <c r="A18" s="10"/>
      <c r="B18" s="10"/>
      <c r="C18" s="124" t="s">
        <v>221</v>
      </c>
      <c r="D18" s="125">
        <f t="shared" ref="D18:I18" si="5">ROUND(AVERAGE(D12:D17),2)</f>
        <v>0</v>
      </c>
      <c r="E18" s="126">
        <f t="shared" si="5"/>
        <v>3</v>
      </c>
      <c r="F18" s="126">
        <f t="shared" si="5"/>
        <v>3</v>
      </c>
      <c r="G18" s="126">
        <f t="shared" si="5"/>
        <v>3</v>
      </c>
      <c r="H18" s="127">
        <f t="shared" si="5"/>
        <v>0</v>
      </c>
      <c r="I18" s="295">
        <f t="shared" si="5"/>
        <v>0</v>
      </c>
      <c r="J18" s="264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27" customHeight="1" x14ac:dyDescent="0.25">
      <c r="A19" s="10"/>
      <c r="B19" s="10"/>
      <c r="C19" s="136" t="s">
        <v>222</v>
      </c>
      <c r="D19" s="137">
        <v>10</v>
      </c>
      <c r="E19" s="137">
        <v>10</v>
      </c>
      <c r="F19" s="137">
        <v>10</v>
      </c>
      <c r="G19" s="137">
        <v>10</v>
      </c>
      <c r="H19" s="137">
        <v>60</v>
      </c>
      <c r="I19" s="300">
        <v>100</v>
      </c>
      <c r="J19" s="185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1.5" customHeight="1" x14ac:dyDescent="0.25">
      <c r="A20" s="10"/>
      <c r="B20" s="10"/>
      <c r="C20" s="138" t="s">
        <v>223</v>
      </c>
      <c r="D20" s="133">
        <f t="shared" ref="D20:I20" si="6">D18*D19/100</f>
        <v>0</v>
      </c>
      <c r="E20" s="133">
        <f t="shared" si="6"/>
        <v>0.3</v>
      </c>
      <c r="F20" s="133">
        <f t="shared" si="6"/>
        <v>0.3</v>
      </c>
      <c r="G20" s="133">
        <f t="shared" si="6"/>
        <v>0.3</v>
      </c>
      <c r="H20" s="133">
        <f t="shared" si="6"/>
        <v>0</v>
      </c>
      <c r="I20" s="296">
        <f t="shared" si="6"/>
        <v>0</v>
      </c>
      <c r="J20" s="224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48" customHeight="1" x14ac:dyDescent="0.25">
      <c r="A21" s="10"/>
      <c r="B21" s="10"/>
      <c r="C21" s="297" t="s">
        <v>224</v>
      </c>
      <c r="D21" s="196"/>
      <c r="E21" s="196"/>
      <c r="F21" s="196"/>
      <c r="G21" s="197"/>
      <c r="H21" s="139">
        <f>SUM(D20:H20)</f>
        <v>0.89999999999999991</v>
      </c>
      <c r="I21" s="140" t="s">
        <v>225</v>
      </c>
      <c r="J21" s="139">
        <f>I20</f>
        <v>0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22.5" customHeight="1" x14ac:dyDescent="0.25">
      <c r="A22" s="10"/>
      <c r="B22" s="10"/>
      <c r="C22" s="297" t="s">
        <v>226</v>
      </c>
      <c r="D22" s="196"/>
      <c r="E22" s="196"/>
      <c r="F22" s="196"/>
      <c r="G22" s="197"/>
      <c r="H22" s="141">
        <v>0.8</v>
      </c>
      <c r="I22" s="142" t="s">
        <v>227</v>
      </c>
      <c r="J22" s="141">
        <v>0.2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45" customHeight="1" x14ac:dyDescent="0.25">
      <c r="A23" s="10"/>
      <c r="B23" s="10"/>
      <c r="C23" s="297" t="s">
        <v>228</v>
      </c>
      <c r="D23" s="196"/>
      <c r="E23" s="196"/>
      <c r="F23" s="196"/>
      <c r="G23" s="197"/>
      <c r="H23" s="139">
        <f>0.8*H21</f>
        <v>0.72</v>
      </c>
      <c r="I23" s="140" t="s">
        <v>229</v>
      </c>
      <c r="J23" s="142">
        <f>0.2*J21</f>
        <v>0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25.5" customHeight="1" x14ac:dyDescent="0.25">
      <c r="A24" s="10"/>
      <c r="B24" s="10"/>
      <c r="C24" s="298" t="s">
        <v>230</v>
      </c>
      <c r="D24" s="196"/>
      <c r="E24" s="196"/>
      <c r="F24" s="196"/>
      <c r="G24" s="196"/>
      <c r="H24" s="197"/>
      <c r="I24" s="143">
        <f>ROUNDUP(H23+J23,2)</f>
        <v>0.72</v>
      </c>
      <c r="J24" s="144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25">
      <c r="A30" s="10"/>
      <c r="B30" s="10"/>
      <c r="C30" s="10"/>
      <c r="D30" s="10"/>
      <c r="E30" s="10"/>
      <c r="F30" s="10"/>
      <c r="G30" s="10" t="s">
        <v>231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 x14ac:dyDescent="0.25">
      <c r="A31" s="10"/>
      <c r="B31" s="10"/>
      <c r="C31" s="10"/>
      <c r="D31" s="10"/>
      <c r="E31" s="10"/>
      <c r="F31" s="10"/>
      <c r="G31" s="10" t="s">
        <v>232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60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48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48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48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48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48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48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">
    <mergeCell ref="C24:H24"/>
    <mergeCell ref="I13:J13"/>
    <mergeCell ref="I14:J14"/>
    <mergeCell ref="I15:J15"/>
    <mergeCell ref="I16:J16"/>
    <mergeCell ref="I17:J17"/>
    <mergeCell ref="I18:J18"/>
    <mergeCell ref="I19:J19"/>
    <mergeCell ref="I12:J12"/>
    <mergeCell ref="I20:J20"/>
    <mergeCell ref="C21:G21"/>
    <mergeCell ref="C22:G22"/>
    <mergeCell ref="C23:G23"/>
    <mergeCell ref="C8:J8"/>
    <mergeCell ref="C9:H9"/>
    <mergeCell ref="I9:J10"/>
    <mergeCell ref="C10:C11"/>
    <mergeCell ref="D10:G10"/>
    <mergeCell ref="I11:J11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Z1000"/>
  <sheetViews>
    <sheetView showGridLines="0" topLeftCell="A3" workbookViewId="0">
      <selection activeCell="I10" sqref="I10"/>
    </sheetView>
  </sheetViews>
  <sheetFormatPr defaultColWidth="14.42578125" defaultRowHeight="15" customHeight="1" x14ac:dyDescent="0.25"/>
  <cols>
    <col min="1" max="1" width="9.140625" customWidth="1"/>
    <col min="2" max="2" width="7.140625" customWidth="1"/>
    <col min="3" max="3" width="19" customWidth="1"/>
    <col min="4" max="4" width="26.85546875" customWidth="1"/>
    <col min="5" max="5" width="10.28515625" customWidth="1"/>
    <col min="6" max="6" width="7.28515625" customWidth="1"/>
    <col min="7" max="7" width="9.7109375" customWidth="1"/>
    <col min="8" max="8" width="12.7109375" customWidth="1"/>
    <col min="9" max="9" width="11.7109375" customWidth="1"/>
    <col min="10" max="10" width="14.140625" customWidth="1"/>
    <col min="11" max="11" width="7.85546875" customWidth="1"/>
    <col min="12" max="26" width="9.140625" customWidth="1"/>
  </cols>
  <sheetData>
    <row r="1" spans="1:26" ht="23.25" x14ac:dyDescent="0.25">
      <c r="A1" s="10"/>
      <c r="B1" s="10"/>
      <c r="C1" s="10"/>
      <c r="D1" s="10"/>
      <c r="E1" s="118" t="s">
        <v>208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x14ac:dyDescent="0.25">
      <c r="A3" s="10"/>
      <c r="B3" s="6"/>
      <c r="C3" s="5" t="s">
        <v>1</v>
      </c>
      <c r="D3" s="91" t="str">
        <f>'CO_attainment for Indirect'!D4</f>
        <v>SEMINAR AND PROJECT INITIATION COURSE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x14ac:dyDescent="0.25">
      <c r="A4" s="10"/>
      <c r="B4" s="6"/>
      <c r="C4" s="5" t="s">
        <v>3</v>
      </c>
      <c r="D4" s="91">
        <f>'CO_attainment for Indirect'!D5</f>
        <v>315003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x14ac:dyDescent="0.25">
      <c r="A5" s="10"/>
      <c r="B5" s="6"/>
      <c r="C5" s="5" t="s">
        <v>53</v>
      </c>
      <c r="D5" s="91" t="str">
        <f>'CO_attainment for Indirect'!D6</f>
        <v>5th Sem Co5K K-Scheme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x14ac:dyDescent="0.25">
      <c r="A6" s="10"/>
      <c r="B6" s="6"/>
      <c r="C6" s="5" t="s">
        <v>155</v>
      </c>
      <c r="D6" s="91" t="str">
        <f>'CO_attain_SLA_FA-PR_SA-PR'!D7</f>
        <v>2025-26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25">
      <c r="A7" s="10"/>
      <c r="B7" s="6"/>
      <c r="C7" s="5"/>
      <c r="D7" s="94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x14ac:dyDescent="0.25">
      <c r="A8" s="10"/>
      <c r="B8" s="6"/>
      <c r="C8" s="301" t="s">
        <v>233</v>
      </c>
      <c r="D8" s="302"/>
      <c r="E8" s="304" t="s">
        <v>234</v>
      </c>
      <c r="F8" s="285"/>
      <c r="G8" s="259"/>
      <c r="H8" s="145" t="s">
        <v>235</v>
      </c>
      <c r="I8" s="145" t="s">
        <v>236</v>
      </c>
      <c r="J8" s="145" t="s">
        <v>237</v>
      </c>
      <c r="K8" s="305" t="s">
        <v>238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0" x14ac:dyDescent="0.25">
      <c r="A9" s="10"/>
      <c r="B9" s="6"/>
      <c r="C9" s="193"/>
      <c r="D9" s="303"/>
      <c r="E9" s="146" t="s">
        <v>239</v>
      </c>
      <c r="F9" s="146" t="s">
        <v>240</v>
      </c>
      <c r="G9" s="146" t="s">
        <v>241</v>
      </c>
      <c r="H9" s="146" t="s">
        <v>216</v>
      </c>
      <c r="I9" s="146" t="s">
        <v>242</v>
      </c>
      <c r="J9" s="147" t="s">
        <v>219</v>
      </c>
      <c r="K9" s="306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9.5" customHeight="1" x14ac:dyDescent="0.25">
      <c r="A10" s="10"/>
      <c r="B10" s="6"/>
      <c r="C10" s="307" t="s">
        <v>243</v>
      </c>
      <c r="D10" s="259"/>
      <c r="E10" s="308">
        <v>0</v>
      </c>
      <c r="F10" s="259"/>
      <c r="G10" s="148">
        <v>25</v>
      </c>
      <c r="H10" s="148">
        <v>25</v>
      </c>
      <c r="I10" s="148">
        <v>25</v>
      </c>
      <c r="J10" s="148">
        <v>0</v>
      </c>
      <c r="K10" s="127">
        <f t="shared" ref="K10:K11" si="0">SUM(E10:J10)</f>
        <v>75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7.25" customHeight="1" x14ac:dyDescent="0.25">
      <c r="A11" s="10"/>
      <c r="B11" s="6"/>
      <c r="C11" s="309" t="s">
        <v>244</v>
      </c>
      <c r="D11" s="261"/>
      <c r="E11" s="310">
        <f>(E10/$K10)*100</f>
        <v>0</v>
      </c>
      <c r="F11" s="261"/>
      <c r="G11" s="149">
        <f t="shared" ref="G11:J11" si="1">(G10/$K10)*100</f>
        <v>33.333333333333329</v>
      </c>
      <c r="H11" s="149">
        <f t="shared" si="1"/>
        <v>33.333333333333329</v>
      </c>
      <c r="I11" s="149">
        <f t="shared" si="1"/>
        <v>33.333333333333329</v>
      </c>
      <c r="J11" s="149">
        <f t="shared" si="1"/>
        <v>0</v>
      </c>
      <c r="K11" s="150">
        <f t="shared" si="0"/>
        <v>99.999999999999986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x14ac:dyDescent="0.25">
      <c r="A12" s="10"/>
      <c r="B12" s="6"/>
      <c r="C12" s="5"/>
      <c r="D12" s="94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x14ac:dyDescent="0.25">
      <c r="A13" s="10"/>
      <c r="B13" s="6"/>
      <c r="C13" s="5"/>
      <c r="D13" s="94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21" x14ac:dyDescent="0.25">
      <c r="A15" s="10"/>
      <c r="B15" s="10"/>
      <c r="C15" s="311" t="s">
        <v>209</v>
      </c>
      <c r="D15" s="196"/>
      <c r="E15" s="196"/>
      <c r="F15" s="196"/>
      <c r="G15" s="196"/>
      <c r="H15" s="196"/>
      <c r="I15" s="196"/>
      <c r="J15" s="197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21" x14ac:dyDescent="0.25">
      <c r="A16" s="10"/>
      <c r="B16" s="10"/>
      <c r="C16" s="312" t="s">
        <v>210</v>
      </c>
      <c r="D16" s="196"/>
      <c r="E16" s="196"/>
      <c r="F16" s="196"/>
      <c r="G16" s="196"/>
      <c r="H16" s="197"/>
      <c r="I16" s="313"/>
      <c r="J16" s="19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x14ac:dyDescent="0.25">
      <c r="A17" s="10"/>
      <c r="B17" s="10"/>
      <c r="C17" s="314" t="s">
        <v>245</v>
      </c>
      <c r="D17" s="151"/>
      <c r="E17" s="152" t="s">
        <v>213</v>
      </c>
      <c r="F17" s="153"/>
      <c r="G17" s="154"/>
      <c r="H17" s="155" t="s">
        <v>214</v>
      </c>
      <c r="I17" s="193"/>
      <c r="J17" s="194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45.75" customHeight="1" x14ac:dyDescent="0.25">
      <c r="A18" s="10"/>
      <c r="B18" s="10"/>
      <c r="C18" s="188"/>
      <c r="D18" s="156" t="s">
        <v>215</v>
      </c>
      <c r="E18" s="157" t="s">
        <v>216</v>
      </c>
      <c r="F18" s="157" t="s">
        <v>217</v>
      </c>
      <c r="G18" s="158" t="s">
        <v>218</v>
      </c>
      <c r="H18" s="159" t="s">
        <v>219</v>
      </c>
      <c r="I18" s="315"/>
      <c r="J18" s="197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x14ac:dyDescent="0.25">
      <c r="A19" s="10"/>
      <c r="B19" s="10"/>
      <c r="C19" s="160" t="s">
        <v>9</v>
      </c>
      <c r="D19" s="161">
        <f>'CO_Attainment for Unit Tests'!D110</f>
        <v>0</v>
      </c>
      <c r="E19" s="145">
        <f>'CO_attain_SLA_FA-PR_SA-PR'!C111</f>
        <v>3</v>
      </c>
      <c r="F19" s="145">
        <f>'CO_attain_SLA_FA-PR_SA-PR'!C110</f>
        <v>3</v>
      </c>
      <c r="G19" s="145">
        <f>'CO_attain_SLA_FA-PR_SA-PR'!C112</f>
        <v>3</v>
      </c>
      <c r="H19" s="162">
        <f>'CO_attainment for FA-TH ESE'!C110</f>
        <v>0</v>
      </c>
      <c r="I19" s="316"/>
      <c r="J19" s="264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x14ac:dyDescent="0.25">
      <c r="A20" s="10"/>
      <c r="B20" s="10"/>
      <c r="C20" s="163" t="s">
        <v>11</v>
      </c>
      <c r="D20" s="164">
        <f>'CO_Attainment for Unit Tests'!E110</f>
        <v>0</v>
      </c>
      <c r="E20" s="165">
        <f t="shared" ref="E20:E24" si="2">$E19</f>
        <v>3</v>
      </c>
      <c r="F20" s="165">
        <f t="shared" ref="F20:F24" si="3">$F19</f>
        <v>3</v>
      </c>
      <c r="G20" s="165">
        <f t="shared" ref="G20:G24" si="4">$G19</f>
        <v>3</v>
      </c>
      <c r="H20" s="166">
        <f t="shared" ref="H20:H24" si="5">$H19</f>
        <v>0</v>
      </c>
      <c r="I20" s="317"/>
      <c r="J20" s="25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 x14ac:dyDescent="0.25">
      <c r="A21" s="10"/>
      <c r="B21" s="10"/>
      <c r="C21" s="163" t="s">
        <v>13</v>
      </c>
      <c r="D21" s="164">
        <f>'CO_Attainment for Unit Tests'!F110</f>
        <v>0</v>
      </c>
      <c r="E21" s="165">
        <f t="shared" si="2"/>
        <v>3</v>
      </c>
      <c r="F21" s="165">
        <f t="shared" si="3"/>
        <v>3</v>
      </c>
      <c r="G21" s="165">
        <f t="shared" si="4"/>
        <v>3</v>
      </c>
      <c r="H21" s="166">
        <f t="shared" si="5"/>
        <v>0</v>
      </c>
      <c r="I21" s="317"/>
      <c r="J21" s="25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 x14ac:dyDescent="0.25">
      <c r="A22" s="10"/>
      <c r="B22" s="10"/>
      <c r="C22" s="163" t="s">
        <v>15</v>
      </c>
      <c r="D22" s="164">
        <f>'CO_Attainment for Unit Tests'!G110</f>
        <v>0</v>
      </c>
      <c r="E22" s="165">
        <f t="shared" si="2"/>
        <v>3</v>
      </c>
      <c r="F22" s="165">
        <f t="shared" si="3"/>
        <v>3</v>
      </c>
      <c r="G22" s="165">
        <f t="shared" si="4"/>
        <v>3</v>
      </c>
      <c r="H22" s="166">
        <f t="shared" si="5"/>
        <v>0</v>
      </c>
      <c r="I22" s="317"/>
      <c r="J22" s="25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 x14ac:dyDescent="0.25">
      <c r="A23" s="10"/>
      <c r="B23" s="10"/>
      <c r="C23" s="163" t="s">
        <v>17</v>
      </c>
      <c r="D23" s="164">
        <f>'CO_Attainment for Unit Tests'!H110</f>
        <v>0</v>
      </c>
      <c r="E23" s="165">
        <f t="shared" si="2"/>
        <v>3</v>
      </c>
      <c r="F23" s="165">
        <f t="shared" si="3"/>
        <v>3</v>
      </c>
      <c r="G23" s="165">
        <f t="shared" si="4"/>
        <v>3</v>
      </c>
      <c r="H23" s="166">
        <f t="shared" si="5"/>
        <v>0</v>
      </c>
      <c r="I23" s="317"/>
      <c r="J23" s="25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 x14ac:dyDescent="0.25">
      <c r="A24" s="10"/>
      <c r="B24" s="10"/>
      <c r="C24" s="167" t="s">
        <v>203</v>
      </c>
      <c r="D24" s="168">
        <f>'CO_Attainment for Unit Tests'!I110</f>
        <v>0</v>
      </c>
      <c r="E24" s="147">
        <f t="shared" si="2"/>
        <v>3</v>
      </c>
      <c r="F24" s="147">
        <f t="shared" si="3"/>
        <v>3</v>
      </c>
      <c r="G24" s="147">
        <f t="shared" si="4"/>
        <v>3</v>
      </c>
      <c r="H24" s="169">
        <f t="shared" si="5"/>
        <v>0</v>
      </c>
      <c r="I24" s="317"/>
      <c r="J24" s="251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25">
      <c r="A25" s="10"/>
      <c r="B25" s="10"/>
      <c r="C25" s="160" t="s">
        <v>221</v>
      </c>
      <c r="D25" s="161">
        <f t="shared" ref="D25:H25" si="6">ROUND(AVERAGE(D19:D24),2)</f>
        <v>0</v>
      </c>
      <c r="E25" s="145">
        <f t="shared" si="6"/>
        <v>3</v>
      </c>
      <c r="F25" s="145">
        <f t="shared" si="6"/>
        <v>3</v>
      </c>
      <c r="G25" s="145">
        <f t="shared" si="6"/>
        <v>3</v>
      </c>
      <c r="H25" s="162">
        <f t="shared" si="6"/>
        <v>0</v>
      </c>
      <c r="I25" s="316"/>
      <c r="J25" s="264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25">
      <c r="A26" s="10"/>
      <c r="B26" s="10"/>
      <c r="C26" s="170" t="s">
        <v>222</v>
      </c>
      <c r="D26" s="171">
        <f>E11</f>
        <v>0</v>
      </c>
      <c r="E26" s="171">
        <f>H11</f>
        <v>33.333333333333329</v>
      </c>
      <c r="F26" s="171">
        <f>G11</f>
        <v>33.333333333333329</v>
      </c>
      <c r="G26" s="171">
        <f t="shared" ref="G26:H26" si="7">I11</f>
        <v>33.333333333333329</v>
      </c>
      <c r="H26" s="171">
        <f t="shared" si="7"/>
        <v>0</v>
      </c>
      <c r="I26" s="321"/>
      <c r="J26" s="25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 x14ac:dyDescent="0.25">
      <c r="A27" s="10"/>
      <c r="B27" s="10"/>
      <c r="C27" s="172" t="s">
        <v>223</v>
      </c>
      <c r="D27" s="173">
        <f t="shared" ref="D27:H27" si="8">D25*D26/100</f>
        <v>0</v>
      </c>
      <c r="E27" s="173">
        <f t="shared" si="8"/>
        <v>0.99999999999999989</v>
      </c>
      <c r="F27" s="173">
        <f t="shared" si="8"/>
        <v>0.99999999999999989</v>
      </c>
      <c r="G27" s="173">
        <f t="shared" si="8"/>
        <v>0.99999999999999989</v>
      </c>
      <c r="H27" s="173">
        <f t="shared" si="8"/>
        <v>0</v>
      </c>
      <c r="I27" s="322"/>
      <c r="J27" s="224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0" customHeight="1" x14ac:dyDescent="0.25">
      <c r="A28" s="10"/>
      <c r="B28" s="10"/>
      <c r="C28" s="318" t="s">
        <v>224</v>
      </c>
      <c r="D28" s="196"/>
      <c r="E28" s="196"/>
      <c r="F28" s="196"/>
      <c r="G28" s="197"/>
      <c r="H28" s="174">
        <f>SUM(D27:H27)</f>
        <v>2.9999999999999996</v>
      </c>
      <c r="I28" s="175"/>
      <c r="J28" s="176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 x14ac:dyDescent="0.25">
      <c r="A29" s="10"/>
      <c r="B29" s="10"/>
      <c r="C29" s="318" t="s">
        <v>226</v>
      </c>
      <c r="D29" s="196"/>
      <c r="E29" s="196"/>
      <c r="F29" s="196"/>
      <c r="G29" s="197"/>
      <c r="H29" s="177">
        <v>1</v>
      </c>
      <c r="I29" s="178"/>
      <c r="J29" s="177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62.25" customHeight="1" x14ac:dyDescent="0.25">
      <c r="A30" s="10"/>
      <c r="B30" s="10"/>
      <c r="C30" s="318" t="s">
        <v>228</v>
      </c>
      <c r="D30" s="196"/>
      <c r="E30" s="196"/>
      <c r="F30" s="196"/>
      <c r="G30" s="197"/>
      <c r="H30" s="174">
        <f>H29*H28</f>
        <v>2.9999999999999996</v>
      </c>
      <c r="I30" s="175"/>
      <c r="J30" s="178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25.5" customHeight="1" x14ac:dyDescent="0.25">
      <c r="A31" s="10"/>
      <c r="B31" s="10"/>
      <c r="C31" s="319" t="s">
        <v>230</v>
      </c>
      <c r="D31" s="196"/>
      <c r="E31" s="196"/>
      <c r="F31" s="196"/>
      <c r="G31" s="196"/>
      <c r="H31" s="197"/>
      <c r="I31" s="179">
        <f>H30+J30</f>
        <v>2.9999999999999996</v>
      </c>
      <c r="J31" s="18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 x14ac:dyDescent="0.25">
      <c r="A34" s="10"/>
      <c r="B34" s="10"/>
      <c r="C34" s="10"/>
      <c r="D34" s="10"/>
      <c r="E34" s="10"/>
      <c r="F34" s="10"/>
      <c r="G34" s="10"/>
      <c r="H34" s="209" t="s">
        <v>46</v>
      </c>
      <c r="I34" s="207"/>
      <c r="J34" s="207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 x14ac:dyDescent="0.25">
      <c r="A35" s="10"/>
      <c r="B35" s="10"/>
      <c r="C35" s="10"/>
      <c r="D35" s="10"/>
      <c r="E35" s="10"/>
      <c r="F35" s="10"/>
      <c r="G35" s="10"/>
      <c r="H35" s="320" t="s">
        <v>47</v>
      </c>
      <c r="I35" s="202"/>
      <c r="J35" s="203"/>
      <c r="K35" s="11"/>
      <c r="L35" s="11"/>
      <c r="M35" s="1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60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48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48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48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48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48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48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7">
    <mergeCell ref="C31:H31"/>
    <mergeCell ref="H34:J34"/>
    <mergeCell ref="H35:J35"/>
    <mergeCell ref="I21:J21"/>
    <mergeCell ref="I22:J22"/>
    <mergeCell ref="I23:J23"/>
    <mergeCell ref="I24:J24"/>
    <mergeCell ref="I25:J25"/>
    <mergeCell ref="I26:J26"/>
    <mergeCell ref="I27:J27"/>
    <mergeCell ref="I19:J19"/>
    <mergeCell ref="I20:J20"/>
    <mergeCell ref="C28:G28"/>
    <mergeCell ref="C29:G29"/>
    <mergeCell ref="C30:G30"/>
    <mergeCell ref="C11:D11"/>
    <mergeCell ref="E11:F11"/>
    <mergeCell ref="C15:J15"/>
    <mergeCell ref="C16:H16"/>
    <mergeCell ref="I16:J17"/>
    <mergeCell ref="C17:C18"/>
    <mergeCell ref="I18:J18"/>
    <mergeCell ref="C8:D9"/>
    <mergeCell ref="E8:G8"/>
    <mergeCell ref="K8:K9"/>
    <mergeCell ref="C10:D10"/>
    <mergeCell ref="E10:F10"/>
  </mergeCells>
  <pageMargins left="0.7" right="0.7" top="0.75" bottom="0.75" header="0" footer="0"/>
  <pageSetup orientation="landscape"/>
  <colBreaks count="1" manualBreakCount="1">
    <brk id="12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Y1000"/>
  <sheetViews>
    <sheetView topLeftCell="A11" workbookViewId="0">
      <selection activeCell="L12" sqref="L12"/>
    </sheetView>
  </sheetViews>
  <sheetFormatPr defaultColWidth="14.42578125" defaultRowHeight="15" customHeight="1" x14ac:dyDescent="0.25"/>
  <cols>
    <col min="1" max="1" width="11" customWidth="1"/>
    <col min="2" max="2" width="12" customWidth="1"/>
    <col min="3" max="3" width="13.28515625" customWidth="1"/>
    <col min="4" max="4" width="37.85546875" customWidth="1"/>
    <col min="5" max="5" width="17.7109375" customWidth="1"/>
    <col min="6" max="7" width="11.7109375" customWidth="1"/>
    <col min="8" max="8" width="13.5703125" customWidth="1"/>
    <col min="9" max="9" width="16.42578125" customWidth="1"/>
    <col min="10" max="13" width="11.7109375" customWidth="1"/>
    <col min="14" max="25" width="9.140625" customWidth="1"/>
  </cols>
  <sheetData>
    <row r="1" spans="1:25" ht="28.5" x14ac:dyDescent="0.45">
      <c r="A1" s="11"/>
      <c r="B1" s="11"/>
      <c r="C1" s="11"/>
      <c r="D1" s="11"/>
      <c r="E1" s="111" t="s">
        <v>246</v>
      </c>
      <c r="F1" s="111"/>
      <c r="G1" s="111"/>
      <c r="H1" s="3"/>
      <c r="I1" s="3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 x14ac:dyDescent="0.25">
      <c r="A2" s="11"/>
      <c r="B2" s="11"/>
      <c r="C2" s="5" t="s">
        <v>1</v>
      </c>
      <c r="D2" s="238" t="str">
        <f>'Overall CO attainment'!D3</f>
        <v>SEMINAR AND PROJECT INITIATION COURSE</v>
      </c>
      <c r="E2" s="18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x14ac:dyDescent="0.25">
      <c r="A3" s="11"/>
      <c r="B3" s="11"/>
      <c r="C3" s="5" t="s">
        <v>3</v>
      </c>
      <c r="D3" s="238">
        <f>'Overall CO attainment'!D4</f>
        <v>315003</v>
      </c>
      <c r="E3" s="18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x14ac:dyDescent="0.25">
      <c r="A4" s="11"/>
      <c r="B4" s="11"/>
      <c r="C4" s="5" t="s">
        <v>4</v>
      </c>
      <c r="D4" s="238" t="str">
        <f>'Overall CO attainment'!D5</f>
        <v>5th Sem Co5K K-Scheme</v>
      </c>
      <c r="E4" s="185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x14ac:dyDescent="0.25">
      <c r="A5" s="11"/>
      <c r="B5" s="11"/>
      <c r="C5" s="5" t="s">
        <v>155</v>
      </c>
      <c r="D5" s="238" t="str">
        <f>'Overall CO attainment'!D6</f>
        <v>2025-26</v>
      </c>
      <c r="E5" s="185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x14ac:dyDescent="0.25">
      <c r="A6" s="11"/>
      <c r="B6" s="11"/>
      <c r="C6" s="11"/>
      <c r="D6" s="65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ht="18.75" x14ac:dyDescent="0.25">
      <c r="A7" s="11"/>
      <c r="B7" s="9"/>
      <c r="C7" s="10"/>
      <c r="D7" s="11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ht="15.75" x14ac:dyDescent="0.25">
      <c r="A8" s="11"/>
      <c r="B8" s="12" t="s">
        <v>247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x14ac:dyDescent="0.25">
      <c r="A9" s="11"/>
      <c r="B9" s="186" t="s">
        <v>21</v>
      </c>
      <c r="C9" s="189" t="s">
        <v>22</v>
      </c>
      <c r="D9" s="190"/>
      <c r="E9" s="195" t="s">
        <v>23</v>
      </c>
      <c r="F9" s="196"/>
      <c r="G9" s="196"/>
      <c r="H9" s="196"/>
      <c r="I9" s="196"/>
      <c r="J9" s="196"/>
      <c r="K9" s="197"/>
      <c r="L9" s="198" t="s">
        <v>24</v>
      </c>
      <c r="M9" s="197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ht="15.75" customHeight="1" x14ac:dyDescent="0.25">
      <c r="A10" s="11"/>
      <c r="B10" s="187"/>
      <c r="C10" s="191"/>
      <c r="D10" s="192"/>
      <c r="E10" s="13" t="s">
        <v>25</v>
      </c>
      <c r="F10" s="13" t="s">
        <v>26</v>
      </c>
      <c r="G10" s="13" t="s">
        <v>27</v>
      </c>
      <c r="H10" s="13" t="s">
        <v>28</v>
      </c>
      <c r="I10" s="13" t="s">
        <v>29</v>
      </c>
      <c r="J10" s="13" t="s">
        <v>30</v>
      </c>
      <c r="K10" s="13" t="s">
        <v>31</v>
      </c>
      <c r="L10" s="14" t="s">
        <v>32</v>
      </c>
      <c r="M10" s="14" t="s">
        <v>33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ht="119.25" customHeight="1" x14ac:dyDescent="0.25">
      <c r="A11" s="11"/>
      <c r="B11" s="188"/>
      <c r="C11" s="193"/>
      <c r="D11" s="194"/>
      <c r="E11" s="15" t="s">
        <v>34</v>
      </c>
      <c r="F11" s="15" t="s">
        <v>35</v>
      </c>
      <c r="G11" s="15" t="s">
        <v>36</v>
      </c>
      <c r="H11" s="15" t="s">
        <v>37</v>
      </c>
      <c r="I11" s="15" t="s">
        <v>38</v>
      </c>
      <c r="J11" s="15" t="s">
        <v>39</v>
      </c>
      <c r="K11" s="15" t="s">
        <v>40</v>
      </c>
      <c r="L11" s="16" t="s">
        <v>41</v>
      </c>
      <c r="M11" s="16" t="s">
        <v>42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 ht="40.5" customHeight="1" x14ac:dyDescent="0.25">
      <c r="A12" s="11"/>
      <c r="B12" s="17">
        <f>'PO Set Target attain level'!B19</f>
        <v>1</v>
      </c>
      <c r="C12" s="18" t="str">
        <f>'PO Set Target attain level'!C19</f>
        <v>CO1</v>
      </c>
      <c r="D12" s="19" t="str">
        <f>'PO Set Target attain level'!D19</f>
        <v>Identify topics of seminar presenting to the large gathering at the institute/conference.</v>
      </c>
      <c r="E12" s="181">
        <f>'PO Set Target attain level'!E19</f>
        <v>3</v>
      </c>
      <c r="F12" s="181">
        <f>'PO Set Target attain level'!F19</f>
        <v>1</v>
      </c>
      <c r="G12" s="181" t="str">
        <f>'PO Set Target attain level'!G19</f>
        <v>-</v>
      </c>
      <c r="H12" s="181" t="str">
        <f>'PO Set Target attain level'!H19</f>
        <v>-</v>
      </c>
      <c r="I12" s="181">
        <f>'PO Set Target attain level'!I19</f>
        <v>2</v>
      </c>
      <c r="J12" s="181">
        <f>'PO Set Target attain level'!J19</f>
        <v>2</v>
      </c>
      <c r="K12" s="181">
        <f>'PO Set Target attain level'!K19</f>
        <v>3</v>
      </c>
      <c r="L12" s="181">
        <f>'PO Set Target attain level'!L19</f>
        <v>1</v>
      </c>
      <c r="M12" s="181" t="str">
        <f>'PO Set Target attain level'!M19</f>
        <v>-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ht="40.5" customHeight="1" x14ac:dyDescent="0.25">
      <c r="A13" s="11"/>
      <c r="B13" s="17">
        <f>'PO Set Target attain level'!B20</f>
        <v>2</v>
      </c>
      <c r="C13" s="18" t="str">
        <f>'PO Set Target attain level'!C20</f>
        <v>CO2</v>
      </c>
      <c r="D13" s="22" t="str">
        <f>'PO Set Target attain level'!D20</f>
        <v>Collect relevant and updated research-based data and information to prepare a paper of seminar presentation.</v>
      </c>
      <c r="E13" s="181">
        <f>'PO Set Target attain level'!E20</f>
        <v>2</v>
      </c>
      <c r="F13" s="181" t="str">
        <f>'PO Set Target attain level'!F20</f>
        <v>-</v>
      </c>
      <c r="G13" s="181">
        <f>'PO Set Target attain level'!G20</f>
        <v>2</v>
      </c>
      <c r="H13" s="181" t="str">
        <f>'PO Set Target attain level'!H20</f>
        <v>-</v>
      </c>
      <c r="I13" s="181">
        <f>'PO Set Target attain level'!I20</f>
        <v>2</v>
      </c>
      <c r="J13" s="181">
        <f>'PO Set Target attain level'!J20</f>
        <v>1</v>
      </c>
      <c r="K13" s="181">
        <f>'PO Set Target attain level'!K20</f>
        <v>3</v>
      </c>
      <c r="L13" s="181">
        <f>'PO Set Target attain level'!L20</f>
        <v>2</v>
      </c>
      <c r="M13" s="181">
        <f>'PO Set Target attain level'!M20</f>
        <v>1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ht="40.5" customHeight="1" x14ac:dyDescent="0.25">
      <c r="A14" s="11"/>
      <c r="B14" s="17">
        <f>'PO Set Target attain level'!B21</f>
        <v>3</v>
      </c>
      <c r="C14" s="18" t="str">
        <f>'PO Set Target attain level'!C21</f>
        <v>CO3</v>
      </c>
      <c r="D14" s="22" t="str">
        <f>'PO Set Target attain level'!D21</f>
        <v>Apply presentation skills.</v>
      </c>
      <c r="E14" s="181">
        <f>'PO Set Target attain level'!E21</f>
        <v>3</v>
      </c>
      <c r="F14" s="181">
        <f>'PO Set Target attain level'!F21</f>
        <v>1</v>
      </c>
      <c r="G14" s="181">
        <f>'PO Set Target attain level'!G21</f>
        <v>1</v>
      </c>
      <c r="H14" s="181">
        <f>'PO Set Target attain level'!H21</f>
        <v>2</v>
      </c>
      <c r="I14" s="181">
        <f>'PO Set Target attain level'!I21</f>
        <v>1</v>
      </c>
      <c r="J14" s="181">
        <f>'PO Set Target attain level'!J21</f>
        <v>2</v>
      </c>
      <c r="K14" s="181">
        <f>'PO Set Target attain level'!K21</f>
        <v>3</v>
      </c>
      <c r="L14" s="181">
        <f>'PO Set Target attain level'!L21</f>
        <v>1</v>
      </c>
      <c r="M14" s="181" t="str">
        <f>'PO Set Target attain level'!M21</f>
        <v>-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ht="40.5" customHeight="1" x14ac:dyDescent="0.25">
      <c r="A15" s="11"/>
      <c r="B15" s="17">
        <f>'PO Set Target attain level'!B22</f>
        <v>4</v>
      </c>
      <c r="C15" s="18" t="str">
        <f>'PO Set Target attain level'!C22</f>
        <v>CO4</v>
      </c>
      <c r="D15" s="22" t="str">
        <f>'PO Set Target attain level'!D22</f>
        <v>Create conducive environment for learning and discussion through seminar presentation.</v>
      </c>
      <c r="E15" s="181">
        <f>'PO Set Target attain level'!E22</f>
        <v>2</v>
      </c>
      <c r="F15" s="181" t="str">
        <f>'PO Set Target attain level'!F22</f>
        <v>-</v>
      </c>
      <c r="G15" s="181" t="str">
        <f>'PO Set Target attain level'!G22</f>
        <v>-</v>
      </c>
      <c r="H15" s="181">
        <f>'PO Set Target attain level'!H22</f>
        <v>2</v>
      </c>
      <c r="I15" s="181">
        <f>'PO Set Target attain level'!I22</f>
        <v>1</v>
      </c>
      <c r="J15" s="181">
        <f>'PO Set Target attain level'!J22</f>
        <v>2</v>
      </c>
      <c r="K15" s="181">
        <f>'PO Set Target attain level'!K22</f>
        <v>3</v>
      </c>
      <c r="L15" s="181" t="str">
        <f>'PO Set Target attain level'!L22</f>
        <v>-</v>
      </c>
      <c r="M15" s="181" t="str">
        <f>'PO Set Target attain level'!M22</f>
        <v>-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ht="40.5" customHeight="1" x14ac:dyDescent="0.25">
      <c r="A16" s="11"/>
      <c r="B16" s="17">
        <f>'PO Set Target attain level'!B23</f>
        <v>5</v>
      </c>
      <c r="C16" s="18" t="str">
        <f>'PO Set Target attain level'!C23</f>
        <v>CO5</v>
      </c>
      <c r="D16" s="22" t="str">
        <f>'PO Set Target attain level'!D23</f>
        <v>Identify a problem statement and establish the action plan for the successful completion of the project.</v>
      </c>
      <c r="E16" s="181">
        <v>2</v>
      </c>
      <c r="F16" s="181">
        <f>'PO Set Target attain level'!F23</f>
        <v>3</v>
      </c>
      <c r="G16" s="181">
        <f>'PO Set Target attain level'!G23</f>
        <v>3</v>
      </c>
      <c r="H16" s="181">
        <f>'PO Set Target attain level'!H23</f>
        <v>2</v>
      </c>
      <c r="I16" s="181">
        <f>'PO Set Target attain level'!I23</f>
        <v>2</v>
      </c>
      <c r="J16" s="181">
        <f>'PO Set Target attain level'!J23</f>
        <v>3</v>
      </c>
      <c r="K16" s="181">
        <f>'PO Set Target attain level'!K23</f>
        <v>3</v>
      </c>
      <c r="L16" s="181">
        <f>'PO Set Target attain level'!L23</f>
        <v>2</v>
      </c>
      <c r="M16" s="181">
        <f>'PO Set Target attain level'!M23</f>
        <v>3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ht="33.75" customHeight="1" x14ac:dyDescent="0.25">
      <c r="A17" s="11"/>
      <c r="B17" s="199" t="s">
        <v>248</v>
      </c>
      <c r="C17" s="196"/>
      <c r="D17" s="197"/>
      <c r="E17" s="18">
        <f t="shared" ref="E17:K17" si="0">IFERROR(AVERAGE(E12:E16),0)</f>
        <v>2.4</v>
      </c>
      <c r="F17" s="18">
        <f t="shared" si="0"/>
        <v>1.6666666666666667</v>
      </c>
      <c r="G17" s="18">
        <f t="shared" si="0"/>
        <v>2</v>
      </c>
      <c r="H17" s="18">
        <f t="shared" si="0"/>
        <v>2</v>
      </c>
      <c r="I17" s="18">
        <f t="shared" si="0"/>
        <v>1.6</v>
      </c>
      <c r="J17" s="18">
        <f t="shared" si="0"/>
        <v>2</v>
      </c>
      <c r="K17" s="18">
        <f t="shared" si="0"/>
        <v>3</v>
      </c>
      <c r="L17" s="23">
        <f t="shared" ref="L17:M17" si="1">IFERROR(AVERAGE(L12:L16),2)</f>
        <v>1.5</v>
      </c>
      <c r="M17" s="23">
        <f t="shared" si="1"/>
        <v>2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28.5" customHeight="1" x14ac:dyDescent="0.25">
      <c r="A18" s="11"/>
      <c r="B18" s="200" t="s">
        <v>249</v>
      </c>
      <c r="C18" s="196"/>
      <c r="D18" s="197"/>
      <c r="E18" s="182">
        <f>E17*'Overall CO attainment'!I31/3</f>
        <v>2.3999999999999995</v>
      </c>
      <c r="F18" s="182">
        <f>F17*'Overall CO attainment'!I31/3</f>
        <v>1.6666666666666663</v>
      </c>
      <c r="G18" s="182">
        <f>G17*'Overall CO attainment'!I31/3</f>
        <v>1.9999999999999998</v>
      </c>
      <c r="H18" s="182">
        <f>H17*'Overall CO attainment'!I31/3</f>
        <v>1.9999999999999998</v>
      </c>
      <c r="I18" s="182">
        <f>I17*'Overall CO attainment'!I31/3</f>
        <v>1.5999999999999999</v>
      </c>
      <c r="J18" s="182">
        <f>J17*'Overall CO attainment'!I31/3</f>
        <v>1.9999999999999998</v>
      </c>
      <c r="K18" s="182">
        <f>K17*'Overall CO attainment'!I31/3</f>
        <v>2.9999999999999996</v>
      </c>
      <c r="L18" s="26">
        <f t="shared" ref="L18:M18" si="2">L17</f>
        <v>1.5</v>
      </c>
      <c r="M18" s="26">
        <f t="shared" si="2"/>
        <v>2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 ht="15.75" hidden="1" customHeight="1" x14ac:dyDescent="0.25">
      <c r="A19" s="11"/>
      <c r="B19" s="287" t="s">
        <v>207</v>
      </c>
      <c r="C19" s="196"/>
      <c r="D19" s="197"/>
      <c r="E19" s="117">
        <f t="shared" ref="E19:M19" si="3">ROUNDUP((E18/3)*100,2)</f>
        <v>80</v>
      </c>
      <c r="F19" s="117">
        <f t="shared" si="3"/>
        <v>55.559999999999995</v>
      </c>
      <c r="G19" s="117">
        <f t="shared" si="3"/>
        <v>66.67</v>
      </c>
      <c r="H19" s="117">
        <f t="shared" si="3"/>
        <v>66.67</v>
      </c>
      <c r="I19" s="117">
        <f t="shared" si="3"/>
        <v>53.339999999999996</v>
      </c>
      <c r="J19" s="117">
        <f t="shared" si="3"/>
        <v>66.67</v>
      </c>
      <c r="K19" s="117">
        <f t="shared" si="3"/>
        <v>100</v>
      </c>
      <c r="L19" s="117">
        <f t="shared" si="3"/>
        <v>50</v>
      </c>
      <c r="M19" s="117">
        <f t="shared" si="3"/>
        <v>66.67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ht="15.75" customHeight="1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ht="15.75" customHeight="1" x14ac:dyDescent="0.25">
      <c r="A21" s="11"/>
      <c r="B21" s="11"/>
      <c r="C21" s="11"/>
      <c r="D21" s="11"/>
      <c r="E21" s="183"/>
      <c r="F21" s="183"/>
      <c r="G21" s="183"/>
      <c r="H21" s="183"/>
      <c r="I21" s="183"/>
      <c r="J21" s="183"/>
      <c r="K21" s="183"/>
      <c r="L21" s="183"/>
      <c r="M21" s="183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ht="15.75" customHeight="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209" t="s">
        <v>46</v>
      </c>
      <c r="K22" s="207"/>
      <c r="L22" s="207"/>
      <c r="M22" s="207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ht="15.75" customHeight="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201" t="s">
        <v>47</v>
      </c>
      <c r="K23" s="202"/>
      <c r="L23" s="202"/>
      <c r="M23" s="203"/>
      <c r="N23" s="28"/>
      <c r="O23" s="28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ht="15.75" customHeight="1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ht="15.75" customHeight="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ht="15.75" customHeight="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ht="15.75" customHeigh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25" ht="15.75" customHeight="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1:25" ht="15.75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25" ht="15.75" customHeight="1" x14ac:dyDescent="0.25">
      <c r="A30" s="11"/>
      <c r="B30" s="11"/>
      <c r="C30" s="11"/>
      <c r="D30" s="11"/>
      <c r="E30" s="11"/>
      <c r="F30" s="11"/>
      <c r="G30" s="11"/>
      <c r="H30" s="10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spans="1:25" ht="15.75" customHeight="1" x14ac:dyDescent="0.25">
      <c r="A31" s="11"/>
      <c r="B31" s="11"/>
      <c r="C31" s="11"/>
      <c r="D31" s="11"/>
      <c r="E31" s="11"/>
      <c r="F31" s="11"/>
      <c r="G31" s="11"/>
      <c r="H31" s="10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 ht="15.7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5" ht="15.75" customHeight="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 ht="15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spans="1:25" ht="15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spans="1:25" ht="15.7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 ht="15.7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 ht="15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 ht="15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ht="15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1:25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1:25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1:25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1:25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1:25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1:25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1:25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1:25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1:25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1:25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1:25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1:25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1:25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1:25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1:25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1:25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1:25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1:25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1:25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1:25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1:25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1:25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1:25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1:25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1:25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1:25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1:25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1:25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1:25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1:25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1:25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1:25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1:25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1:25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1:25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1:25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1:25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1:25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1:25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1:25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1:25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1:25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1:25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1:25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1:25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1:25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1:25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1:25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1:25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1:25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1:25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1:25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1:25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1:25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1:25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1:25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1:25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1:25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1:25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spans="1:25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spans="1:25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spans="1:25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spans="1:25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spans="1:2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L9:M9"/>
    <mergeCell ref="J22:M22"/>
    <mergeCell ref="J23:M23"/>
    <mergeCell ref="C9:D11"/>
    <mergeCell ref="B17:D17"/>
    <mergeCell ref="B18:D18"/>
    <mergeCell ref="B19:D19"/>
    <mergeCell ref="D2:E2"/>
    <mergeCell ref="D3:E3"/>
    <mergeCell ref="D4:E4"/>
    <mergeCell ref="D5:E5"/>
    <mergeCell ref="B9:B11"/>
    <mergeCell ref="E9:K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E55ED-1BD9-4879-81BE-C24DF698C736}">
  <dimension ref="A4:A12"/>
  <sheetViews>
    <sheetView tabSelected="1" workbookViewId="0">
      <selection activeCell="A4" sqref="A4"/>
    </sheetView>
  </sheetViews>
  <sheetFormatPr defaultRowHeight="15" x14ac:dyDescent="0.25"/>
  <sheetData>
    <row r="4" spans="1:1" ht="17.25" x14ac:dyDescent="0.25">
      <c r="A4" s="323" t="s">
        <v>251</v>
      </c>
    </row>
    <row r="5" spans="1:1" x14ac:dyDescent="0.25">
      <c r="A5" s="324"/>
    </row>
    <row r="6" spans="1:1" x14ac:dyDescent="0.25">
      <c r="A6" s="325" t="s">
        <v>252</v>
      </c>
    </row>
    <row r="7" spans="1:1" x14ac:dyDescent="0.25">
      <c r="A7" s="324"/>
    </row>
    <row r="8" spans="1:1" x14ac:dyDescent="0.25">
      <c r="A8" s="325" t="s">
        <v>253</v>
      </c>
    </row>
    <row r="9" spans="1:1" x14ac:dyDescent="0.25">
      <c r="A9" s="324"/>
    </row>
    <row r="10" spans="1:1" x14ac:dyDescent="0.25">
      <c r="A10" s="325" t="s">
        <v>254</v>
      </c>
    </row>
    <row r="11" spans="1:1" x14ac:dyDescent="0.25">
      <c r="A11" s="324"/>
    </row>
    <row r="12" spans="1:1" x14ac:dyDescent="0.25">
      <c r="A12" s="325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 Set Target attain level</vt:lpstr>
      <vt:lpstr>CO_Attainment for Unit Tests</vt:lpstr>
      <vt:lpstr>CO_attainment for FA-TH ESE</vt:lpstr>
      <vt:lpstr>CO_attain_SLA_FA-PR_SA-PR</vt:lpstr>
      <vt:lpstr>CO_attainment for Indirect</vt:lpstr>
      <vt:lpstr>CO_PO Mapping Attainment </vt:lpstr>
      <vt:lpstr>Overall CO attainment (2)</vt:lpstr>
      <vt:lpstr>Overall CO attainment</vt:lpstr>
      <vt:lpstr>CO_PO Mapping Attainment_PO7</vt:lpstr>
      <vt:lpstr>Justification for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MSBTE-Osmanabad-028</cp:lastModifiedBy>
  <dcterms:created xsi:type="dcterms:W3CDTF">2019-05-31T18:42:57Z</dcterms:created>
  <dcterms:modified xsi:type="dcterms:W3CDTF">2026-06-17T11:02:33Z</dcterms:modified>
</cp:coreProperties>
</file>