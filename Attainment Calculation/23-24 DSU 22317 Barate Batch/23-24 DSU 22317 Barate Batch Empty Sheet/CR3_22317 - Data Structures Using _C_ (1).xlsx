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 Set Target attain level" sheetId="1" r:id="rId4"/>
    <sheet state="visible" name="CO_Attainment for Unit Tests" sheetId="2" r:id="rId5"/>
    <sheet state="visible" name="CO_attainment for FA-TH ESE" sheetId="3" r:id="rId6"/>
    <sheet state="visible" name="CO_attain_SLA_FA-PR_SA-PR" sheetId="4" r:id="rId7"/>
    <sheet state="hidden" name="CO_attainment for Indirect" sheetId="5" r:id="rId8"/>
    <sheet state="hidden" name="CO_PO Mapping Attainment " sheetId="6" r:id="rId9"/>
    <sheet state="hidden" name="Overall CO attainment (2)" sheetId="7" r:id="rId10"/>
    <sheet state="visible" name="Overall CO attainment" sheetId="8" r:id="rId11"/>
    <sheet state="visible" name="CO_PO Mapping Attainment_PO7" sheetId="9" r:id="rId12"/>
  </sheets>
  <definedNames/>
  <calcPr/>
  <extLst>
    <ext uri="GoogleSheetsCustomDataVersion2">
      <go:sheetsCustomData xmlns:go="http://customooxmlschemas.google.com/" r:id="rId13" roundtripDataChecksum="jaS/xDxyzx9KEF/pxNiWHB0f+cEeYX5bMEgqfJrGUs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======
ID#AAAB84YcYks
hp    (2023-02-03 10:38:19)
Max. marks</t>
      </text>
    </comment>
  </commentList>
  <extLst>
    <ext uri="GoogleSheetsCustomDataVersion2">
      <go:sheetsCustomData xmlns:go="http://customooxmlschemas.google.com/" r:id="rId1" roundtripDataSignature="AMtx7miLOtNQwIGTqg4CDt+chKsSxdcklA=="/>
    </ext>
  </extLst>
</comments>
</file>

<file path=xl/sharedStrings.xml><?xml version="1.0" encoding="utf-8"?>
<sst xmlns="http://schemas.openxmlformats.org/spreadsheetml/2006/main" count="403" uniqueCount="250">
  <si>
    <t xml:space="preserve">                        PO-CO Mapping (Targetted Level) - Course Articulation Matrix</t>
  </si>
  <si>
    <t>Course Name :</t>
  </si>
  <si>
    <t>Data Structures Using _C</t>
  </si>
  <si>
    <t>Course Code :</t>
  </si>
  <si>
    <t xml:space="preserve">Program/Scheme-MSBTE Inst.code : </t>
  </si>
  <si>
    <t>3rd SEM(CO3I SCHEME)</t>
  </si>
  <si>
    <t>Academic Year :</t>
  </si>
  <si>
    <t>2023-24</t>
  </si>
  <si>
    <t>Course Outcomes :</t>
  </si>
  <si>
    <t>CO1</t>
  </si>
  <si>
    <t>Perform basic operations on arrays</t>
  </si>
  <si>
    <t>CO2</t>
  </si>
  <si>
    <t xml:space="preserve"> Apply different searching and sorting techniques.</t>
  </si>
  <si>
    <t>CO3</t>
  </si>
  <si>
    <t>Implement basic operations on stack and queue using array representation</t>
  </si>
  <si>
    <t>CO4</t>
  </si>
  <si>
    <t xml:space="preserve"> Implement basic operations on Linked List</t>
  </si>
  <si>
    <t>CO5</t>
  </si>
  <si>
    <t>Implement program to create and traverse tree to solve problems</t>
  </si>
  <si>
    <t>Set Correlation  of CO-PO Mapping</t>
  </si>
  <si>
    <r>
      <rPr>
        <rFont val="Times New Roman"/>
        <b/>
        <color theme="1"/>
        <sz val="12.0"/>
      </rPr>
      <t xml:space="preserve">Strength of correlation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</si>
  <si>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</si>
  <si>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</si>
  <si>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</si>
  <si>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</si>
  <si>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</si>
  <si>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</si>
  <si>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</si>
  <si>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</si>
  <si>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</si>
  <si>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</si>
  <si>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</si>
  <si>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</si>
  <si>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</si>
  <si>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</si>
  <si>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</si>
  <si>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</si>
  <si>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</si>
  <si>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</si>
  <si>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</si>
  <si>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</si>
  <si>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</si>
  <si>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</si>
  <si>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Average</t>
  </si>
  <si>
    <t>Targeted Attainment Level</t>
  </si>
  <si>
    <t xml:space="preserve">          HOD COMPUTER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</si>
  <si>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</si>
  <si>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</si>
  <si>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</si>
  <si>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</si>
  <si>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rFont val="Calibri"/>
        <i/>
        <color theme="1"/>
        <sz val="11.0"/>
        <u/>
      </rPr>
      <t>This cells are autofilled fields .</t>
    </r>
    <r>
      <rPr>
        <rFont val="Calibri"/>
        <i/>
        <color theme="1"/>
        <sz val="11.0"/>
        <u/>
      </rPr>
      <t xml:space="preserve">                                                         </t>
    </r>
    <r>
      <rPr>
        <rFont val="Calibri"/>
        <i/>
        <color theme="1"/>
        <sz val="11.0"/>
        <u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</si>
  <si>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</si>
  <si>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</si>
  <si>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</si>
  <si>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</si>
  <si>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</si>
  <si>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</si>
  <si>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</si>
  <si>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</si>
  <si>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</si>
  <si>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</si>
  <si>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</si>
  <si>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</si>
  <si>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</si>
  <si>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</si>
  <si>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Total Max. Marks(with Extra)</t>
  </si>
  <si>
    <t>GARAD ANJALI NITIN</t>
  </si>
  <si>
    <t>WALANDE GAURI DAYANAND</t>
  </si>
  <si>
    <t>ZUNJURE SARTHAK BALAJI</t>
  </si>
  <si>
    <t>BHANDE GAYATRI DAMODAR</t>
  </si>
  <si>
    <t>MUNDHE GAYATRI PARMESHWAR</t>
  </si>
  <si>
    <t>YADAV RADHA SAMADHAN</t>
  </si>
  <si>
    <t>DESHMANE MANSI SIDDHESHWAR</t>
  </si>
  <si>
    <t>GAWALGADADE POOJA ARVIND</t>
  </si>
  <si>
    <t>JAIN TANISHA SHAILESH</t>
  </si>
  <si>
    <t> KAMBLE PRANAV UDDHAV</t>
  </si>
  <si>
    <t>MAINDARGE SIDDHI PRASAD</t>
  </si>
  <si>
    <t> CHAVAN POOJA BALASAHEB</t>
  </si>
  <si>
    <t>BHOSALE VAISHNAVI DAYANAND</t>
  </si>
  <si>
    <t> NAHANE VIVEK KAKASAHEB</t>
  </si>
  <si>
    <t>ATTAR SANIYA VAJIR</t>
  </si>
  <si>
    <t> SOMVANSHI MADHAV SHRIRANG</t>
  </si>
  <si>
    <t>NALWADE SNEHA NETAJI</t>
  </si>
  <si>
    <t> SWAMI KEDAR RACHAPPA</t>
  </si>
  <si>
    <t>AADHE PANKAJ RAM</t>
  </si>
  <si>
    <t> KALE ADITYA SURESH</t>
  </si>
  <si>
    <t>BUDGE VISHAKHA VENKAT</t>
  </si>
  <si>
    <t>PAWAR PRATIKSHA VITTHAL</t>
  </si>
  <si>
    <t>WAGHMARE RAU HANMANT</t>
  </si>
  <si>
    <t>MAHAJAN SHRUTI DILIP</t>
  </si>
  <si>
    <t>CHANDANE GAYATRI PRASHANT</t>
  </si>
  <si>
    <t>JOSHI SHRAVANI SHRIKANT</t>
  </si>
  <si>
    <t>MANE ANUSHKA BALASAHEB</t>
  </si>
  <si>
    <t>GADEKAR MAHESH BALAJI</t>
  </si>
  <si>
    <t>DESHMUKH SWANANDI UDAYRAO</t>
  </si>
  <si>
    <t>LAGDIVE SHIVAM NITIN</t>
  </si>
  <si>
    <t>SARPHALE POOJA SADASHIV</t>
  </si>
  <si>
    <t>WAGHMARE ABHISHEK SOMNATH</t>
  </si>
  <si>
    <t>KAMBALE ROHINI RUPESH</t>
  </si>
  <si>
    <t>ROCHKARI SANSKRUTI SUDHIR</t>
  </si>
  <si>
    <t>NIMBALKAR APURVA BHUJANG</t>
  </si>
  <si>
    <t>KSHIRSAGAR SAMARTH DATTATRAY</t>
  </si>
  <si>
    <t>MASIHA SILVIYA SANTOSH</t>
  </si>
  <si>
    <t>KAWADE PRIYA SHANKAR</t>
  </si>
  <si>
    <t>PATIL PRANITA PRAVIN</t>
  </si>
  <si>
    <t>GAVALI ROHAN DNYANDEO</t>
  </si>
  <si>
    <t>GAIKWAD VASUDHA SANDIPAN</t>
  </si>
  <si>
    <t>GORE SANKET NARENDRA</t>
  </si>
  <si>
    <t>HINGANE SAKSHI SATISH</t>
  </si>
  <si>
    <t>JADHAV SHREYAS YADAVRAO</t>
  </si>
  <si>
    <t>WAKALE KOMAL SANTOSH</t>
  </si>
  <si>
    <t>KALE PRANITA NAMDEV</t>
  </si>
  <si>
    <t>KHARKE MAHESH HANUMANT</t>
  </si>
  <si>
    <t>PARVE SHRIRAM SUDHIR</t>
  </si>
  <si>
    <t>KOLNURE SURAJ RAJENDRA</t>
  </si>
  <si>
    <t>KANDALE ADITYA VILAS</t>
  </si>
  <si>
    <t>BARATE VARSHARANI DADASAHEB</t>
  </si>
  <si>
    <t>BARATE AADITI DADASAHEB</t>
  </si>
  <si>
    <t>THORAVE SANIKA AMBADAS</t>
  </si>
  <si>
    <t>KULKARNI AAKANKSHA KAMLESH</t>
  </si>
  <si>
    <t>GAIKWAD GAYATRI SURESH</t>
  </si>
  <si>
    <t>SAROLKAR SAKSHI SHAMSUNDAR</t>
  </si>
  <si>
    <t>JAGTAP SANKET NARAYAN</t>
  </si>
  <si>
    <t>DHAPPADHULE VAISHNAVI SACHIN</t>
  </si>
  <si>
    <t>WAGHMARE AMAR BABAN</t>
  </si>
  <si>
    <t>DHEPE VAISHNAVI REVANNATH</t>
  </si>
  <si>
    <t>BAGADE GUNMANJIRI PURUSHOTTAM</t>
  </si>
  <si>
    <t>MULE SNEHA SANJIVAN</t>
  </si>
  <si>
    <t>BANSODE VINAYAK BABRUWAN</t>
  </si>
  <si>
    <t>ISHWARI ASHOK HAWALE</t>
  </si>
  <si>
    <t>JADHAV SANJYOT SHYAM</t>
  </si>
  <si>
    <t>KANLOD SHUBHAM GANPAT</t>
  </si>
  <si>
    <t>PHULARI VISHVJEET UMESH</t>
  </si>
  <si>
    <t>VHOTTE SHRUTIKA VAIJNATH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</si>
  <si>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</si>
  <si>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</si>
  <si>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</si>
  <si>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</si>
  <si>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</si>
  <si>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</si>
  <si>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 xml:space="preserve">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</si>
  <si>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</si>
  <si>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</si>
  <si>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</si>
  <si>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</si>
  <si>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</si>
  <si>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</si>
  <si>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</si>
  <si>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TH-ESE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</si>
  <si>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</si>
  <si>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</si>
  <si>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</si>
  <si>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</si>
  <si>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</si>
  <si>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</si>
  <si>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</si>
  <si>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</si>
  <si>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rFont val="Times New Roman"/>
        <b/>
        <color theme="1"/>
        <sz val="16.0"/>
        <u/>
      </rPr>
      <t xml:space="preserve">                      </t>
    </r>
    <r>
      <rPr>
        <rFont val="Times New Roman"/>
        <b/>
        <color theme="1"/>
        <sz val="16.0"/>
        <u/>
      </rPr>
      <t>Direct Assessment</t>
    </r>
  </si>
  <si>
    <t>Academic Year:</t>
  </si>
  <si>
    <t>(Micro Project/Assignment Evaluation (max. marks )</t>
  </si>
  <si>
    <t>PR-PA</t>
  </si>
  <si>
    <t>PR-ESE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</si>
  <si>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</si>
  <si>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</si>
  <si>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</si>
  <si>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</si>
  <si>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</si>
  <si>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</si>
  <si>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</si>
  <si>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</si>
  <si>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</si>
  <si>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</si>
  <si>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</si>
  <si>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</si>
  <si>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</si>
  <si>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</si>
  <si>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</si>
  <si>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</si>
  <si>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</si>
  <si>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</si>
  <si>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</si>
  <si>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</si>
  <si>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</si>
  <si>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</si>
  <si>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</si>
  <si>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rFont val="Times New Roman"/>
        <b/>
        <color theme="1"/>
        <sz val="12.0"/>
      </rPr>
      <t xml:space="preserve">Strength of corelation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</si>
  <si>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</si>
  <si>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</si>
  <si>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</si>
  <si>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</si>
  <si>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</si>
  <si>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</si>
  <si>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</si>
  <si>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</si>
  <si>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</si>
  <si>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</si>
  <si>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</si>
  <si>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</si>
  <si>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</si>
  <si>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</si>
  <si>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</si>
  <si>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</si>
  <si>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</si>
  <si>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</si>
  <si>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</si>
  <si>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</si>
  <si>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CO6</t>
  </si>
  <si>
    <t>Use suitable modes for heat transfer</t>
  </si>
  <si>
    <t>Contribution to PO</t>
  </si>
  <si>
    <t>Course-PO attainment</t>
  </si>
  <si>
    <t xml:space="preserve"> % Course-PO attainment</t>
  </si>
  <si>
    <t>Overall CO Attainment</t>
  </si>
  <si>
    <t>Overall Course CO Attainment</t>
  </si>
  <si>
    <t xml:space="preserve">Final Direct Course Attainment Calculation </t>
  </si>
  <si>
    <t xml:space="preserve">Final Indirect Course Attainment Calculation </t>
  </si>
  <si>
    <r>
      <rPr>
        <rFont val="Calibri"/>
        <color theme="1"/>
        <sz val="11.0"/>
      </rPr>
      <t xml:space="preserve">                </t>
    </r>
    <r>
      <rPr>
        <rFont val="Calibri"/>
        <b/>
        <color theme="1"/>
        <sz val="11.0"/>
      </rPr>
      <t xml:space="preserve"> COS</t>
    </r>
  </si>
  <si>
    <t>Internal</t>
  </si>
  <si>
    <t>External</t>
  </si>
  <si>
    <t>Unit Tests</t>
  </si>
  <si>
    <t>PA_Term Work</t>
  </si>
  <si>
    <t xml:space="preserve">Micro- Project </t>
  </si>
  <si>
    <t>E.S.E Board</t>
  </si>
  <si>
    <t>Course Exit Survey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</si>
  <si>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</si>
  <si>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</si>
  <si>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</si>
  <si>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</si>
  <si>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Total Indirect Course Attainment </t>
  </si>
  <si>
    <t xml:space="preserve">Overall Weightage </t>
  </si>
  <si>
    <t xml:space="preserve">Weightage </t>
  </si>
  <si>
    <t xml:space="preserve">Final Direct Course Attainment </t>
  </si>
  <si>
    <t>Final  Indirect Course Attainment</t>
  </si>
  <si>
    <t>Overall Course CO Attainment (B)</t>
  </si>
  <si>
    <t>Template sheet is Prepared by Prof. A.B.Bhure</t>
  </si>
  <si>
    <t xml:space="preserve">L.M.E., P.L.G.P. Latur </t>
  </si>
  <si>
    <t>DIRECT CO ASSESSMENT TOOL/COURSE EVALUATION PLAN</t>
  </si>
  <si>
    <t>TH-PA</t>
  </si>
  <si>
    <t>TH-ESE</t>
  </si>
  <si>
    <t>TOTAL</t>
  </si>
  <si>
    <t>U.Test I</t>
  </si>
  <si>
    <t>U. Test II</t>
  </si>
  <si>
    <t>Microproject</t>
  </si>
  <si>
    <t>Practical Exam</t>
  </si>
  <si>
    <t>MAX MARKS AS PER TEACHING SCHEME</t>
  </si>
  <si>
    <t>INDIVIDUAL WEIGHTAGE (%)</t>
  </si>
  <si>
    <r>
      <rPr>
        <rFont val="Calibri"/>
        <color theme="1"/>
        <sz val="11.0"/>
      </rPr>
      <t xml:space="preserve">                </t>
    </r>
    <r>
      <rPr>
        <rFont val="Calibri"/>
        <b/>
        <color theme="1"/>
        <sz val="11.0"/>
      </rPr>
      <t xml:space="preserve"> COS</t>
    </r>
  </si>
  <si>
    <t xml:space="preserve">CO -PO  Actual Attainment </t>
  </si>
  <si>
    <r>
      <rPr>
        <rFont val="Times New Roman"/>
        <b/>
        <color theme="1"/>
        <sz val="12.0"/>
      </rPr>
      <t xml:space="preserve">Strength of correlation : </t>
    </r>
    <r>
      <rPr>
        <rFont val="Times New Roman"/>
        <b val="0"/>
        <color theme="1"/>
        <sz val="12.0"/>
      </rPr>
      <t>3</t>
    </r>
    <r>
      <rPr>
        <rFont val="Times New Roman"/>
        <b/>
        <color theme="1"/>
        <sz val="12.0"/>
      </rPr>
      <t xml:space="preserve"> - </t>
    </r>
    <r>
      <rPr>
        <rFont val="Times New Roman"/>
        <b val="0"/>
        <color theme="1"/>
        <sz val="12.0"/>
      </rPr>
      <t>high (Substantial), 2- medium(moderate), 1- low, No relation : '-'</t>
    </r>
  </si>
  <si>
    <t>Average Contribution of each CO to each PO (A)</t>
  </si>
  <si>
    <t>Course CO-PO ACTUAL ATTAINMENT LEVEL= ((AxB)/3)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</si>
</sst>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1">
    <font>
      <sz val="11.0"/>
      <color theme="1"/>
      <name val="Calibri"/>
      <scheme val="minor"/>
    </font>
    <font>
      <sz val="18.0"/>
      <color theme="1"/>
      <name val="Algerian"/>
    </font>
    <font>
      <sz val="11.0"/>
      <color theme="1"/>
      <name val="Algerian"/>
    </font>
    <font>
      <sz val="11.0"/>
      <color theme="1"/>
      <name val="Calibri"/>
    </font>
    <font>
      <sz val="11.0"/>
      <color theme="1"/>
      <name val="Times New Roman"/>
    </font>
    <font/>
    <font>
      <b/>
      <sz val="12.0"/>
      <color theme="1"/>
      <name val="Times New Roman"/>
    </font>
    <font>
      <b/>
      <sz val="14.0"/>
      <color theme="1"/>
      <name val="Times New Roman"/>
    </font>
    <font>
      <b/>
      <sz val="9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theme="1"/>
      <name val="Calibri"/>
    </font>
    <font>
      <b/>
      <sz val="11.0"/>
      <color rgb="FF000000"/>
      <name val="Times New Roman"/>
    </font>
    <font>
      <i/>
      <u/>
      <sz val="11.0"/>
      <color theme="1"/>
      <name val="Calibri"/>
    </font>
    <font>
      <i/>
      <u/>
      <sz val="11.0"/>
      <color theme="1"/>
      <name val="Calibri"/>
    </font>
    <font>
      <b/>
      <u/>
      <sz val="16.0"/>
      <color theme="1"/>
      <name val="Algerian"/>
    </font>
    <font>
      <b/>
      <sz val="11.0"/>
      <color theme="1"/>
      <name val="Times New Roman"/>
    </font>
    <font>
      <i/>
      <sz val="10.0"/>
      <color theme="1"/>
      <name val="Times New Roman"/>
    </font>
    <font>
      <b/>
      <i/>
      <sz val="11.0"/>
      <color theme="1"/>
      <name val="Times New Roman"/>
    </font>
    <font>
      <sz val="12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b/>
      <u/>
      <sz val="16.0"/>
      <color theme="1"/>
      <name val="Times New Roman"/>
    </font>
    <font>
      <b/>
      <u/>
      <sz val="16.0"/>
      <color theme="1"/>
      <name val="Times New Roman"/>
    </font>
    <font>
      <color rgb="FFF9CB9C"/>
      <name val="Calibri"/>
    </font>
    <font>
      <color theme="1"/>
      <name val="Calibri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u/>
      <sz val="16.0"/>
      <color theme="1"/>
      <name val="Times New Roman"/>
    </font>
    <font>
      <b/>
      <sz val="14.0"/>
      <color theme="1"/>
      <name val="Calibri"/>
    </font>
    <font>
      <sz val="11.0"/>
      <color rgb="FFFF0000"/>
      <name val="Times New Roman"/>
    </font>
    <font>
      <sz val="22.0"/>
      <color theme="1"/>
      <name val="Calibri"/>
    </font>
    <font>
      <b/>
      <sz val="18.0"/>
      <color rgb="FF7030A0"/>
      <name val="Calibri"/>
    </font>
    <font>
      <b/>
      <sz val="16.0"/>
      <color rgb="FF7030A0"/>
      <name val="Calibri"/>
    </font>
    <font>
      <i/>
      <sz val="11.0"/>
      <color theme="1"/>
      <name val="Calibri"/>
    </font>
    <font>
      <b/>
      <sz val="11.0"/>
      <color rgb="FF7030A0"/>
      <name val="Calibri"/>
    </font>
    <font>
      <sz val="11.0"/>
      <color rgb="FF7030A0"/>
      <name val="Calibri"/>
    </font>
    <font>
      <b/>
      <sz val="14.0"/>
      <color rgb="FF7030A0"/>
      <name val="Calibri"/>
    </font>
    <font>
      <b/>
      <sz val="16.0"/>
      <color theme="1"/>
      <name val="Calibri"/>
    </font>
    <font>
      <b/>
      <sz val="10.0"/>
      <color rgb="FF000000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FFF2CC"/>
        <bgColor rgb="FFFFF2CC"/>
      </patternFill>
    </fill>
    <fill>
      <patternFill patternType="solid">
        <fgColor rgb="FFCCFFFF"/>
        <bgColor rgb="FFCCFFFF"/>
      </patternFill>
    </fill>
  </fills>
  <borders count="92">
    <border/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2" fillId="2" fontId="4" numFmtId="0" xfId="0" applyAlignment="1" applyBorder="1" applyFont="1">
      <alignment horizontal="center" vertical="bottom"/>
    </xf>
    <xf borderId="3" fillId="0" fontId="5" numFmtId="0" xfId="0" applyBorder="1" applyFont="1"/>
    <xf borderId="0" fillId="0" fontId="6" numFmtId="0" xfId="0" applyAlignment="1" applyFont="1">
      <alignment vertical="bottom"/>
    </xf>
    <xf borderId="4" fillId="0" fontId="4" numFmtId="0" xfId="0" applyAlignment="1" applyBorder="1" applyFont="1">
      <alignment horizontal="center" shrinkToFit="0" vertical="bottom" wrapText="1"/>
    </xf>
    <xf borderId="5" fillId="2" fontId="4" numFmtId="0" xfId="0" applyAlignment="1" applyBorder="1" applyFont="1">
      <alignment shrinkToFit="0" vertical="bottom" wrapText="1"/>
    </xf>
    <xf borderId="6" fillId="2" fontId="3" numFmtId="0" xfId="0" applyAlignment="1" applyBorder="1" applyFont="1">
      <alignment vertical="bottom"/>
    </xf>
    <xf borderId="5" fillId="2" fontId="3" numFmtId="0" xfId="0" applyAlignment="1" applyBorder="1" applyFont="1">
      <alignment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3" fontId="3" numFmtId="0" xfId="0" applyAlignment="1" applyFill="1" applyFont="1">
      <alignment shrinkToFit="0" vertical="bottom" wrapText="1"/>
    </xf>
    <xf borderId="0" fillId="3" fontId="3" numFmtId="0" xfId="0" applyAlignment="1" applyFont="1">
      <alignment vertical="bottom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6" numFmtId="0" xfId="0" applyAlignment="1" applyFont="1">
      <alignment vertical="center"/>
    </xf>
    <xf borderId="7" fillId="4" fontId="6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4" fontId="6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4" fontId="8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16" fillId="4" fontId="8" numFmtId="0" xfId="0" applyAlignment="1" applyBorder="1" applyFont="1">
      <alignment horizontal="center" shrinkToFit="0" textRotation="90" vertical="center" wrapText="1"/>
    </xf>
    <xf borderId="20" fillId="4" fontId="9" numFmtId="0" xfId="0" applyAlignment="1" applyBorder="1" applyFont="1">
      <alignment horizontal="center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21" fillId="4" fontId="8" numFmtId="0" xfId="0" applyAlignment="1" applyBorder="1" applyFont="1">
      <alignment horizontal="center" shrinkToFit="0" vertical="center" wrapText="1"/>
    </xf>
    <xf borderId="16" fillId="2" fontId="10" numFmtId="0" xfId="0" applyAlignment="1" applyBorder="1" applyFont="1">
      <alignment horizontal="center" shrinkToFit="0" vertical="center" wrapText="1"/>
    </xf>
    <xf borderId="16" fillId="2" fontId="11" numFmtId="0" xfId="0" applyAlignment="1" applyBorder="1" applyFont="1">
      <alignment horizontal="center" shrinkToFit="0" vertical="center" wrapText="1"/>
    </xf>
    <xf borderId="20" fillId="4" fontId="8" numFmtId="0" xfId="0" applyAlignment="1" applyBorder="1" applyFont="1">
      <alignment horizontal="center" shrinkToFit="0" vertical="center" wrapText="1"/>
    </xf>
    <xf borderId="17" fillId="4" fontId="9" numFmtId="0" xfId="0" applyAlignment="1" applyBorder="1" applyFont="1">
      <alignment horizontal="center" shrinkToFit="0" vertical="center" wrapText="1"/>
    </xf>
    <xf borderId="19" fillId="4" fontId="9" numFmtId="0" xfId="0" applyAlignment="1" applyBorder="1" applyFont="1">
      <alignment horizontal="center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0" fillId="4" fontId="12" numFmtId="0" xfId="0" applyAlignment="1" applyBorder="1" applyFont="1">
      <alignment horizontal="center" shrinkToFit="0" vertical="center" wrapText="1"/>
    </xf>
    <xf borderId="10" fillId="5" fontId="12" numFmtId="0" xfId="0" applyAlignment="1" applyBorder="1" applyFill="1" applyFont="1">
      <alignment horizontal="center" shrinkToFit="0" vertical="center" wrapText="1"/>
    </xf>
    <xf borderId="16" fillId="5" fontId="9" numFmtId="0" xfId="0" applyAlignment="1" applyBorder="1" applyFont="1">
      <alignment horizontal="center" shrinkToFit="0" vertical="center" wrapText="1"/>
    </xf>
    <xf borderId="16" fillId="5" fontId="9" numFmtId="2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  <xf borderId="1" fillId="6" fontId="3" numFmtId="0" xfId="0" applyBorder="1" applyFill="1" applyFont="1"/>
    <xf borderId="22" fillId="6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 vertical="center"/>
    </xf>
    <xf borderId="23" fillId="0" fontId="5" numFmtId="0" xfId="0" applyBorder="1" applyFont="1"/>
    <xf borderId="24" fillId="0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right" vertical="center"/>
    </xf>
    <xf borderId="5" fillId="4" fontId="4" numFmtId="0" xfId="0" applyAlignment="1" applyBorder="1" applyFont="1">
      <alignment horizontal="center" vertical="center"/>
    </xf>
    <xf borderId="6" fillId="0" fontId="5" numFmtId="0" xfId="0" applyBorder="1" applyFont="1"/>
    <xf borderId="25" fillId="7" fontId="4" numFmtId="0" xfId="0" applyAlignment="1" applyBorder="1" applyFill="1" applyFont="1">
      <alignment horizontal="center" shrinkToFit="0" vertical="center" wrapText="1"/>
    </xf>
    <xf borderId="25" fillId="7" fontId="16" numFmtId="0" xfId="0" applyAlignment="1" applyBorder="1" applyFont="1">
      <alignment horizontal="center" shrinkToFit="0" vertical="center" wrapText="1"/>
    </xf>
    <xf borderId="25" fillId="4" fontId="16" numFmtId="0" xfId="0" applyAlignment="1" applyBorder="1" applyFont="1">
      <alignment horizontal="center" vertical="center"/>
    </xf>
    <xf borderId="25" fillId="8" fontId="16" numFmtId="0" xfId="0" applyAlignment="1" applyBorder="1" applyFill="1" applyFont="1">
      <alignment horizontal="center" shrinkToFit="0" vertical="center" wrapText="1"/>
    </xf>
    <xf borderId="25" fillId="9" fontId="16" numFmtId="0" xfId="0" applyAlignment="1" applyBorder="1" applyFill="1" applyFont="1">
      <alignment horizontal="center" shrinkToFit="0" vertical="center" wrapText="1"/>
    </xf>
    <xf borderId="25" fillId="10" fontId="16" numFmtId="0" xfId="0" applyAlignment="1" applyBorder="1" applyFill="1" applyFont="1">
      <alignment horizontal="center" shrinkToFit="0" vertical="center" wrapText="1"/>
    </xf>
    <xf borderId="25" fillId="11" fontId="16" numFmtId="0" xfId="0" applyAlignment="1" applyBorder="1" applyFill="1" applyFont="1">
      <alignment horizontal="center" shrinkToFit="0" vertical="center" wrapText="1"/>
    </xf>
    <xf borderId="25" fillId="12" fontId="16" numFmtId="0" xfId="0" applyAlignment="1" applyBorder="1" applyFill="1" applyFont="1">
      <alignment horizontal="center" shrinkToFit="0" vertical="center" wrapText="1"/>
    </xf>
    <xf borderId="25" fillId="13" fontId="1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shrinkToFit="1" vertical="center" wrapText="0"/>
    </xf>
    <xf borderId="26" fillId="0" fontId="5" numFmtId="0" xfId="0" applyBorder="1" applyFont="1"/>
    <xf borderId="27" fillId="7" fontId="16" numFmtId="0" xfId="0" applyAlignment="1" applyBorder="1" applyFont="1">
      <alignment horizontal="center" shrinkToFit="0" vertical="center" wrapText="1"/>
    </xf>
    <xf borderId="28" fillId="0" fontId="5" numFmtId="0" xfId="0" applyBorder="1" applyFont="1"/>
    <xf borderId="24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0" fontId="5" numFmtId="0" xfId="0" applyBorder="1" applyFont="1"/>
    <xf borderId="4" fillId="2" fontId="17" numFmtId="0" xfId="0" applyAlignment="1" applyBorder="1" applyFont="1">
      <alignment horizontal="center" vertical="center"/>
    </xf>
    <xf borderId="4" fillId="2" fontId="18" numFmtId="0" xfId="0" applyAlignment="1" applyBorder="1" applyFont="1">
      <alignment horizontal="center" shrinkToFit="0" vertical="center" wrapText="1"/>
    </xf>
    <xf borderId="4" fillId="2" fontId="16" numFmtId="0" xfId="0" applyAlignment="1" applyBorder="1" applyFont="1">
      <alignment horizontal="center" shrinkToFit="0" vertical="center" wrapText="1"/>
    </xf>
    <xf borderId="4" fillId="2" fontId="16" numFmtId="0" xfId="0" applyAlignment="1" applyBorder="1" applyFont="1">
      <alignment horizontal="center" shrinkToFit="0" wrapText="1"/>
    </xf>
    <xf borderId="4" fillId="2" fontId="18" numFmtId="0" xfId="0" applyAlignment="1" applyBorder="1" applyFont="1">
      <alignment horizontal="center" shrinkToFit="1" vertical="center" wrapText="0"/>
    </xf>
    <xf borderId="0" fillId="0" fontId="19" numFmtId="0" xfId="0" applyAlignment="1" applyFont="1">
      <alignment vertical="bottom"/>
    </xf>
    <xf borderId="4" fillId="2" fontId="4" numFmtId="0" xfId="0" applyAlignment="1" applyBorder="1" applyFont="1">
      <alignment horizontal="center" vertical="center"/>
    </xf>
    <xf borderId="4" fillId="2" fontId="19" numFmtId="0" xfId="0" applyAlignment="1" applyBorder="1" applyFont="1">
      <alignment horizontal="center" vertical="bottom"/>
    </xf>
    <xf borderId="4" fillId="2" fontId="19" numFmtId="0" xfId="0" applyAlignment="1" applyBorder="1" applyFont="1">
      <alignment vertical="bottom"/>
    </xf>
    <xf borderId="4" fillId="2" fontId="4" numFmtId="1" xfId="0" applyAlignment="1" applyBorder="1" applyFont="1" applyNumberFormat="1">
      <alignment horizontal="center" vertical="center"/>
    </xf>
    <xf borderId="4" fillId="2" fontId="18" numFmtId="1" xfId="0" applyAlignment="1" applyBorder="1" applyFont="1" applyNumberFormat="1">
      <alignment horizontal="center" shrinkToFit="1" vertical="center" wrapText="0"/>
    </xf>
    <xf borderId="29" fillId="2" fontId="19" numFmtId="0" xfId="0" applyAlignment="1" applyBorder="1" applyFont="1">
      <alignment horizontal="center" vertical="bottom"/>
    </xf>
    <xf borderId="29" fillId="2" fontId="19" numFmtId="0" xfId="0" applyAlignment="1" applyBorder="1" applyFont="1">
      <alignment vertical="bottom"/>
    </xf>
    <xf borderId="6" fillId="2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shrinkToFit="0" vertical="bottom" wrapText="1"/>
    </xf>
    <xf borderId="4" fillId="2" fontId="3" numFmtId="0" xfId="0" applyAlignment="1" applyBorder="1" applyFont="1">
      <alignment horizontal="left"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20" numFmtId="0" xfId="0" applyAlignment="1" applyBorder="1" applyFont="1">
      <alignment horizontal="center" shrinkToFit="0" wrapText="1"/>
    </xf>
    <xf borderId="4" fillId="2" fontId="20" numFmtId="0" xfId="0" applyAlignment="1" applyBorder="1" applyFont="1">
      <alignment horizontal="left" shrinkToFit="0" wrapText="1"/>
    </xf>
    <xf borderId="0" fillId="0" fontId="21" numFmtId="0" xfId="0" applyAlignment="1" applyFont="1">
      <alignment vertical="bottom"/>
    </xf>
    <xf borderId="4" fillId="2" fontId="3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shrinkToFit="0" vertical="center" wrapText="1"/>
    </xf>
    <xf borderId="15" fillId="0" fontId="6" numFmtId="9" xfId="0" applyAlignment="1" applyBorder="1" applyFont="1" applyNumberFormat="1">
      <alignment vertical="center"/>
    </xf>
    <xf borderId="32" fillId="4" fontId="4" numFmtId="2" xfId="0" applyAlignment="1" applyBorder="1" applyFont="1" applyNumberFormat="1">
      <alignment horizontal="center" vertical="center"/>
    </xf>
    <xf borderId="13" fillId="0" fontId="4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7" fillId="4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10" fillId="4" fontId="7" numFmtId="0" xfId="0" applyAlignment="1" applyBorder="1" applyFont="1">
      <alignment horizontal="center" shrinkToFit="0" vertical="center" wrapText="1"/>
    </xf>
    <xf borderId="10" fillId="4" fontId="16" numFmtId="0" xfId="0" applyAlignment="1" applyBorder="1" applyFont="1">
      <alignment horizontal="center" shrinkToFit="0" vertical="center" wrapText="1"/>
    </xf>
    <xf borderId="33" fillId="4" fontId="16" numFmtId="0" xfId="0" applyAlignment="1" applyBorder="1" applyFont="1">
      <alignment shrinkToFit="0" vertical="center" wrapText="1"/>
    </xf>
    <xf borderId="34" fillId="4" fontId="16" numFmtId="0" xfId="0" applyAlignment="1" applyBorder="1" applyFont="1">
      <alignment horizontal="center" vertical="center"/>
    </xf>
    <xf borderId="35" fillId="4" fontId="4" numFmtId="0" xfId="0" applyAlignment="1" applyBorder="1" applyFont="1">
      <alignment horizontal="center" textRotation="90" vertical="center"/>
    </xf>
    <xf borderId="36" fillId="4" fontId="4" numFmtId="0" xfId="0" applyAlignment="1" applyBorder="1" applyFont="1">
      <alignment horizontal="center" vertical="center"/>
    </xf>
    <xf borderId="37" fillId="0" fontId="4" numFmtId="0" xfId="0" applyAlignment="1" applyBorder="1" applyFont="1">
      <alignment horizontal="left" vertical="center"/>
    </xf>
    <xf borderId="8" fillId="2" fontId="4" numFmtId="0" xfId="0" applyAlignment="1" applyBorder="1" applyFont="1">
      <alignment horizontal="center" vertical="center"/>
    </xf>
    <xf borderId="38" fillId="4" fontId="4" numFmtId="164" xfId="0" applyAlignment="1" applyBorder="1" applyFont="1" applyNumberFormat="1">
      <alignment horizontal="center" vertical="center"/>
    </xf>
    <xf borderId="39" fillId="4" fontId="16" numFmtId="0" xfId="0" applyAlignment="1" applyBorder="1" applyFont="1">
      <alignment horizontal="center" vertical="center"/>
    </xf>
    <xf borderId="40" fillId="0" fontId="5" numFmtId="0" xfId="0" applyBorder="1" applyFont="1"/>
    <xf borderId="41" fillId="0" fontId="5" numFmtId="0" xfId="0" applyBorder="1" applyFont="1"/>
    <xf borderId="42" fillId="4" fontId="4" numFmtId="164" xfId="0" applyAlignment="1" applyBorder="1" applyFont="1" applyNumberFormat="1">
      <alignment horizontal="center" vertical="center"/>
    </xf>
    <xf borderId="43" fillId="4" fontId="16" numFmtId="0" xfId="0" applyAlignment="1" applyBorder="1" applyFont="1">
      <alignment horizontal="center" vertical="center"/>
    </xf>
    <xf borderId="44" fillId="0" fontId="5" numFmtId="0" xfId="0" applyBorder="1" applyFont="1"/>
    <xf borderId="45" fillId="0" fontId="5" numFmtId="0" xfId="0" applyBorder="1" applyFont="1"/>
    <xf borderId="12" fillId="0" fontId="4" numFmtId="0" xfId="0" applyAlignment="1" applyBorder="1" applyFont="1">
      <alignment horizontal="left" vertical="center"/>
    </xf>
    <xf borderId="16" fillId="4" fontId="4" numFmtId="164" xfId="0" applyAlignment="1" applyBorder="1" applyFont="1" applyNumberFormat="1">
      <alignment horizontal="center" vertical="center"/>
    </xf>
    <xf borderId="46" fillId="4" fontId="16" numFmtId="0" xfId="0" applyAlignment="1" applyBorder="1" applyFont="1">
      <alignment horizontal="center" vertical="center"/>
    </xf>
    <xf borderId="47" fillId="0" fontId="5" numFmtId="0" xfId="0" applyBorder="1" applyFont="1"/>
    <xf borderId="1" fillId="4" fontId="4" numFmtId="0" xfId="0" applyBorder="1" applyFont="1"/>
    <xf borderId="22" fillId="4" fontId="4" numFmtId="0" xfId="0" applyAlignment="1" applyBorder="1" applyFont="1">
      <alignment horizontal="center"/>
    </xf>
    <xf borderId="48" fillId="4" fontId="6" numFmtId="0" xfId="0" applyAlignment="1" applyBorder="1" applyFont="1">
      <alignment horizontal="center" vertical="center"/>
    </xf>
    <xf borderId="49" fillId="4" fontId="16" numFmtId="0" xfId="0" applyAlignment="1" applyBorder="1" applyFont="1">
      <alignment horizontal="center" vertical="center"/>
    </xf>
    <xf borderId="50" fillId="4" fontId="16" numFmtId="0" xfId="0" applyAlignment="1" applyBorder="1" applyFont="1">
      <alignment horizontal="center" vertical="center"/>
    </xf>
    <xf borderId="51" fillId="4" fontId="6" numFmtId="0" xfId="0" applyAlignment="1" applyBorder="1" applyFont="1">
      <alignment horizontal="center" vertical="center"/>
    </xf>
    <xf borderId="52" fillId="4" fontId="4" numFmtId="0" xfId="0" applyAlignment="1" applyBorder="1" applyFont="1">
      <alignment horizontal="center" vertical="center"/>
    </xf>
    <xf borderId="0" fillId="0" fontId="22" numFmtId="0" xfId="0" applyAlignment="1" applyFont="1">
      <alignment horizontal="center" vertical="top"/>
    </xf>
    <xf borderId="0" fillId="0" fontId="23" numFmtId="0" xfId="0" applyAlignment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25" fillId="4" fontId="4" numFmtId="0" xfId="0" applyAlignment="1" applyBorder="1" applyFont="1">
      <alignment horizontal="center" shrinkToFit="0" vertical="center" wrapText="1"/>
    </xf>
    <xf borderId="25" fillId="4" fontId="16" numFmtId="0" xfId="0" applyAlignment="1" applyBorder="1" applyFont="1">
      <alignment horizontal="center" shrinkToFit="0" vertical="center" wrapText="1"/>
    </xf>
    <xf borderId="0" fillId="0" fontId="24" numFmtId="0" xfId="0" applyFont="1"/>
    <xf borderId="0" fillId="14" fontId="25" numFmtId="0" xfId="0" applyFill="1" applyFont="1"/>
    <xf borderId="4" fillId="2" fontId="4" numFmtId="0" xfId="0" applyAlignment="1" applyBorder="1" applyFont="1">
      <alignment horizontal="left" shrinkToFit="0" vertical="center" wrapText="1"/>
    </xf>
    <xf borderId="4" fillId="2" fontId="26" numFmtId="0" xfId="0" applyAlignment="1" applyBorder="1" applyFont="1">
      <alignment horizontal="center" vertical="bottom"/>
    </xf>
    <xf borderId="4" fillId="2" fontId="27" numFmtId="0" xfId="0" applyAlignment="1" applyBorder="1" applyFont="1">
      <alignment horizontal="center" vertical="bottom"/>
    </xf>
    <xf borderId="53" fillId="4" fontId="21" numFmtId="0" xfId="0" applyAlignment="1" applyBorder="1" applyFont="1">
      <alignment horizontal="center" shrinkToFit="0" vertical="center" wrapText="1"/>
    </xf>
    <xf borderId="32" fillId="4" fontId="28" numFmtId="2" xfId="0" applyAlignment="1" applyBorder="1" applyFont="1" applyNumberFormat="1">
      <alignment horizontal="center" vertical="center"/>
    </xf>
    <xf borderId="20" fillId="2" fontId="21" numFmtId="0" xfId="0" applyAlignment="1" applyBorder="1" applyFont="1">
      <alignment horizontal="center" shrinkToFit="0" vertical="center" wrapText="1"/>
    </xf>
    <xf borderId="21" fillId="4" fontId="21" numFmtId="0" xfId="0" applyAlignment="1" applyBorder="1" applyFont="1">
      <alignment horizontal="center" shrinkToFit="0" vertical="center" wrapText="1"/>
    </xf>
    <xf borderId="21" fillId="4" fontId="28" numFmtId="0" xfId="0" applyAlignment="1" applyBorder="1" applyFont="1">
      <alignment horizontal="center" vertical="center"/>
    </xf>
    <xf borderId="0" fillId="0" fontId="21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vertical="center"/>
    </xf>
    <xf borderId="21" fillId="4" fontId="16" numFmtId="0" xfId="0" applyAlignment="1" applyBorder="1" applyFont="1">
      <alignment horizontal="center" shrinkToFit="0" vertical="center" wrapText="1"/>
    </xf>
    <xf borderId="21" fillId="4" fontId="16" numFmtId="0" xfId="0" applyAlignment="1" applyBorder="1" applyFont="1">
      <alignment horizontal="center" vertical="center"/>
    </xf>
    <xf borderId="1" fillId="4" fontId="3" numFmtId="0" xfId="0" applyBorder="1" applyFont="1"/>
    <xf borderId="54" fillId="0" fontId="4" numFmtId="9" xfId="0" applyAlignment="1" applyBorder="1" applyFont="1" applyNumberFormat="1">
      <alignment vertical="center"/>
    </xf>
    <xf borderId="55" fillId="4" fontId="4" numFmtId="0" xfId="0" applyAlignment="1" applyBorder="1" applyFont="1">
      <alignment horizontal="left" vertical="center"/>
    </xf>
    <xf borderId="37" fillId="0" fontId="5" numFmtId="0" xfId="0" applyBorder="1" applyFont="1"/>
    <xf borderId="7" fillId="2" fontId="4" numFmtId="0" xfId="0" applyAlignment="1" applyBorder="1" applyFont="1">
      <alignment horizontal="center" vertical="center"/>
    </xf>
    <xf borderId="38" fillId="4" fontId="4" numFmtId="0" xfId="0" applyAlignment="1" applyBorder="1" applyFont="1">
      <alignment vertical="center"/>
    </xf>
    <xf borderId="56" fillId="4" fontId="16" numFmtId="0" xfId="0" applyAlignment="1" applyBorder="1" applyFont="1">
      <alignment horizontal="center" vertical="center"/>
    </xf>
    <xf borderId="5" fillId="0" fontId="4" numFmtId="9" xfId="0" applyAlignment="1" applyBorder="1" applyFont="1" applyNumberFormat="1">
      <alignment vertical="center"/>
    </xf>
    <xf borderId="57" fillId="4" fontId="4" numFmtId="0" xfId="0" applyAlignment="1" applyBorder="1" applyFont="1">
      <alignment horizontal="left" vertical="center"/>
    </xf>
    <xf borderId="58" fillId="4" fontId="4" numFmtId="0" xfId="0" applyAlignment="1" applyBorder="1" applyFont="1">
      <alignment vertical="center"/>
    </xf>
    <xf borderId="59" fillId="4" fontId="16" numFmtId="0" xfId="0" applyAlignment="1" applyBorder="1" applyFont="1">
      <alignment horizontal="center" vertical="center"/>
    </xf>
    <xf borderId="60" fillId="0" fontId="4" numFmtId="9" xfId="0" applyAlignment="1" applyBorder="1" applyFont="1" applyNumberFormat="1">
      <alignment vertical="center"/>
    </xf>
    <xf borderId="61" fillId="4" fontId="4" numFmtId="0" xfId="0" applyAlignment="1" applyBorder="1" applyFont="1">
      <alignment horizontal="left" vertical="center"/>
    </xf>
    <xf borderId="62" fillId="4" fontId="4" numFmtId="0" xfId="0" applyAlignment="1" applyBorder="1" applyFont="1">
      <alignment vertical="center"/>
    </xf>
    <xf borderId="63" fillId="4" fontId="16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64" fillId="4" fontId="6" numFmtId="0" xfId="0" applyAlignment="1" applyBorder="1" applyFont="1">
      <alignment horizontal="center" shrinkToFit="0" vertical="center" wrapText="1"/>
    </xf>
    <xf borderId="65" fillId="0" fontId="5" numFmtId="0" xfId="0" applyBorder="1" applyFont="1"/>
    <xf borderId="46" fillId="4" fontId="6" numFmtId="0" xfId="0" applyAlignment="1" applyBorder="1" applyFont="1">
      <alignment horizontal="center" vertical="center"/>
    </xf>
    <xf borderId="66" fillId="0" fontId="5" numFmtId="0" xfId="0" applyBorder="1" applyFont="1"/>
    <xf borderId="0" fillId="0" fontId="29" numFmtId="0" xfId="0" applyAlignment="1" applyFont="1">
      <alignment vertical="top"/>
    </xf>
    <xf borderId="25" fillId="4" fontId="6" numFmtId="0" xfId="0" applyAlignment="1" applyBorder="1" applyFont="1">
      <alignment horizontal="center" vertical="center"/>
    </xf>
    <xf borderId="25" fillId="4" fontId="16" numFmtId="0" xfId="0" applyAlignment="1" applyBorder="1" applyFont="1">
      <alignment horizontal="center" shrinkToFit="0" wrapText="1"/>
    </xf>
    <xf borderId="67" fillId="4" fontId="30" numFmtId="0" xfId="0" applyAlignment="1" applyBorder="1" applyFont="1">
      <alignment horizontal="center" vertical="center"/>
    </xf>
    <xf borderId="4" fillId="2" fontId="26" numFmtId="0" xfId="0" applyAlignment="1" applyBorder="1" applyFont="1">
      <alignment horizontal="center" readingOrder="0" vertical="bottom"/>
    </xf>
    <xf borderId="4" fillId="2" fontId="4" numFmtId="0" xfId="0" applyAlignment="1" applyBorder="1" applyFont="1">
      <alignment horizontal="left" vertical="center"/>
    </xf>
    <xf borderId="53" fillId="4" fontId="21" numFmtId="0" xfId="0" applyAlignment="1" applyBorder="1" applyFont="1">
      <alignment horizontal="left" shrinkToFit="0" vertical="center" wrapText="1"/>
    </xf>
    <xf borderId="32" fillId="4" fontId="21" numFmtId="0" xfId="0" applyAlignment="1" applyBorder="1" applyFont="1">
      <alignment horizontal="center" shrinkToFit="0" vertical="center" wrapText="1"/>
    </xf>
    <xf borderId="17" fillId="0" fontId="21" numFmtId="0" xfId="0" applyAlignment="1" applyBorder="1" applyFont="1">
      <alignment horizontal="center" shrinkToFit="0" vertical="center" wrapText="1"/>
    </xf>
    <xf borderId="21" fillId="4" fontId="16" numFmtId="0" xfId="0" applyAlignment="1" applyBorder="1" applyFont="1">
      <alignment shrinkToFit="0" vertical="center" wrapText="1"/>
    </xf>
    <xf borderId="68" fillId="4" fontId="4" numFmtId="0" xfId="0" applyAlignment="1" applyBorder="1" applyFont="1">
      <alignment horizontal="center" vertical="center"/>
    </xf>
    <xf borderId="69" fillId="4" fontId="4" numFmtId="0" xfId="0" applyAlignment="1" applyBorder="1" applyFont="1">
      <alignment horizontal="center" vertical="center"/>
    </xf>
    <xf borderId="62" fillId="4" fontId="4" numFmtId="0" xfId="0" applyAlignment="1" applyBorder="1" applyFont="1">
      <alignment horizontal="center" vertical="center"/>
    </xf>
    <xf borderId="70" fillId="0" fontId="5" numFmtId="0" xfId="0" applyBorder="1" applyFont="1"/>
    <xf borderId="71" fillId="4" fontId="16" numFmtId="0" xfId="0" applyAlignment="1" applyBorder="1" applyFont="1">
      <alignment horizontal="center" vertical="center"/>
    </xf>
    <xf borderId="72" fillId="4" fontId="16" numFmtId="0" xfId="0" applyAlignment="1" applyBorder="1" applyFont="1">
      <alignment horizontal="center" vertical="center"/>
    </xf>
    <xf borderId="64" fillId="4" fontId="6" numFmtId="0" xfId="0" applyAlignment="1" applyBorder="1" applyFont="1">
      <alignment horizontal="center" vertical="center"/>
    </xf>
    <xf borderId="49" fillId="4" fontId="4" numFmtId="0" xfId="0" applyAlignment="1" applyBorder="1" applyFont="1">
      <alignment horizontal="center" vertical="center"/>
    </xf>
    <xf borderId="50" fillId="4" fontId="4" numFmtId="0" xfId="0" applyAlignment="1" applyBorder="1" applyFont="1">
      <alignment horizontal="center" vertical="center"/>
    </xf>
    <xf borderId="43" fillId="4" fontId="6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73" fillId="4" fontId="4" numFmtId="0" xfId="0" applyAlignment="1" applyBorder="1" applyFont="1">
      <alignment horizontal="center" vertical="center"/>
    </xf>
    <xf borderId="46" fillId="4" fontId="6" numFmtId="0" xfId="0" applyAlignment="1" applyBorder="1" applyFont="1">
      <alignment horizontal="center" shrinkToFit="0" vertical="center" wrapText="1"/>
    </xf>
    <xf borderId="74" fillId="4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1" numFmtId="0" xfId="0" applyFont="1"/>
    <xf borderId="7" fillId="7" fontId="4" numFmtId="0" xfId="0" applyAlignment="1" applyBorder="1" applyFont="1">
      <alignment horizontal="center" shrinkToFit="0" vertical="center" wrapText="1"/>
    </xf>
    <xf borderId="7" fillId="7" fontId="16" numFmtId="0" xfId="0" applyAlignment="1" applyBorder="1" applyFont="1">
      <alignment horizontal="center" shrinkToFit="0" vertical="center" wrapText="1"/>
    </xf>
    <xf borderId="7" fillId="7" fontId="6" numFmtId="0" xfId="0" applyAlignment="1" applyBorder="1" applyFont="1">
      <alignment horizontal="center" vertical="center"/>
    </xf>
    <xf borderId="75" fillId="0" fontId="5" numFmtId="0" xfId="0" applyBorder="1" applyFont="1"/>
    <xf borderId="20" fillId="7" fontId="18" numFmtId="0" xfId="0" applyAlignment="1" applyBorder="1" applyFont="1">
      <alignment horizontal="center" shrinkToFit="0" vertical="center" wrapText="1"/>
    </xf>
    <xf borderId="56" fillId="0" fontId="4" numFmtId="0" xfId="0" applyAlignment="1" applyBorder="1" applyFont="1">
      <alignment horizontal="center" vertical="center"/>
    </xf>
    <xf borderId="59" fillId="0" fontId="4" numFmtId="0" xfId="0" applyAlignment="1" applyBorder="1" applyFont="1">
      <alignment horizontal="center" vertical="center"/>
    </xf>
    <xf borderId="59" fillId="0" fontId="31" numFmtId="0" xfId="0" applyAlignment="1" applyBorder="1" applyFont="1">
      <alignment horizontal="center" vertical="center"/>
    </xf>
    <xf borderId="63" fillId="0" fontId="4" numFmtId="0" xfId="0" applyAlignment="1" applyBorder="1" applyFont="1">
      <alignment horizontal="center" vertical="center"/>
    </xf>
    <xf borderId="21" fillId="5" fontId="4" numFmtId="0" xfId="0" applyAlignment="1" applyBorder="1" applyFont="1">
      <alignment horizontal="center" vertical="center"/>
    </xf>
    <xf borderId="21" fillId="5" fontId="3" numFmtId="0" xfId="0" applyAlignment="1" applyBorder="1" applyFont="1">
      <alignment horizontal="center"/>
    </xf>
    <xf borderId="10" fillId="0" fontId="7" numFmtId="0" xfId="0" applyAlignment="1" applyBorder="1" applyFont="1">
      <alignment horizontal="center" shrinkToFit="0" vertical="center" wrapText="1"/>
    </xf>
    <xf borderId="21" fillId="0" fontId="16" numFmtId="0" xfId="0" applyAlignment="1" applyBorder="1" applyFont="1">
      <alignment horizontal="center" vertical="center"/>
    </xf>
    <xf borderId="35" fillId="0" fontId="4" numFmtId="0" xfId="0" applyAlignment="1" applyBorder="1" applyFont="1">
      <alignment horizontal="center" textRotation="90" vertical="center"/>
    </xf>
    <xf borderId="54" fillId="0" fontId="4" numFmtId="0" xfId="0" applyAlignment="1" applyBorder="1" applyFont="1">
      <alignment horizontal="center" vertical="center"/>
    </xf>
    <xf borderId="76" fillId="0" fontId="5" numFmtId="0" xfId="0" applyBorder="1" applyFont="1"/>
    <xf borderId="56" fillId="0" fontId="16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77" fillId="0" fontId="5" numFmtId="0" xfId="0" applyBorder="1" applyFont="1"/>
    <xf borderId="59" fillId="0" fontId="16" numFmtId="0" xfId="0" applyAlignment="1" applyBorder="1" applyFont="1">
      <alignment horizontal="center" vertical="center"/>
    </xf>
    <xf borderId="60" fillId="0" fontId="4" numFmtId="0" xfId="0" applyAlignment="1" applyBorder="1" applyFont="1">
      <alignment horizontal="center" vertical="center"/>
    </xf>
    <xf borderId="78" fillId="0" fontId="5" numFmtId="0" xfId="0" applyBorder="1" applyFont="1"/>
    <xf borderId="63" fillId="0" fontId="1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71" fillId="2" fontId="16" numFmtId="0" xfId="0" applyAlignment="1" applyBorder="1" applyFont="1">
      <alignment horizontal="center" vertical="center"/>
    </xf>
    <xf borderId="72" fillId="2" fontId="16" numFmtId="0" xfId="0" applyAlignment="1" applyBorder="1" applyFont="1">
      <alignment horizontal="center" vertical="center"/>
    </xf>
    <xf borderId="64" fillId="2" fontId="6" numFmtId="0" xfId="0" applyAlignment="1" applyBorder="1" applyFont="1">
      <alignment horizontal="center" shrinkToFit="0" vertical="center" wrapText="1"/>
    </xf>
    <xf borderId="49" fillId="2" fontId="4" numFmtId="0" xfId="0" applyAlignment="1" applyBorder="1" applyFont="1">
      <alignment horizontal="center" vertical="center"/>
    </xf>
    <xf borderId="50" fillId="2" fontId="4" numFmtId="0" xfId="0" applyAlignment="1" applyBorder="1" applyFont="1">
      <alignment horizontal="center" vertical="center"/>
    </xf>
    <xf borderId="1" fillId="2" fontId="32" numFmtId="0" xfId="0" applyBorder="1" applyFont="1"/>
    <xf borderId="21" fillId="4" fontId="8" numFmtId="0" xfId="0" applyAlignment="1" applyBorder="1" applyFont="1">
      <alignment horizontal="center" shrinkToFit="0" textRotation="90" vertical="center" wrapText="1"/>
    </xf>
    <xf borderId="33" fillId="4" fontId="8" numFmtId="0" xfId="0" applyAlignment="1" applyBorder="1" applyFont="1">
      <alignment horizontal="center" shrinkToFit="0" textRotation="90" vertical="center" wrapText="1"/>
    </xf>
    <xf borderId="17" fillId="0" fontId="9" numFmtId="0" xfId="0" applyAlignment="1" applyBorder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10" fillId="3" fontId="12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vertical="center"/>
    </xf>
    <xf borderId="10" fillId="0" fontId="34" numFmtId="0" xfId="0" applyAlignment="1" applyBorder="1" applyFont="1">
      <alignment horizontal="center" vertical="center"/>
    </xf>
    <xf borderId="10" fillId="0" fontId="28" numFmtId="0" xfId="0" applyAlignment="1" applyBorder="1" applyFont="1">
      <alignment horizontal="center" vertical="center"/>
    </xf>
    <xf borderId="8" fillId="0" fontId="28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/>
    </xf>
    <xf borderId="18" fillId="0" fontId="3" numFmtId="0" xfId="0" applyAlignment="1" applyBorder="1" applyFont="1">
      <alignment horizontal="center" vertical="center"/>
    </xf>
    <xf borderId="79" fillId="0" fontId="5" numFmtId="0" xfId="0" applyBorder="1" applyFont="1"/>
    <xf borderId="17" fillId="0" fontId="3" numFmtId="0" xfId="0" applyAlignment="1" applyBorder="1" applyFont="1">
      <alignment horizontal="center" vertical="center"/>
    </xf>
    <xf borderId="80" fillId="0" fontId="3" numFmtId="0" xfId="0" applyAlignment="1" applyBorder="1" applyFont="1">
      <alignment horizontal="center" shrinkToFit="0" vertical="center" wrapText="1"/>
    </xf>
    <xf borderId="71" fillId="0" fontId="3" numFmtId="0" xfId="0" applyAlignment="1" applyBorder="1" applyFont="1">
      <alignment horizontal="center" shrinkToFit="0" vertical="center" wrapText="1"/>
    </xf>
    <xf borderId="72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shrinkToFit="0" vertical="center" wrapText="1"/>
    </xf>
    <xf borderId="56" fillId="0" fontId="28" numFmtId="0" xfId="0" applyAlignment="1" applyBorder="1" applyFont="1">
      <alignment horizontal="center" vertical="center"/>
    </xf>
    <xf borderId="65" fillId="0" fontId="3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center" vertical="center"/>
    </xf>
    <xf borderId="50" fillId="0" fontId="3" numFmtId="0" xfId="0" applyAlignment="1" applyBorder="1" applyFont="1">
      <alignment horizontal="center" vertical="center"/>
    </xf>
    <xf borderId="64" fillId="0" fontId="3" numFmtId="0" xfId="0" applyAlignment="1" applyBorder="1" applyFont="1">
      <alignment horizontal="center" vertical="center"/>
    </xf>
    <xf borderId="59" fillId="0" fontId="28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73" fillId="0" fontId="3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vertical="center"/>
    </xf>
    <xf borderId="63" fillId="0" fontId="28" numFmtId="0" xfId="0" applyAlignment="1" applyBorder="1" applyFont="1">
      <alignment horizontal="center" vertical="center"/>
    </xf>
    <xf borderId="66" fillId="0" fontId="3" numFmtId="0" xfId="0" applyAlignment="1" applyBorder="1" applyFont="1">
      <alignment horizontal="center" vertical="center"/>
    </xf>
    <xf borderId="52" fillId="0" fontId="3" numFmtId="0" xfId="0" applyAlignment="1" applyBorder="1" applyFont="1">
      <alignment horizontal="center" vertical="center"/>
    </xf>
    <xf borderId="74" fillId="0" fontId="3" numFmtId="0" xfId="0" applyAlignment="1" applyBorder="1" applyFont="1">
      <alignment horizontal="center" vertical="center"/>
    </xf>
    <xf borderId="59" fillId="0" fontId="28" numFmtId="0" xfId="0" applyAlignment="1" applyBorder="1" applyFont="1">
      <alignment horizontal="center" shrinkToFit="0" vertical="center" wrapText="1"/>
    </xf>
    <xf borderId="81" fillId="15" fontId="35" numFmtId="0" xfId="0" applyAlignment="1" applyBorder="1" applyFill="1" applyFont="1">
      <alignment horizontal="center" vertical="center"/>
    </xf>
    <xf borderId="5" fillId="15" fontId="35" numFmtId="0" xfId="0" applyAlignment="1" applyBorder="1" applyFont="1">
      <alignment horizontal="center" vertical="center"/>
    </xf>
    <xf borderId="63" fillId="0" fontId="28" numFmtId="0" xfId="0" applyAlignment="1" applyBorder="1" applyFont="1">
      <alignment horizontal="center" shrinkToFit="0" vertical="center" wrapText="1"/>
    </xf>
    <xf borderId="46" fillId="0" fontId="3" numFmtId="0" xfId="0" applyAlignment="1" applyBorder="1" applyFont="1">
      <alignment horizontal="center" vertical="center"/>
    </xf>
    <xf borderId="10" fillId="0" fontId="36" numFmtId="0" xfId="0" applyAlignment="1" applyBorder="1" applyFont="1">
      <alignment horizontal="center" vertical="center"/>
    </xf>
    <xf borderId="21" fillId="0" fontId="37" numFmtId="0" xfId="0" applyAlignment="1" applyBorder="1" applyFont="1">
      <alignment horizontal="center" vertical="center"/>
    </xf>
    <xf borderId="21" fillId="0" fontId="36" numFmtId="0" xfId="0" applyAlignment="1" applyBorder="1" applyFont="1">
      <alignment horizontal="center" shrinkToFit="0" vertical="center" wrapText="1"/>
    </xf>
    <xf borderId="21" fillId="0" fontId="37" numFmtId="9" xfId="0" applyAlignment="1" applyBorder="1" applyFont="1" applyNumberFormat="1">
      <alignment horizontal="center" vertical="center"/>
    </xf>
    <xf borderId="21" fillId="0" fontId="36" numFmtId="0" xfId="0" applyAlignment="1" applyBorder="1" applyFont="1">
      <alignment horizontal="center" vertical="center"/>
    </xf>
    <xf borderId="10" fillId="0" fontId="38" numFmtId="0" xfId="0" applyAlignment="1" applyBorder="1" applyFont="1">
      <alignment horizontal="center" vertical="center"/>
    </xf>
    <xf borderId="10" fillId="0" fontId="38" numFmtId="0" xfId="0" applyAlignment="1" applyBorder="1" applyFont="1">
      <alignment vertical="center"/>
    </xf>
    <xf borderId="12" fillId="0" fontId="38" numFmtId="0" xfId="0" applyAlignment="1" applyBorder="1" applyFont="1">
      <alignment vertical="center"/>
    </xf>
    <xf borderId="8" fillId="4" fontId="16" numFmtId="0" xfId="0" applyAlignment="1" applyBorder="1" applyFont="1">
      <alignment horizontal="center" shrinkToFit="0" vertical="center" wrapText="1"/>
    </xf>
    <xf borderId="82" fillId="0" fontId="5" numFmtId="0" xfId="0" applyBorder="1" applyFont="1"/>
    <xf borderId="54" fillId="4" fontId="3" numFmtId="0" xfId="0" applyAlignment="1" applyBorder="1" applyFont="1">
      <alignment horizontal="center" vertical="center"/>
    </xf>
    <xf borderId="49" fillId="4" fontId="3" numFmtId="0" xfId="0" applyAlignment="1" applyBorder="1" applyFont="1">
      <alignment horizontal="center" vertical="center"/>
    </xf>
    <xf borderId="83" fillId="4" fontId="3" numFmtId="0" xfId="0" applyAlignment="1" applyBorder="1" applyFont="1">
      <alignment horizontal="center" vertical="center"/>
    </xf>
    <xf borderId="84" fillId="0" fontId="5" numFmtId="0" xfId="0" applyBorder="1" applyFont="1"/>
    <xf borderId="52" fillId="4" fontId="3" numFmtId="0" xfId="0" applyAlignment="1" applyBorder="1" applyFont="1">
      <alignment horizontal="center" shrinkToFit="0" vertical="center" wrapText="1"/>
    </xf>
    <xf borderId="52" fillId="4" fontId="3" numFmtId="0" xfId="0" applyAlignment="1" applyBorder="1" applyFont="1">
      <alignment horizontal="center" vertical="center"/>
    </xf>
    <xf borderId="85" fillId="0" fontId="5" numFmtId="0" xfId="0" applyBorder="1" applyFont="1"/>
    <xf borderId="64" fillId="0" fontId="4" numFmtId="0" xfId="0" applyAlignment="1" applyBorder="1" applyFont="1">
      <alignment horizontal="center" vertical="center"/>
    </xf>
    <xf borderId="54" fillId="2" fontId="3" numFmtId="0" xfId="0" applyAlignment="1" applyBorder="1" applyFont="1">
      <alignment horizontal="center" vertical="center"/>
    </xf>
    <xf borderId="49" fillId="2" fontId="3" numFmtId="0" xfId="0" applyAlignment="1" applyBorder="1" applyFont="1">
      <alignment horizontal="center" vertical="center"/>
    </xf>
    <xf borderId="46" fillId="4" fontId="4" numFmtId="0" xfId="0" applyAlignment="1" applyBorder="1" applyFont="1">
      <alignment horizontal="center" vertical="center"/>
    </xf>
    <xf borderId="60" fillId="4" fontId="3" numFmtId="2" xfId="0" applyAlignment="1" applyBorder="1" applyFont="1" applyNumberFormat="1">
      <alignment horizontal="center" vertical="center"/>
    </xf>
    <xf borderId="52" fillId="4" fontId="3" numFmtId="2" xfId="0" applyAlignment="1" applyBorder="1" applyFont="1" applyNumberFormat="1">
      <alignment horizontal="center" vertical="center"/>
    </xf>
    <xf borderId="86" fillId="4" fontId="3" numFmtId="2" xfId="0" applyAlignment="1" applyBorder="1" applyFont="1" applyNumberFormat="1">
      <alignment horizontal="center" vertical="center"/>
    </xf>
    <xf borderId="10" fillId="4" fontId="34" numFmtId="0" xfId="0" applyAlignment="1" applyBorder="1" applyFont="1">
      <alignment horizontal="center" vertical="center"/>
    </xf>
    <xf borderId="10" fillId="4" fontId="39" numFmtId="0" xfId="0" applyAlignment="1" applyBorder="1" applyFont="1">
      <alignment horizontal="center" vertical="center"/>
    </xf>
    <xf borderId="8" fillId="4" fontId="28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left"/>
    </xf>
    <xf borderId="87" fillId="4" fontId="3" numFmtId="0" xfId="0" applyAlignment="1" applyBorder="1" applyFont="1">
      <alignment vertical="center"/>
    </xf>
    <xf borderId="88" fillId="4" fontId="3" numFmtId="0" xfId="0" applyAlignment="1" applyBorder="1" applyFont="1">
      <alignment horizontal="center" vertical="center"/>
    </xf>
    <xf borderId="88" fillId="4" fontId="3" numFmtId="0" xfId="0" applyAlignment="1" applyBorder="1" applyFont="1">
      <alignment vertical="center"/>
    </xf>
    <xf borderId="89" fillId="4" fontId="3" numFmtId="0" xfId="0" applyAlignment="1" applyBorder="1" applyFont="1">
      <alignment vertical="center"/>
    </xf>
    <xf borderId="16" fillId="4" fontId="3" numFmtId="0" xfId="0" applyAlignment="1" applyBorder="1" applyFont="1">
      <alignment horizontal="center" vertical="center"/>
    </xf>
    <xf borderId="80" fillId="4" fontId="3" numFmtId="0" xfId="0" applyAlignment="1" applyBorder="1" applyFont="1">
      <alignment horizontal="center" shrinkToFit="0" vertical="center" wrapText="1"/>
    </xf>
    <xf borderId="71" fillId="4" fontId="3" numFmtId="0" xfId="0" applyAlignment="1" applyBorder="1" applyFont="1">
      <alignment horizontal="center" shrinkToFit="0" vertical="center" wrapText="1"/>
    </xf>
    <xf borderId="71" fillId="4" fontId="3" numFmtId="0" xfId="0" applyAlignment="1" applyBorder="1" applyFont="1">
      <alignment horizontal="center" vertical="center"/>
    </xf>
    <xf borderId="33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shrinkToFit="0" vertical="center" wrapText="1"/>
    </xf>
    <xf borderId="56" fillId="4" fontId="28" numFmtId="0" xfId="0" applyAlignment="1" applyBorder="1" applyFont="1">
      <alignment horizontal="center" vertical="center"/>
    </xf>
    <xf borderId="90" fillId="4" fontId="3" numFmtId="0" xfId="0" applyAlignment="1" applyBorder="1" applyFont="1">
      <alignment horizontal="center" vertical="center"/>
    </xf>
    <xf borderId="50" fillId="4" fontId="3" numFmtId="0" xfId="0" applyAlignment="1" applyBorder="1" applyFont="1">
      <alignment horizontal="center" vertical="center"/>
    </xf>
    <xf borderId="64" fillId="4" fontId="3" numFmtId="0" xfId="0" applyAlignment="1" applyBorder="1" applyFont="1">
      <alignment horizontal="center" vertical="center"/>
    </xf>
    <xf borderId="59" fillId="4" fontId="28" numFmtId="0" xfId="0" applyAlignment="1" applyBorder="1" applyFont="1">
      <alignment horizontal="center" vertical="center"/>
    </xf>
    <xf borderId="81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73" fillId="4" fontId="3" numFmtId="0" xfId="0" applyAlignment="1" applyBorder="1" applyFont="1">
      <alignment horizontal="center" vertical="center"/>
    </xf>
    <xf borderId="43" fillId="4" fontId="3" numFmtId="0" xfId="0" applyAlignment="1" applyBorder="1" applyFont="1">
      <alignment horizontal="center" vertical="center"/>
    </xf>
    <xf borderId="63" fillId="4" fontId="28" numFmtId="0" xfId="0" applyAlignment="1" applyBorder="1" applyFont="1">
      <alignment horizontal="center" vertical="center"/>
    </xf>
    <xf borderId="91" fillId="4" fontId="3" numFmtId="0" xfId="0" applyAlignment="1" applyBorder="1" applyFont="1">
      <alignment horizontal="center" vertical="center"/>
    </xf>
    <xf borderId="74" fillId="4" fontId="3" numFmtId="0" xfId="0" applyAlignment="1" applyBorder="1" applyFont="1">
      <alignment horizontal="center" vertical="center"/>
    </xf>
    <xf borderId="59" fillId="4" fontId="28" numFmtId="0" xfId="0" applyAlignment="1" applyBorder="1" applyFont="1">
      <alignment horizontal="center" shrinkToFit="0" vertical="center" wrapText="1"/>
    </xf>
    <xf borderId="81" fillId="4" fontId="35" numFmtId="2" xfId="0" applyAlignment="1" applyBorder="1" applyFont="1" applyNumberFormat="1">
      <alignment horizontal="center" vertical="center"/>
    </xf>
    <xf borderId="43" fillId="4" fontId="35" numFmtId="0" xfId="0" applyAlignment="1" applyBorder="1" applyFont="1">
      <alignment horizontal="center" vertical="center"/>
    </xf>
    <xf borderId="63" fillId="4" fontId="28" numFmtId="0" xfId="0" applyAlignment="1" applyBorder="1" applyFont="1">
      <alignment horizontal="center" shrinkToFit="0" vertical="center" wrapText="1"/>
    </xf>
    <xf borderId="91" fillId="4" fontId="3" numFmtId="2" xfId="0" applyAlignment="1" applyBorder="1" applyFont="1" applyNumberFormat="1">
      <alignment horizontal="center" vertical="center"/>
    </xf>
    <xf borderId="46" fillId="4" fontId="3" numFmtId="2" xfId="0" applyAlignment="1" applyBorder="1" applyFont="1" applyNumberFormat="1">
      <alignment horizontal="center" vertical="center"/>
    </xf>
    <xf borderId="10" fillId="4" fontId="36" numFmtId="0" xfId="0" applyAlignment="1" applyBorder="1" applyFont="1">
      <alignment horizontal="center" vertical="center"/>
    </xf>
    <xf borderId="21" fillId="4" fontId="37" numFmtId="2" xfId="0" applyAlignment="1" applyBorder="1" applyFont="1" applyNumberFormat="1">
      <alignment horizontal="center" vertical="center"/>
    </xf>
    <xf borderId="21" fillId="4" fontId="36" numFmtId="0" xfId="0" applyAlignment="1" applyBorder="1" applyFont="1">
      <alignment horizontal="center" shrinkToFit="0" vertical="center" wrapText="1"/>
    </xf>
    <xf borderId="21" fillId="4" fontId="37" numFmtId="0" xfId="0" applyAlignment="1" applyBorder="1" applyFont="1">
      <alignment horizontal="center" vertical="center"/>
    </xf>
    <xf borderId="21" fillId="4" fontId="37" numFmtId="9" xfId="0" applyAlignment="1" applyBorder="1" applyFont="1" applyNumberFormat="1">
      <alignment horizontal="center" vertical="center"/>
    </xf>
    <xf borderId="21" fillId="4" fontId="36" numFmtId="0" xfId="0" applyAlignment="1" applyBorder="1" applyFont="1">
      <alignment horizontal="center" vertical="center"/>
    </xf>
    <xf borderId="10" fillId="5" fontId="38" numFmtId="0" xfId="0" applyAlignment="1" applyBorder="1" applyFont="1">
      <alignment horizontal="center" vertical="center"/>
    </xf>
    <xf borderId="87" fillId="5" fontId="38" numFmtId="2" xfId="0" applyAlignment="1" applyBorder="1" applyFont="1" applyNumberFormat="1">
      <alignment vertical="center"/>
    </xf>
    <xf borderId="33" fillId="5" fontId="38" numFmtId="0" xfId="0" applyAlignment="1" applyBorder="1" applyFont="1">
      <alignment vertical="center"/>
    </xf>
    <xf borderId="22" fillId="2" fontId="3" numFmtId="0" xfId="0" applyAlignment="1" applyBorder="1" applyFont="1">
      <alignment horizontal="center"/>
    </xf>
    <xf borderId="16" fillId="4" fontId="10" numFmtId="0" xfId="0" applyAlignment="1" applyBorder="1" applyFont="1">
      <alignment horizontal="center" shrinkToFit="0" vertical="center" wrapText="1"/>
    </xf>
    <xf borderId="16" fillId="5" fontId="40" numFmtId="0" xfId="0" applyAlignment="1" applyBorder="1" applyFont="1">
      <alignment horizontal="center" shrinkToFit="0" vertical="center" wrapText="1"/>
    </xf>
    <xf borderId="0" fillId="0" fontId="3" numFmtId="2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34</xdr:row>
      <xdr:rowOff>9525</xdr:rowOff>
    </xdr:from>
    <xdr:ext cx="409575" cy="219075"/>
    <xdr:sp>
      <xdr:nvSpPr>
        <xdr:cNvPr id="3" name="Shape 3"/>
        <xdr:cNvSpPr/>
      </xdr:nvSpPr>
      <xdr:spPr>
        <a:xfrm>
          <a:off x="5150738" y="3679988"/>
          <a:ext cx="390525" cy="2000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9525</xdr:colOff>
      <xdr:row>35</xdr:row>
      <xdr:rowOff>85725</xdr:rowOff>
    </xdr:from>
    <xdr:ext cx="333375" cy="276225"/>
    <xdr:sp>
      <xdr:nvSpPr>
        <xdr:cNvPr id="4" name="Shape 4"/>
        <xdr:cNvSpPr/>
      </xdr:nvSpPr>
      <xdr:spPr>
        <a:xfrm>
          <a:off x="5188838" y="3651413"/>
          <a:ext cx="314325" cy="25717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9525</xdr:colOff>
      <xdr:row>34</xdr:row>
      <xdr:rowOff>9525</xdr:rowOff>
    </xdr:from>
    <xdr:ext cx="409575" cy="219075"/>
    <xdr:sp>
      <xdr:nvSpPr>
        <xdr:cNvPr id="3" name="Shape 3"/>
        <xdr:cNvSpPr/>
      </xdr:nvSpPr>
      <xdr:spPr>
        <a:xfrm>
          <a:off x="5150738" y="3679988"/>
          <a:ext cx="390525" cy="2000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9525</xdr:colOff>
      <xdr:row>34</xdr:row>
      <xdr:rowOff>9525</xdr:rowOff>
    </xdr:from>
    <xdr:ext cx="409575" cy="219075"/>
    <xdr:sp>
      <xdr:nvSpPr>
        <xdr:cNvPr id="3" name="Shape 3"/>
        <xdr:cNvSpPr/>
      </xdr:nvSpPr>
      <xdr:spPr>
        <a:xfrm>
          <a:off x="5150738" y="3679988"/>
          <a:ext cx="390525" cy="20002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9525</xdr:colOff>
      <xdr:row>35</xdr:row>
      <xdr:rowOff>85725</xdr:rowOff>
    </xdr:from>
    <xdr:ext cx="333375" cy="276225"/>
    <xdr:sp>
      <xdr:nvSpPr>
        <xdr:cNvPr id="4" name="Shape 4"/>
        <xdr:cNvSpPr/>
      </xdr:nvSpPr>
      <xdr:spPr>
        <a:xfrm>
          <a:off x="5188838" y="3651413"/>
          <a:ext cx="314325" cy="257175"/>
        </a:xfrm>
        <a:prstGeom prst="leftArrow">
          <a:avLst>
            <a:gd fmla="val 50000" name="adj1"/>
            <a:gd fmla="val 50000" name="adj2"/>
          </a:avLst>
        </a:prstGeom>
        <a:noFill/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1276350</xdr:colOff>
      <xdr:row>96</xdr:row>
      <xdr:rowOff>219075</xdr:rowOff>
    </xdr:from>
    <xdr:ext cx="171450" cy="219075"/>
    <xdr:sp>
      <xdr:nvSpPr>
        <xdr:cNvPr id="5" name="Shape 5"/>
        <xdr:cNvSpPr/>
      </xdr:nvSpPr>
      <xdr:spPr>
        <a:xfrm>
          <a:off x="5269800" y="3679988"/>
          <a:ext cx="152400" cy="200025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1314450</xdr:colOff>
      <xdr:row>96</xdr:row>
      <xdr:rowOff>161925</xdr:rowOff>
    </xdr:from>
    <xdr:ext cx="171450" cy="209550"/>
    <xdr:sp>
      <xdr:nvSpPr>
        <xdr:cNvPr id="6" name="Shape 6"/>
        <xdr:cNvSpPr/>
      </xdr:nvSpPr>
      <xdr:spPr>
        <a:xfrm>
          <a:off x="5269800" y="3684750"/>
          <a:ext cx="152400" cy="190500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14"/>
    <col customWidth="1" min="3" max="3" width="8.71"/>
    <col customWidth="1" min="4" max="4" width="38.29"/>
    <col customWidth="1" min="5" max="5" width="13.29"/>
    <col customWidth="1" min="6" max="7" width="8.71"/>
    <col customWidth="1" min="8" max="8" width="10.86"/>
    <col customWidth="1" min="9" max="9" width="12.86"/>
    <col customWidth="1" min="10" max="15" width="8.71"/>
  </cols>
  <sheetData>
    <row r="1">
      <c r="D1" s="1" t="s">
        <v>0</v>
      </c>
      <c r="E1" s="2"/>
      <c r="F1" s="2"/>
      <c r="G1" s="2"/>
      <c r="H1" s="2"/>
      <c r="I1" s="2"/>
      <c r="J1" s="2"/>
      <c r="K1" s="2"/>
      <c r="L1" s="3"/>
    </row>
    <row r="3">
      <c r="A3" s="4"/>
      <c r="B3" s="4"/>
      <c r="C3" s="5" t="s">
        <v>1</v>
      </c>
      <c r="D3" s="6" t="s">
        <v>2</v>
      </c>
      <c r="E3" s="7"/>
      <c r="F3" s="4"/>
    </row>
    <row r="4">
      <c r="A4" s="4"/>
      <c r="B4" s="4"/>
      <c r="C4" s="5" t="s">
        <v>3</v>
      </c>
      <c r="D4" s="6">
        <v>22317.0</v>
      </c>
      <c r="E4" s="7"/>
      <c r="F4" s="4"/>
    </row>
    <row r="5">
      <c r="A5" s="4"/>
      <c r="B5" s="4"/>
      <c r="C5" s="5" t="s">
        <v>4</v>
      </c>
      <c r="D5" s="6" t="s">
        <v>5</v>
      </c>
      <c r="E5" s="7"/>
      <c r="F5" s="4"/>
    </row>
    <row r="6">
      <c r="A6" s="4"/>
      <c r="B6" s="4"/>
      <c r="C6" s="5" t="s">
        <v>6</v>
      </c>
      <c r="D6" s="6" t="s">
        <v>7</v>
      </c>
      <c r="E6" s="7"/>
      <c r="F6" s="4"/>
    </row>
    <row r="7">
      <c r="A7" s="4"/>
      <c r="B7" s="8" t="s">
        <v>8</v>
      </c>
      <c r="C7" s="4"/>
      <c r="D7" s="4"/>
      <c r="E7" s="4"/>
      <c r="F7" s="4"/>
    </row>
    <row r="8" ht="28.5" customHeight="1">
      <c r="A8" s="4"/>
      <c r="B8" s="4"/>
      <c r="C8" s="9" t="s">
        <v>9</v>
      </c>
      <c r="D8" s="10" t="s">
        <v>10</v>
      </c>
      <c r="E8" s="11"/>
      <c r="F8" s="4"/>
    </row>
    <row r="9" ht="28.5" customHeight="1">
      <c r="A9" s="4"/>
      <c r="B9" s="4"/>
      <c r="C9" s="9" t="s">
        <v>11</v>
      </c>
      <c r="D9" s="10" t="s">
        <v>12</v>
      </c>
      <c r="E9" s="11"/>
      <c r="F9" s="4"/>
    </row>
    <row r="10" ht="28.5" customHeight="1">
      <c r="A10" s="4"/>
      <c r="B10" s="4"/>
      <c r="C10" s="9" t="s">
        <v>13</v>
      </c>
      <c r="D10" s="10" t="s">
        <v>14</v>
      </c>
      <c r="E10" s="11"/>
      <c r="F10" s="4"/>
    </row>
    <row r="11" ht="28.5" customHeight="1">
      <c r="A11" s="4"/>
      <c r="B11" s="4"/>
      <c r="C11" s="9" t="s">
        <v>15</v>
      </c>
      <c r="D11" s="12" t="s">
        <v>16</v>
      </c>
      <c r="E11" s="11"/>
      <c r="F11" s="4"/>
    </row>
    <row r="12" ht="28.5" customHeight="1">
      <c r="A12" s="4"/>
      <c r="B12" s="4"/>
      <c r="C12" s="9" t="s">
        <v>17</v>
      </c>
      <c r="D12" s="12" t="s">
        <v>18</v>
      </c>
      <c r="E12" s="11"/>
      <c r="F12" s="4"/>
    </row>
    <row r="13" ht="28.5" customHeight="1">
      <c r="A13" s="4"/>
      <c r="B13" s="4"/>
      <c r="C13" s="9"/>
      <c r="D13" s="12"/>
      <c r="E13" s="11"/>
      <c r="F13" s="4"/>
    </row>
    <row r="14" ht="28.5" customHeight="1">
      <c r="A14" s="4"/>
      <c r="B14" s="4"/>
      <c r="C14" s="13"/>
      <c r="D14" s="14"/>
      <c r="E14" s="15"/>
      <c r="F14" s="4"/>
    </row>
    <row r="15">
      <c r="B15" s="16" t="s">
        <v>19</v>
      </c>
      <c r="C15" s="17"/>
      <c r="D15" s="18"/>
      <c r="E15" s="17"/>
      <c r="F15" s="17"/>
      <c r="G15" s="17"/>
      <c r="H15" s="17"/>
      <c r="I15" s="17"/>
      <c r="J15" s="17"/>
      <c r="K15" s="17"/>
      <c r="L15" s="17"/>
      <c r="M15" s="17"/>
    </row>
    <row r="16">
      <c r="B16" s="19" t="s">
        <v>20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>
      <c r="B17" s="20" t="s">
        <v>21</v>
      </c>
      <c r="C17" s="21" t="s">
        <v>22</v>
      </c>
      <c r="D17" s="22"/>
      <c r="E17" s="23" t="s">
        <v>23</v>
      </c>
      <c r="F17" s="24"/>
      <c r="G17" s="24"/>
      <c r="H17" s="24"/>
      <c r="I17" s="24"/>
      <c r="J17" s="24"/>
      <c r="K17" s="25"/>
      <c r="L17" s="23" t="s">
        <v>24</v>
      </c>
      <c r="M17" s="25"/>
    </row>
    <row r="18">
      <c r="B18" s="26"/>
      <c r="C18" s="27"/>
      <c r="D18" s="28"/>
      <c r="E18" s="29" t="s">
        <v>25</v>
      </c>
      <c r="F18" s="29" t="s">
        <v>26</v>
      </c>
      <c r="G18" s="29" t="s">
        <v>27</v>
      </c>
      <c r="H18" s="29" t="s">
        <v>28</v>
      </c>
      <c r="I18" s="29" t="s">
        <v>29</v>
      </c>
      <c r="J18" s="29" t="s">
        <v>30</v>
      </c>
      <c r="K18" s="29" t="s">
        <v>31</v>
      </c>
      <c r="L18" s="29" t="s">
        <v>32</v>
      </c>
      <c r="M18" s="29" t="s">
        <v>33</v>
      </c>
    </row>
    <row r="19" ht="122.25" customHeight="1">
      <c r="B19" s="30"/>
      <c r="C19" s="31"/>
      <c r="D19" s="32"/>
      <c r="E19" s="33" t="s">
        <v>34</v>
      </c>
      <c r="F19" s="33" t="s">
        <v>35</v>
      </c>
      <c r="G19" s="33" t="s">
        <v>36</v>
      </c>
      <c r="H19" s="33" t="s">
        <v>37</v>
      </c>
      <c r="I19" s="33" t="s">
        <v>38</v>
      </c>
      <c r="J19" s="33" t="s">
        <v>39</v>
      </c>
      <c r="K19" s="33" t="s">
        <v>40</v>
      </c>
      <c r="L19" s="33" t="s">
        <v>41</v>
      </c>
      <c r="M19" s="33" t="s">
        <v>42</v>
      </c>
    </row>
    <row r="20" ht="42.75" customHeight="1">
      <c r="B20" s="34">
        <v>1.0</v>
      </c>
      <c r="C20" s="35" t="str">
        <f t="shared" ref="C20:D20" si="1">C8</f>
        <v>CO1</v>
      </c>
      <c r="D20" s="36" t="str">
        <f t="shared" si="1"/>
        <v>Perform basic operations on arrays</v>
      </c>
      <c r="E20" s="37"/>
      <c r="F20" s="37"/>
      <c r="G20" s="37"/>
      <c r="H20" s="37"/>
      <c r="I20" s="37"/>
      <c r="J20" s="38"/>
      <c r="K20" s="37"/>
      <c r="L20" s="37"/>
      <c r="M20" s="37"/>
    </row>
    <row r="21">
      <c r="B21" s="34">
        <v>2.0</v>
      </c>
      <c r="C21" s="35" t="str">
        <f t="shared" ref="C21:D21" si="2">C9</f>
        <v>CO2</v>
      </c>
      <c r="D21" s="39" t="str">
        <f t="shared" si="2"/>
        <v> Apply different searching and sorting techniques.</v>
      </c>
      <c r="E21" s="37"/>
      <c r="F21" s="37"/>
      <c r="G21" s="37"/>
      <c r="H21" s="37"/>
      <c r="I21" s="37"/>
      <c r="J21" s="38"/>
      <c r="K21" s="37"/>
      <c r="L21" s="37"/>
      <c r="M21" s="37"/>
    </row>
    <row r="22" ht="22.5" customHeight="1">
      <c r="B22" s="34">
        <v>3.0</v>
      </c>
      <c r="C22" s="35" t="str">
        <f t="shared" ref="C22:D22" si="3">C10</f>
        <v>CO3</v>
      </c>
      <c r="D22" s="39" t="str">
        <f t="shared" si="3"/>
        <v>Implement basic operations on stack and queue using array representation</v>
      </c>
      <c r="E22" s="37"/>
      <c r="F22" s="37"/>
      <c r="G22" s="37"/>
      <c r="H22" s="37"/>
      <c r="I22" s="37"/>
      <c r="J22" s="38"/>
      <c r="K22" s="37"/>
      <c r="L22" s="37"/>
      <c r="M22" s="37"/>
    </row>
    <row r="23" ht="15.75" customHeight="1">
      <c r="B23" s="34">
        <v>4.0</v>
      </c>
      <c r="C23" s="35" t="str">
        <f t="shared" ref="C23:D23" si="4">C11</f>
        <v>CO4</v>
      </c>
      <c r="D23" s="39" t="str">
        <f t="shared" si="4"/>
        <v> Implement basic operations on Linked List</v>
      </c>
      <c r="E23" s="37"/>
      <c r="F23" s="37"/>
      <c r="G23" s="37"/>
      <c r="H23" s="37"/>
      <c r="I23" s="37"/>
      <c r="J23" s="38"/>
      <c r="K23" s="37"/>
      <c r="L23" s="37"/>
      <c r="M23" s="37"/>
    </row>
    <row r="24" ht="15.75" customHeight="1">
      <c r="B24" s="34">
        <v>5.0</v>
      </c>
      <c r="C24" s="35" t="str">
        <f t="shared" ref="C24:D24" si="5">C12</f>
        <v>CO5</v>
      </c>
      <c r="D24" s="39" t="str">
        <f t="shared" si="5"/>
        <v>Implement program to create and traverse tree to solve problems</v>
      </c>
      <c r="E24" s="37"/>
      <c r="F24" s="37"/>
      <c r="G24" s="37"/>
      <c r="H24" s="37"/>
      <c r="I24" s="37"/>
      <c r="J24" s="38"/>
      <c r="K24" s="37"/>
      <c r="L24" s="37"/>
      <c r="M24" s="37"/>
    </row>
    <row r="25" ht="15.75" customHeight="1">
      <c r="B25" s="40"/>
      <c r="C25" s="41"/>
      <c r="D25" s="42" t="str">
        <f>D13</f>
        <v/>
      </c>
      <c r="E25" s="37"/>
      <c r="F25" s="37"/>
      <c r="G25" s="37"/>
      <c r="H25" s="37"/>
      <c r="I25" s="37"/>
      <c r="J25" s="38"/>
      <c r="K25" s="37"/>
      <c r="L25" s="37"/>
      <c r="M25" s="37"/>
    </row>
    <row r="26" ht="15.75" customHeight="1">
      <c r="B26" s="43" t="s">
        <v>43</v>
      </c>
      <c r="C26" s="24"/>
      <c r="D26" s="25"/>
      <c r="E26" s="35">
        <f t="shared" ref="E26:M26" si="6">IFERROR(AVERAGE(E20:E24),2)</f>
        <v>2</v>
      </c>
      <c r="F26" s="35">
        <f t="shared" si="6"/>
        <v>2</v>
      </c>
      <c r="G26" s="35">
        <f t="shared" si="6"/>
        <v>2</v>
      </c>
      <c r="H26" s="35">
        <f t="shared" si="6"/>
        <v>2</v>
      </c>
      <c r="I26" s="35">
        <f t="shared" si="6"/>
        <v>2</v>
      </c>
      <c r="J26" s="35">
        <f t="shared" si="6"/>
        <v>2</v>
      </c>
      <c r="K26" s="35">
        <f t="shared" si="6"/>
        <v>2</v>
      </c>
      <c r="L26" s="35">
        <f t="shared" si="6"/>
        <v>2</v>
      </c>
      <c r="M26" s="35">
        <f t="shared" si="6"/>
        <v>2</v>
      </c>
    </row>
    <row r="27" ht="15.75" customHeight="1">
      <c r="B27" s="44" t="s">
        <v>44</v>
      </c>
      <c r="C27" s="24"/>
      <c r="D27" s="25"/>
      <c r="E27" s="45">
        <f t="shared" ref="E27:M27" si="7">E26</f>
        <v>2</v>
      </c>
      <c r="F27" s="45">
        <f t="shared" si="7"/>
        <v>2</v>
      </c>
      <c r="G27" s="45">
        <f t="shared" si="7"/>
        <v>2</v>
      </c>
      <c r="H27" s="46">
        <f t="shared" si="7"/>
        <v>2</v>
      </c>
      <c r="I27" s="46">
        <f t="shared" si="7"/>
        <v>2</v>
      </c>
      <c r="J27" s="45">
        <f t="shared" si="7"/>
        <v>2</v>
      </c>
      <c r="K27" s="45">
        <f t="shared" si="7"/>
        <v>2</v>
      </c>
      <c r="L27" s="45">
        <f t="shared" si="7"/>
        <v>2</v>
      </c>
      <c r="M27" s="45">
        <f t="shared" si="7"/>
        <v>2</v>
      </c>
    </row>
    <row r="28" ht="15.75" customHeight="1"/>
    <row r="29" ht="15.75" customHeight="1"/>
    <row r="30" ht="15.75" customHeight="1">
      <c r="D30" s="47" t="s">
        <v>45</v>
      </c>
      <c r="I30" s="47" t="s">
        <v>46</v>
      </c>
    </row>
    <row r="31" ht="15.75" customHeight="1">
      <c r="A31" s="48"/>
      <c r="B31" s="48"/>
      <c r="C31" s="49" t="s">
        <v>47</v>
      </c>
      <c r="D31" s="7"/>
      <c r="E31" s="7"/>
      <c r="F31" s="48"/>
      <c r="G31" s="48"/>
      <c r="H31" s="48"/>
      <c r="I31" s="49" t="s">
        <v>47</v>
      </c>
      <c r="J31" s="7"/>
      <c r="K31" s="7"/>
      <c r="L31" s="7"/>
      <c r="M31" s="7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</row>
    <row r="32" ht="15.75" customHeight="1"/>
    <row r="33" ht="15.75" customHeight="1"/>
    <row r="34" ht="15.75" customHeight="1"/>
    <row r="35" ht="28.5" customHeight="1">
      <c r="B35" s="50" t="s">
        <v>48</v>
      </c>
      <c r="C35" s="37"/>
      <c r="D35" s="51" t="s">
        <v>49</v>
      </c>
    </row>
    <row r="36" ht="47.25" customHeight="1">
      <c r="B36" s="52"/>
      <c r="C36" s="45"/>
      <c r="D36" s="53" t="s">
        <v>50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6">
    <mergeCell ref="C17:D19"/>
    <mergeCell ref="B26:D26"/>
    <mergeCell ref="B27:D27"/>
    <mergeCell ref="B35:B36"/>
    <mergeCell ref="D35:E35"/>
    <mergeCell ref="D36:E36"/>
    <mergeCell ref="I30:M30"/>
    <mergeCell ref="C31:E31"/>
    <mergeCell ref="I31:M31"/>
    <mergeCell ref="B17:B19"/>
    <mergeCell ref="E17:K17"/>
    <mergeCell ref="L17:M17"/>
    <mergeCell ref="D3:E3"/>
    <mergeCell ref="D4:E4"/>
    <mergeCell ref="D5:E5"/>
    <mergeCell ref="D6:E6"/>
  </mergeCells>
  <printOptions/>
  <pageMargins bottom="0.75" footer="0.0" header="0.0" left="0.7" right="0.7" top="0.75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8.86"/>
    <col customWidth="1" min="3" max="3" width="42.57"/>
    <col customWidth="1" min="4" max="4" width="20.43"/>
    <col customWidth="1" min="5" max="5" width="10.29"/>
    <col customWidth="1" min="6" max="6" width="9.29"/>
    <col customWidth="1" min="7" max="7" width="11.43"/>
    <col customWidth="1" min="8" max="8" width="9.86"/>
    <col customWidth="1" min="9" max="9" width="11.86"/>
    <col customWidth="1" min="10" max="10" width="10.71"/>
    <col customWidth="1" min="11" max="11" width="11.57"/>
    <col customWidth="1" min="12" max="15" width="5.43"/>
  </cols>
  <sheetData>
    <row r="1">
      <c r="A1" s="54" t="s">
        <v>51</v>
      </c>
      <c r="L1" s="55"/>
      <c r="M1" s="55"/>
      <c r="N1" s="55"/>
      <c r="O1" s="55"/>
    </row>
    <row r="2">
      <c r="A2" s="54" t="s">
        <v>52</v>
      </c>
      <c r="L2" s="55"/>
      <c r="M2" s="55"/>
      <c r="N2" s="55"/>
      <c r="O2" s="55"/>
    </row>
    <row r="3">
      <c r="A3" s="55"/>
      <c r="B3" s="56" t="s">
        <v>1</v>
      </c>
      <c r="C3" s="57" t="str">
        <f>'PO Set Target attain level'!D3</f>
        <v>Data Structures Using _C</v>
      </c>
      <c r="D3" s="58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>
      <c r="A4" s="55"/>
      <c r="B4" s="56" t="s">
        <v>3</v>
      </c>
      <c r="C4" s="57">
        <f>'PO Set Target attain level'!D4</f>
        <v>22317</v>
      </c>
      <c r="D4" s="58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>
      <c r="A5" s="55"/>
      <c r="B5" s="56" t="s">
        <v>53</v>
      </c>
      <c r="C5" s="57" t="str">
        <f>'PO Set Target attain level'!D5</f>
        <v>3rd SEM(CO3I SCHEME)</v>
      </c>
      <c r="D5" s="58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</row>
    <row r="6">
      <c r="A6" s="55"/>
      <c r="B6" s="56" t="s">
        <v>54</v>
      </c>
      <c r="C6" s="57" t="str">
        <f>'PO Set Target attain level'!D6</f>
        <v>2023-24</v>
      </c>
      <c r="D6" s="58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</row>
    <row r="7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</row>
    <row r="8" ht="25.5" customHeight="1">
      <c r="A8" s="59" t="s">
        <v>21</v>
      </c>
      <c r="B8" s="60" t="s">
        <v>55</v>
      </c>
      <c r="C8" s="61" t="s">
        <v>56</v>
      </c>
      <c r="D8" s="62" t="s">
        <v>57</v>
      </c>
      <c r="E8" s="63" t="s">
        <v>58</v>
      </c>
      <c r="F8" s="64" t="s">
        <v>59</v>
      </c>
      <c r="G8" s="65" t="s">
        <v>60</v>
      </c>
      <c r="H8" s="66" t="s">
        <v>61</v>
      </c>
      <c r="I8" s="67" t="s">
        <v>62</v>
      </c>
      <c r="J8" s="68" t="s">
        <v>63</v>
      </c>
      <c r="K8" s="68" t="s">
        <v>64</v>
      </c>
      <c r="L8" s="55"/>
      <c r="M8" s="55"/>
      <c r="N8" s="55"/>
      <c r="O8" s="55"/>
    </row>
    <row r="9" ht="18.75" customHeight="1">
      <c r="A9" s="69"/>
      <c r="B9" s="69"/>
      <c r="C9" s="69"/>
      <c r="D9" s="69"/>
      <c r="E9" s="69"/>
      <c r="F9" s="69"/>
      <c r="G9" s="69"/>
      <c r="H9" s="69"/>
      <c r="I9" s="69"/>
      <c r="J9" s="70" t="s">
        <v>65</v>
      </c>
      <c r="K9" s="71"/>
      <c r="L9" s="55"/>
      <c r="M9" s="55"/>
      <c r="N9" s="55"/>
      <c r="O9" s="55"/>
    </row>
    <row r="10" ht="23.25" customHeight="1">
      <c r="A10" s="69"/>
      <c r="B10" s="69"/>
      <c r="C10" s="69"/>
      <c r="D10" s="69"/>
      <c r="E10" s="69"/>
      <c r="F10" s="69"/>
      <c r="G10" s="69"/>
      <c r="H10" s="69"/>
      <c r="I10" s="69"/>
      <c r="J10" s="72"/>
      <c r="K10" s="52"/>
      <c r="L10" s="55"/>
      <c r="M10" s="55"/>
      <c r="N10" s="55"/>
      <c r="O10" s="55"/>
    </row>
    <row r="11" ht="14.25" customHeight="1">
      <c r="A11" s="69"/>
      <c r="B11" s="69"/>
      <c r="C11" s="69"/>
      <c r="D11" s="73"/>
      <c r="E11" s="73"/>
      <c r="F11" s="73"/>
      <c r="G11" s="73"/>
      <c r="H11" s="73"/>
      <c r="I11" s="73"/>
      <c r="J11" s="74"/>
      <c r="K11" s="75"/>
      <c r="L11" s="55"/>
      <c r="M11" s="55"/>
      <c r="N11" s="55"/>
      <c r="O11" s="55"/>
    </row>
    <row r="12" ht="18.75" customHeight="1">
      <c r="A12" s="73"/>
      <c r="B12" s="73"/>
      <c r="C12" s="73"/>
      <c r="D12" s="76"/>
      <c r="E12" s="77"/>
      <c r="F12" s="77"/>
      <c r="G12" s="77"/>
      <c r="H12" s="78"/>
      <c r="I12" s="79"/>
      <c r="J12" s="80">
        <f t="shared" ref="J12:J68" si="1">D12+E12</f>
        <v>0</v>
      </c>
      <c r="K12" s="80">
        <f t="shared" ref="K12:K68" si="2">G12+H12+I12+F12</f>
        <v>0</v>
      </c>
      <c r="L12" s="55"/>
      <c r="M12" s="55"/>
      <c r="N12" s="81"/>
    </row>
    <row r="13">
      <c r="A13" s="82">
        <v>1.0</v>
      </c>
      <c r="B13" s="83">
        <v>2.201180002E9</v>
      </c>
      <c r="C13" s="84" t="s">
        <v>66</v>
      </c>
      <c r="D13" s="82"/>
      <c r="E13" s="82"/>
      <c r="F13" s="82"/>
      <c r="G13" s="85"/>
      <c r="H13" s="82"/>
      <c r="I13" s="82"/>
      <c r="J13" s="80">
        <f t="shared" si="1"/>
        <v>0</v>
      </c>
      <c r="K13" s="86">
        <f t="shared" si="2"/>
        <v>0</v>
      </c>
      <c r="L13" s="55"/>
      <c r="M13" s="55"/>
      <c r="N13" s="81"/>
    </row>
    <row r="14">
      <c r="A14" s="82">
        <v>2.0</v>
      </c>
      <c r="B14" s="87">
        <v>2.201180003E9</v>
      </c>
      <c r="C14" s="88" t="s">
        <v>67</v>
      </c>
      <c r="D14" s="82"/>
      <c r="E14" s="82"/>
      <c r="F14" s="82"/>
      <c r="G14" s="85"/>
      <c r="H14" s="82"/>
      <c r="I14" s="82"/>
      <c r="J14" s="80">
        <f t="shared" si="1"/>
        <v>0</v>
      </c>
      <c r="K14" s="86">
        <f t="shared" si="2"/>
        <v>0</v>
      </c>
      <c r="L14" s="55"/>
      <c r="M14" s="55"/>
      <c r="N14" s="81"/>
    </row>
    <row r="15">
      <c r="A15" s="82">
        <v>3.0</v>
      </c>
      <c r="B15" s="87">
        <v>2.201180004E9</v>
      </c>
      <c r="C15" s="88" t="s">
        <v>68</v>
      </c>
      <c r="D15" s="82"/>
      <c r="E15" s="82"/>
      <c r="F15" s="82"/>
      <c r="G15" s="85"/>
      <c r="H15" s="82"/>
      <c r="I15" s="82"/>
      <c r="J15" s="80">
        <f t="shared" si="1"/>
        <v>0</v>
      </c>
      <c r="K15" s="86">
        <f t="shared" si="2"/>
        <v>0</v>
      </c>
      <c r="L15" s="55"/>
      <c r="M15" s="55"/>
      <c r="N15" s="81"/>
    </row>
    <row r="16">
      <c r="A16" s="82">
        <v>4.0</v>
      </c>
      <c r="B16" s="87">
        <v>2.201180005E9</v>
      </c>
      <c r="C16" s="88" t="s">
        <v>69</v>
      </c>
      <c r="D16" s="82"/>
      <c r="E16" s="82"/>
      <c r="F16" s="82"/>
      <c r="G16" s="85"/>
      <c r="H16" s="82"/>
      <c r="I16" s="82"/>
      <c r="J16" s="80">
        <f t="shared" si="1"/>
        <v>0</v>
      </c>
      <c r="K16" s="86">
        <f t="shared" si="2"/>
        <v>0</v>
      </c>
      <c r="L16" s="55"/>
      <c r="M16" s="55"/>
      <c r="N16" s="81"/>
    </row>
    <row r="17">
      <c r="A17" s="82">
        <v>5.0</v>
      </c>
      <c r="B17" s="87">
        <v>2.201180006E9</v>
      </c>
      <c r="C17" s="88" t="s">
        <v>70</v>
      </c>
      <c r="D17" s="82"/>
      <c r="E17" s="82"/>
      <c r="F17" s="82"/>
      <c r="G17" s="85"/>
      <c r="H17" s="82"/>
      <c r="I17" s="82"/>
      <c r="J17" s="80">
        <f t="shared" si="1"/>
        <v>0</v>
      </c>
      <c r="K17" s="86">
        <f t="shared" si="2"/>
        <v>0</v>
      </c>
      <c r="L17" s="55"/>
      <c r="M17" s="55"/>
      <c r="N17" s="81"/>
    </row>
    <row r="18">
      <c r="A18" s="82">
        <v>6.0</v>
      </c>
      <c r="B18" s="87">
        <v>2.201180009E9</v>
      </c>
      <c r="C18" s="88" t="s">
        <v>71</v>
      </c>
      <c r="D18" s="82"/>
      <c r="E18" s="82"/>
      <c r="F18" s="82"/>
      <c r="G18" s="85"/>
      <c r="H18" s="82"/>
      <c r="I18" s="82"/>
      <c r="J18" s="80">
        <f t="shared" si="1"/>
        <v>0</v>
      </c>
      <c r="K18" s="86">
        <f t="shared" si="2"/>
        <v>0</v>
      </c>
      <c r="L18" s="55"/>
      <c r="M18" s="55"/>
      <c r="N18" s="81"/>
    </row>
    <row r="19">
      <c r="A19" s="82">
        <v>7.0</v>
      </c>
      <c r="B19" s="87">
        <v>2.20118001E9</v>
      </c>
      <c r="C19" s="88" t="s">
        <v>72</v>
      </c>
      <c r="D19" s="82"/>
      <c r="E19" s="82"/>
      <c r="F19" s="82"/>
      <c r="G19" s="85"/>
      <c r="H19" s="82"/>
      <c r="I19" s="82"/>
      <c r="J19" s="80">
        <f t="shared" si="1"/>
        <v>0</v>
      </c>
      <c r="K19" s="86">
        <f t="shared" si="2"/>
        <v>0</v>
      </c>
      <c r="L19" s="55"/>
      <c r="M19" s="55"/>
      <c r="N19" s="81"/>
    </row>
    <row r="20">
      <c r="A20" s="82">
        <v>8.0</v>
      </c>
      <c r="B20" s="87">
        <v>2.201180011E9</v>
      </c>
      <c r="C20" s="88" t="s">
        <v>73</v>
      </c>
      <c r="D20" s="82"/>
      <c r="E20" s="82"/>
      <c r="F20" s="82"/>
      <c r="G20" s="85"/>
      <c r="H20" s="82"/>
      <c r="I20" s="82"/>
      <c r="J20" s="80">
        <f t="shared" si="1"/>
        <v>0</v>
      </c>
      <c r="K20" s="86">
        <f t="shared" si="2"/>
        <v>0</v>
      </c>
      <c r="L20" s="55"/>
      <c r="M20" s="55"/>
      <c r="N20" s="81"/>
    </row>
    <row r="21" ht="15.75" customHeight="1">
      <c r="A21" s="82">
        <v>9.0</v>
      </c>
      <c r="B21" s="87">
        <v>2.201180014E9</v>
      </c>
      <c r="C21" s="88" t="s">
        <v>74</v>
      </c>
      <c r="D21" s="82"/>
      <c r="E21" s="82"/>
      <c r="F21" s="82"/>
      <c r="G21" s="85"/>
      <c r="H21" s="82"/>
      <c r="I21" s="82"/>
      <c r="J21" s="80">
        <f t="shared" si="1"/>
        <v>0</v>
      </c>
      <c r="K21" s="86">
        <f t="shared" si="2"/>
        <v>0</v>
      </c>
      <c r="L21" s="55"/>
      <c r="M21" s="55"/>
      <c r="N21" s="81"/>
      <c r="S21" s="89">
        <v>9.0</v>
      </c>
      <c r="T21" s="90">
        <v>2.201180012E9</v>
      </c>
      <c r="U21" s="91" t="s">
        <v>75</v>
      </c>
      <c r="V21" s="82">
        <v>2.0</v>
      </c>
      <c r="W21" s="82">
        <v>1.0</v>
      </c>
      <c r="X21" s="82">
        <v>4.0</v>
      </c>
      <c r="Y21" s="85">
        <v>4.0</v>
      </c>
      <c r="Z21" s="82">
        <v>4.0</v>
      </c>
      <c r="AA21" s="82"/>
      <c r="AB21" s="80">
        <f t="shared" ref="AB21:AB26" si="3">V21+W21</f>
        <v>3</v>
      </c>
      <c r="AC21" s="86">
        <f t="shared" ref="AC21:AC26" si="4">Y21+Z21+AA21+X21</f>
        <v>12</v>
      </c>
    </row>
    <row r="22" ht="15.75" customHeight="1">
      <c r="A22" s="82">
        <v>10.0</v>
      </c>
      <c r="B22" s="87">
        <v>2.20118005E9</v>
      </c>
      <c r="C22" s="88" t="s">
        <v>76</v>
      </c>
      <c r="D22" s="82"/>
      <c r="E22" s="82"/>
      <c r="F22" s="82"/>
      <c r="G22" s="85"/>
      <c r="H22" s="82"/>
      <c r="I22" s="82"/>
      <c r="J22" s="80">
        <f t="shared" si="1"/>
        <v>0</v>
      </c>
      <c r="K22" s="86">
        <f t="shared" si="2"/>
        <v>0</v>
      </c>
      <c r="L22" s="55"/>
      <c r="M22" s="55"/>
      <c r="N22" s="81"/>
      <c r="S22" s="89">
        <v>34.0</v>
      </c>
      <c r="T22" s="90">
        <v>2.201180236E9</v>
      </c>
      <c r="U22" s="92" t="s">
        <v>77</v>
      </c>
      <c r="V22" s="82">
        <v>5.0</v>
      </c>
      <c r="W22" s="82">
        <v>10.0</v>
      </c>
      <c r="X22" s="82">
        <v>1.0</v>
      </c>
      <c r="Y22" s="85">
        <v>1.0</v>
      </c>
      <c r="Z22" s="82">
        <v>5.0</v>
      </c>
      <c r="AA22" s="82"/>
      <c r="AB22" s="80">
        <f t="shared" si="3"/>
        <v>15</v>
      </c>
      <c r="AC22" s="86">
        <f t="shared" si="4"/>
        <v>7</v>
      </c>
    </row>
    <row r="23" ht="15.75" customHeight="1">
      <c r="A23" s="82">
        <v>11.0</v>
      </c>
      <c r="B23" s="87">
        <v>2.201180051E9</v>
      </c>
      <c r="C23" s="88" t="s">
        <v>78</v>
      </c>
      <c r="D23" s="82"/>
      <c r="E23" s="82"/>
      <c r="F23" s="82"/>
      <c r="G23" s="85"/>
      <c r="H23" s="82"/>
      <c r="I23" s="82"/>
      <c r="J23" s="80">
        <f t="shared" si="1"/>
        <v>0</v>
      </c>
      <c r="K23" s="86">
        <f t="shared" si="2"/>
        <v>0</v>
      </c>
      <c r="L23" s="55"/>
      <c r="M23" s="55"/>
      <c r="N23" s="81"/>
      <c r="S23" s="89">
        <v>37.0</v>
      </c>
      <c r="T23" s="90">
        <v>2.20118024E9</v>
      </c>
      <c r="U23" s="92" t="s">
        <v>79</v>
      </c>
      <c r="V23" s="82">
        <v>2.0</v>
      </c>
      <c r="W23" s="82">
        <v>7.0</v>
      </c>
      <c r="X23" s="82">
        <v>7.0</v>
      </c>
      <c r="Y23" s="85">
        <v>8.0</v>
      </c>
      <c r="Z23" s="82">
        <v>6.0</v>
      </c>
      <c r="AA23" s="82"/>
      <c r="AB23" s="80">
        <f t="shared" si="3"/>
        <v>9</v>
      </c>
      <c r="AC23" s="86">
        <f t="shared" si="4"/>
        <v>21</v>
      </c>
    </row>
    <row r="24" ht="15.75" customHeight="1">
      <c r="A24" s="82">
        <v>12.0</v>
      </c>
      <c r="B24" s="87">
        <v>2.201180052E9</v>
      </c>
      <c r="C24" s="88" t="s">
        <v>80</v>
      </c>
      <c r="D24" s="82"/>
      <c r="E24" s="82"/>
      <c r="F24" s="82"/>
      <c r="G24" s="85"/>
      <c r="H24" s="82"/>
      <c r="I24" s="82"/>
      <c r="J24" s="80">
        <f t="shared" si="1"/>
        <v>0</v>
      </c>
      <c r="K24" s="86">
        <f t="shared" si="2"/>
        <v>0</v>
      </c>
      <c r="L24" s="55"/>
      <c r="M24" s="55"/>
      <c r="N24" s="81"/>
      <c r="S24" s="89">
        <v>45.0</v>
      </c>
      <c r="T24" s="93">
        <v>2.201180402E9</v>
      </c>
      <c r="U24" s="94" t="s">
        <v>81</v>
      </c>
      <c r="V24" s="82">
        <v>6.0</v>
      </c>
      <c r="W24" s="82">
        <v>7.0</v>
      </c>
      <c r="X24" s="82"/>
      <c r="Y24" s="85"/>
      <c r="Z24" s="82"/>
      <c r="AA24" s="82"/>
      <c r="AB24" s="80">
        <f t="shared" si="3"/>
        <v>13</v>
      </c>
      <c r="AC24" s="86">
        <f t="shared" si="4"/>
        <v>0</v>
      </c>
    </row>
    <row r="25" ht="15.75" customHeight="1">
      <c r="A25" s="82">
        <v>13.0</v>
      </c>
      <c r="B25" s="87">
        <v>2.201180053E9</v>
      </c>
      <c r="C25" s="88" t="s">
        <v>82</v>
      </c>
      <c r="D25" s="82"/>
      <c r="E25" s="82"/>
      <c r="F25" s="82"/>
      <c r="G25" s="85"/>
      <c r="H25" s="82"/>
      <c r="I25" s="82"/>
      <c r="J25" s="80">
        <f t="shared" si="1"/>
        <v>0</v>
      </c>
      <c r="K25" s="86">
        <f t="shared" si="2"/>
        <v>0</v>
      </c>
      <c r="L25" s="55"/>
      <c r="M25" s="55"/>
      <c r="N25" s="81"/>
      <c r="S25" s="89">
        <v>46.0</v>
      </c>
      <c r="T25" s="90">
        <v>2.201180403E9</v>
      </c>
      <c r="U25" s="92" t="s">
        <v>83</v>
      </c>
      <c r="V25" s="82">
        <v>6.0</v>
      </c>
      <c r="W25" s="82">
        <v>2.0</v>
      </c>
      <c r="X25" s="82"/>
      <c r="Y25" s="85"/>
      <c r="Z25" s="82"/>
      <c r="AA25" s="82"/>
      <c r="AB25" s="80">
        <f t="shared" si="3"/>
        <v>8</v>
      </c>
      <c r="AC25" s="86">
        <f t="shared" si="4"/>
        <v>0</v>
      </c>
    </row>
    <row r="26" ht="15.75" customHeight="1">
      <c r="A26" s="82">
        <v>14.0</v>
      </c>
      <c r="B26" s="87">
        <v>2.201180055E9</v>
      </c>
      <c r="C26" s="88" t="s">
        <v>84</v>
      </c>
      <c r="D26" s="82"/>
      <c r="E26" s="82"/>
      <c r="F26" s="82"/>
      <c r="G26" s="85"/>
      <c r="H26" s="82"/>
      <c r="I26" s="82"/>
      <c r="J26" s="80">
        <f t="shared" si="1"/>
        <v>0</v>
      </c>
      <c r="K26" s="86">
        <f t="shared" si="2"/>
        <v>0</v>
      </c>
      <c r="L26" s="55"/>
      <c r="M26" s="55"/>
      <c r="N26" s="81"/>
      <c r="S26" s="89">
        <v>52.0</v>
      </c>
      <c r="T26" s="90">
        <v>2.201180409E9</v>
      </c>
      <c r="U26" s="92" t="s">
        <v>85</v>
      </c>
      <c r="V26" s="82"/>
      <c r="W26" s="82"/>
      <c r="X26" s="82"/>
      <c r="Y26" s="85"/>
      <c r="Z26" s="82"/>
      <c r="AA26" s="82"/>
      <c r="AB26" s="80">
        <f t="shared" si="3"/>
        <v>0</v>
      </c>
      <c r="AC26" s="86">
        <f t="shared" si="4"/>
        <v>0</v>
      </c>
    </row>
    <row r="27" ht="15.75" customHeight="1">
      <c r="A27" s="82">
        <v>15.0</v>
      </c>
      <c r="B27" s="87">
        <v>2.201180056E9</v>
      </c>
      <c r="C27" s="88" t="s">
        <v>86</v>
      </c>
      <c r="D27" s="82"/>
      <c r="E27" s="82"/>
      <c r="F27" s="82"/>
      <c r="G27" s="85"/>
      <c r="H27" s="82"/>
      <c r="I27" s="82"/>
      <c r="J27" s="80">
        <f t="shared" si="1"/>
        <v>0</v>
      </c>
      <c r="K27" s="86">
        <f t="shared" si="2"/>
        <v>0</v>
      </c>
      <c r="L27" s="55"/>
      <c r="M27" s="55"/>
      <c r="N27" s="81"/>
    </row>
    <row r="28" ht="15.75" customHeight="1">
      <c r="A28" s="82">
        <v>16.0</v>
      </c>
      <c r="B28" s="87">
        <v>2.201180058E9</v>
      </c>
      <c r="C28" s="88" t="s">
        <v>87</v>
      </c>
      <c r="D28" s="82"/>
      <c r="E28" s="82"/>
      <c r="F28" s="82"/>
      <c r="G28" s="85"/>
      <c r="H28" s="82"/>
      <c r="I28" s="82"/>
      <c r="J28" s="80">
        <f t="shared" si="1"/>
        <v>0</v>
      </c>
      <c r="K28" s="86">
        <f t="shared" si="2"/>
        <v>0</v>
      </c>
      <c r="L28" s="55"/>
      <c r="M28" s="55"/>
      <c r="N28" s="81"/>
    </row>
    <row r="29" ht="15.75" customHeight="1">
      <c r="A29" s="82">
        <v>17.0</v>
      </c>
      <c r="B29" s="87">
        <v>2.201180059E9</v>
      </c>
      <c r="C29" s="88" t="s">
        <v>88</v>
      </c>
      <c r="D29" s="82"/>
      <c r="E29" s="82"/>
      <c r="F29" s="82"/>
      <c r="G29" s="85"/>
      <c r="H29" s="82"/>
      <c r="I29" s="82"/>
      <c r="J29" s="80">
        <f t="shared" si="1"/>
        <v>0</v>
      </c>
      <c r="K29" s="86">
        <f t="shared" si="2"/>
        <v>0</v>
      </c>
      <c r="L29" s="55"/>
      <c r="M29" s="55"/>
      <c r="N29" s="81"/>
    </row>
    <row r="30" ht="15.75" customHeight="1">
      <c r="A30" s="82">
        <v>18.0</v>
      </c>
      <c r="B30" s="87">
        <v>2.20118006E9</v>
      </c>
      <c r="C30" s="88" t="s">
        <v>89</v>
      </c>
      <c r="D30" s="82"/>
      <c r="E30" s="82"/>
      <c r="F30" s="82"/>
      <c r="G30" s="85"/>
      <c r="H30" s="82"/>
      <c r="I30" s="82"/>
      <c r="J30" s="80">
        <f t="shared" si="1"/>
        <v>0</v>
      </c>
      <c r="K30" s="86">
        <f t="shared" si="2"/>
        <v>0</v>
      </c>
      <c r="L30" s="55"/>
      <c r="M30" s="55"/>
      <c r="N30" s="81"/>
    </row>
    <row r="31" ht="15.75" customHeight="1">
      <c r="A31" s="82">
        <v>19.0</v>
      </c>
      <c r="B31" s="87">
        <v>2.201180061E9</v>
      </c>
      <c r="C31" s="88" t="s">
        <v>90</v>
      </c>
      <c r="D31" s="82"/>
      <c r="E31" s="82"/>
      <c r="F31" s="82"/>
      <c r="G31" s="85"/>
      <c r="H31" s="82"/>
      <c r="I31" s="82"/>
      <c r="J31" s="80">
        <f t="shared" si="1"/>
        <v>0</v>
      </c>
      <c r="K31" s="86">
        <f t="shared" si="2"/>
        <v>0</v>
      </c>
      <c r="L31" s="55"/>
      <c r="M31" s="55"/>
      <c r="N31" s="81"/>
    </row>
    <row r="32" ht="15.75" customHeight="1">
      <c r="A32" s="82">
        <v>20.0</v>
      </c>
      <c r="B32" s="87">
        <v>2.201180062E9</v>
      </c>
      <c r="C32" s="88" t="s">
        <v>91</v>
      </c>
      <c r="D32" s="82"/>
      <c r="E32" s="82"/>
      <c r="F32" s="82"/>
      <c r="G32" s="85"/>
      <c r="H32" s="82"/>
      <c r="I32" s="82"/>
      <c r="J32" s="80">
        <f t="shared" si="1"/>
        <v>0</v>
      </c>
      <c r="K32" s="86">
        <f t="shared" si="2"/>
        <v>0</v>
      </c>
      <c r="L32" s="55"/>
      <c r="M32" s="55"/>
      <c r="N32" s="81"/>
    </row>
    <row r="33" ht="15.75" customHeight="1">
      <c r="A33" s="82">
        <v>21.0</v>
      </c>
      <c r="B33" s="87">
        <v>2.201180063E9</v>
      </c>
      <c r="C33" s="88" t="s">
        <v>92</v>
      </c>
      <c r="D33" s="82"/>
      <c r="E33" s="82"/>
      <c r="F33" s="82"/>
      <c r="G33" s="85"/>
      <c r="H33" s="82"/>
      <c r="I33" s="82"/>
      <c r="J33" s="80">
        <f t="shared" si="1"/>
        <v>0</v>
      </c>
      <c r="K33" s="86">
        <f t="shared" si="2"/>
        <v>0</v>
      </c>
      <c r="L33" s="55"/>
      <c r="M33" s="55"/>
      <c r="N33" s="81"/>
    </row>
    <row r="34" ht="15.75" customHeight="1">
      <c r="A34" s="82">
        <v>22.0</v>
      </c>
      <c r="B34" s="87">
        <v>2.201180064E9</v>
      </c>
      <c r="C34" s="88" t="s">
        <v>93</v>
      </c>
      <c r="D34" s="82"/>
      <c r="E34" s="82"/>
      <c r="F34" s="82"/>
      <c r="G34" s="85"/>
      <c r="H34" s="82"/>
      <c r="I34" s="82"/>
      <c r="J34" s="80">
        <f t="shared" si="1"/>
        <v>0</v>
      </c>
      <c r="K34" s="86">
        <f t="shared" si="2"/>
        <v>0</v>
      </c>
      <c r="L34" s="55"/>
      <c r="M34" s="55"/>
      <c r="N34" s="81"/>
    </row>
    <row r="35" ht="15.75" customHeight="1">
      <c r="A35" s="82">
        <v>23.0</v>
      </c>
      <c r="B35" s="87">
        <v>2.201180065E9</v>
      </c>
      <c r="C35" s="88" t="s">
        <v>94</v>
      </c>
      <c r="D35" s="82"/>
      <c r="E35" s="82"/>
      <c r="F35" s="82"/>
      <c r="G35" s="85"/>
      <c r="H35" s="82"/>
      <c r="I35" s="82"/>
      <c r="J35" s="80">
        <f t="shared" si="1"/>
        <v>0</v>
      </c>
      <c r="K35" s="86">
        <f t="shared" si="2"/>
        <v>0</v>
      </c>
      <c r="L35" s="55"/>
      <c r="M35" s="55"/>
      <c r="N35" s="81"/>
    </row>
    <row r="36" ht="15.75" customHeight="1">
      <c r="A36" s="82">
        <v>24.0</v>
      </c>
      <c r="B36" s="87">
        <v>2.201180148E9</v>
      </c>
      <c r="C36" s="88" t="s">
        <v>95</v>
      </c>
      <c r="D36" s="82"/>
      <c r="E36" s="82"/>
      <c r="F36" s="82"/>
      <c r="G36" s="85"/>
      <c r="H36" s="82"/>
      <c r="I36" s="82"/>
      <c r="J36" s="80">
        <f t="shared" si="1"/>
        <v>0</v>
      </c>
      <c r="K36" s="86">
        <f t="shared" si="2"/>
        <v>0</v>
      </c>
      <c r="L36" s="55"/>
      <c r="M36" s="55"/>
      <c r="N36" s="81"/>
    </row>
    <row r="37" ht="15.75" customHeight="1">
      <c r="A37" s="82">
        <v>25.0</v>
      </c>
      <c r="B37" s="87">
        <v>2.201180227E9</v>
      </c>
      <c r="C37" s="88" t="s">
        <v>96</v>
      </c>
      <c r="D37" s="82"/>
      <c r="E37" s="82"/>
      <c r="F37" s="82"/>
      <c r="G37" s="85"/>
      <c r="H37" s="82"/>
      <c r="I37" s="82"/>
      <c r="J37" s="80">
        <f t="shared" si="1"/>
        <v>0</v>
      </c>
      <c r="K37" s="86">
        <f t="shared" si="2"/>
        <v>0</v>
      </c>
      <c r="L37" s="55"/>
      <c r="M37" s="55"/>
      <c r="N37" s="81"/>
    </row>
    <row r="38" ht="15.75" customHeight="1">
      <c r="A38" s="82">
        <v>26.0</v>
      </c>
      <c r="B38" s="87">
        <v>2.201180228E9</v>
      </c>
      <c r="C38" s="88" t="s">
        <v>97</v>
      </c>
      <c r="D38" s="82"/>
      <c r="E38" s="82"/>
      <c r="F38" s="82"/>
      <c r="G38" s="85"/>
      <c r="H38" s="82"/>
      <c r="I38" s="82"/>
      <c r="J38" s="80">
        <f t="shared" si="1"/>
        <v>0</v>
      </c>
      <c r="K38" s="86">
        <f t="shared" si="2"/>
        <v>0</v>
      </c>
      <c r="L38" s="55"/>
      <c r="M38" s="55"/>
      <c r="N38" s="81"/>
    </row>
    <row r="39" ht="15.75" customHeight="1">
      <c r="A39" s="82">
        <v>27.0</v>
      </c>
      <c r="B39" s="87">
        <v>2.201180229E9</v>
      </c>
      <c r="C39" s="88" t="s">
        <v>98</v>
      </c>
      <c r="D39" s="82"/>
      <c r="E39" s="82"/>
      <c r="F39" s="82"/>
      <c r="G39" s="85"/>
      <c r="H39" s="82"/>
      <c r="I39" s="82"/>
      <c r="J39" s="80">
        <f t="shared" si="1"/>
        <v>0</v>
      </c>
      <c r="K39" s="86">
        <f t="shared" si="2"/>
        <v>0</v>
      </c>
      <c r="L39" s="55"/>
      <c r="M39" s="55"/>
      <c r="N39" s="81"/>
    </row>
    <row r="40" ht="15.75" customHeight="1">
      <c r="A40" s="82">
        <v>28.0</v>
      </c>
      <c r="B40" s="87">
        <v>2.20118023E9</v>
      </c>
      <c r="C40" s="88" t="s">
        <v>99</v>
      </c>
      <c r="D40" s="82"/>
      <c r="E40" s="82"/>
      <c r="F40" s="82"/>
      <c r="G40" s="85"/>
      <c r="H40" s="82"/>
      <c r="I40" s="82"/>
      <c r="J40" s="80">
        <f t="shared" si="1"/>
        <v>0</v>
      </c>
      <c r="K40" s="86">
        <f t="shared" si="2"/>
        <v>0</v>
      </c>
      <c r="L40" s="55"/>
      <c r="M40" s="55"/>
      <c r="N40" s="81"/>
    </row>
    <row r="41" ht="15.75" customHeight="1">
      <c r="A41" s="82">
        <v>29.0</v>
      </c>
      <c r="B41" s="87">
        <v>2.201180232E9</v>
      </c>
      <c r="C41" s="88" t="s">
        <v>100</v>
      </c>
      <c r="D41" s="82"/>
      <c r="E41" s="82"/>
      <c r="F41" s="82"/>
      <c r="G41" s="85"/>
      <c r="H41" s="82"/>
      <c r="I41" s="82"/>
      <c r="J41" s="80">
        <f t="shared" si="1"/>
        <v>0</v>
      </c>
      <c r="K41" s="86">
        <f t="shared" si="2"/>
        <v>0</v>
      </c>
      <c r="L41" s="55"/>
      <c r="M41" s="55"/>
      <c r="N41" s="81"/>
    </row>
    <row r="42" ht="15.75" customHeight="1">
      <c r="A42" s="82">
        <v>30.0</v>
      </c>
      <c r="B42" s="87">
        <v>2.201180233E9</v>
      </c>
      <c r="C42" s="88" t="s">
        <v>101</v>
      </c>
      <c r="D42" s="82"/>
      <c r="E42" s="82"/>
      <c r="F42" s="82"/>
      <c r="G42" s="85"/>
      <c r="H42" s="82"/>
      <c r="I42" s="82"/>
      <c r="J42" s="80">
        <f t="shared" si="1"/>
        <v>0</v>
      </c>
      <c r="K42" s="86">
        <f t="shared" si="2"/>
        <v>0</v>
      </c>
      <c r="L42" s="55"/>
      <c r="M42" s="55"/>
      <c r="N42" s="81"/>
    </row>
    <row r="43" ht="15.75" customHeight="1">
      <c r="A43" s="82">
        <v>31.0</v>
      </c>
      <c r="B43" s="87">
        <v>2.201180234E9</v>
      </c>
      <c r="C43" s="88" t="s">
        <v>102</v>
      </c>
      <c r="D43" s="82"/>
      <c r="E43" s="82"/>
      <c r="F43" s="82"/>
      <c r="G43" s="85"/>
      <c r="H43" s="82"/>
      <c r="I43" s="82"/>
      <c r="J43" s="80">
        <f t="shared" si="1"/>
        <v>0</v>
      </c>
      <c r="K43" s="86">
        <f t="shared" si="2"/>
        <v>0</v>
      </c>
      <c r="L43" s="55"/>
      <c r="M43" s="55"/>
      <c r="N43" s="81"/>
    </row>
    <row r="44" ht="15.75" customHeight="1">
      <c r="A44" s="82">
        <v>32.0</v>
      </c>
      <c r="B44" s="87">
        <v>2.201180235E9</v>
      </c>
      <c r="C44" s="88" t="s">
        <v>103</v>
      </c>
      <c r="D44" s="82"/>
      <c r="E44" s="82"/>
      <c r="F44" s="82"/>
      <c r="G44" s="85"/>
      <c r="H44" s="82"/>
      <c r="I44" s="82"/>
      <c r="J44" s="80">
        <f t="shared" si="1"/>
        <v>0</v>
      </c>
      <c r="K44" s="86">
        <f t="shared" si="2"/>
        <v>0</v>
      </c>
      <c r="L44" s="55"/>
      <c r="M44" s="55"/>
      <c r="N44" s="81"/>
    </row>
    <row r="45" ht="15.75" customHeight="1">
      <c r="A45" s="82">
        <v>33.0</v>
      </c>
      <c r="B45" s="87">
        <v>2.201180237E9</v>
      </c>
      <c r="C45" s="88" t="s">
        <v>104</v>
      </c>
      <c r="D45" s="82"/>
      <c r="E45" s="82"/>
      <c r="F45" s="82"/>
      <c r="G45" s="85"/>
      <c r="H45" s="82"/>
      <c r="I45" s="82"/>
      <c r="J45" s="80">
        <f t="shared" si="1"/>
        <v>0</v>
      </c>
      <c r="K45" s="86">
        <f t="shared" si="2"/>
        <v>0</v>
      </c>
      <c r="L45" s="55"/>
      <c r="M45" s="55"/>
      <c r="N45" s="81"/>
    </row>
    <row r="46" ht="15.75" customHeight="1">
      <c r="A46" s="82">
        <v>34.0</v>
      </c>
      <c r="B46" s="87">
        <v>2.201180238E9</v>
      </c>
      <c r="C46" s="88" t="s">
        <v>105</v>
      </c>
      <c r="D46" s="82"/>
      <c r="E46" s="82"/>
      <c r="F46" s="82"/>
      <c r="G46" s="85"/>
      <c r="H46" s="82"/>
      <c r="I46" s="82"/>
      <c r="J46" s="80">
        <f t="shared" si="1"/>
        <v>0</v>
      </c>
      <c r="K46" s="86">
        <f t="shared" si="2"/>
        <v>0</v>
      </c>
      <c r="L46" s="55"/>
      <c r="M46" s="55"/>
      <c r="N46" s="81"/>
    </row>
    <row r="47" ht="15.75" customHeight="1">
      <c r="A47" s="82">
        <v>35.0</v>
      </c>
      <c r="B47" s="87">
        <v>2.201180241E9</v>
      </c>
      <c r="C47" s="88" t="s">
        <v>106</v>
      </c>
      <c r="D47" s="82"/>
      <c r="E47" s="82"/>
      <c r="F47" s="82"/>
      <c r="G47" s="85"/>
      <c r="H47" s="82"/>
      <c r="I47" s="82"/>
      <c r="J47" s="80">
        <f t="shared" si="1"/>
        <v>0</v>
      </c>
      <c r="K47" s="86">
        <f t="shared" si="2"/>
        <v>0</v>
      </c>
      <c r="L47" s="55"/>
      <c r="M47" s="55"/>
      <c r="N47" s="81"/>
    </row>
    <row r="48" ht="15.75" customHeight="1">
      <c r="A48" s="82">
        <v>36.0</v>
      </c>
      <c r="B48" s="87">
        <v>2.201180242E9</v>
      </c>
      <c r="C48" s="88" t="s">
        <v>107</v>
      </c>
      <c r="D48" s="82"/>
      <c r="E48" s="82"/>
      <c r="F48" s="82"/>
      <c r="G48" s="85"/>
      <c r="H48" s="82"/>
      <c r="I48" s="82"/>
      <c r="J48" s="80">
        <f t="shared" si="1"/>
        <v>0</v>
      </c>
      <c r="K48" s="86">
        <f t="shared" si="2"/>
        <v>0</v>
      </c>
      <c r="L48" s="55"/>
      <c r="M48" s="55"/>
      <c r="N48" s="81"/>
    </row>
    <row r="49" ht="15.75" customHeight="1">
      <c r="A49" s="82">
        <v>37.0</v>
      </c>
      <c r="B49" s="87">
        <v>2.201180243E9</v>
      </c>
      <c r="C49" s="88" t="s">
        <v>108</v>
      </c>
      <c r="D49" s="82"/>
      <c r="E49" s="82"/>
      <c r="F49" s="82"/>
      <c r="G49" s="85"/>
      <c r="H49" s="82"/>
      <c r="I49" s="82"/>
      <c r="J49" s="80">
        <f t="shared" si="1"/>
        <v>0</v>
      </c>
      <c r="K49" s="86">
        <f t="shared" si="2"/>
        <v>0</v>
      </c>
      <c r="L49" s="55"/>
      <c r="M49" s="55"/>
      <c r="N49" s="81"/>
    </row>
    <row r="50" ht="15.75" customHeight="1">
      <c r="A50" s="82">
        <v>38.0</v>
      </c>
      <c r="B50" s="87">
        <v>2.20118028E9</v>
      </c>
      <c r="C50" s="88" t="s">
        <v>109</v>
      </c>
      <c r="D50" s="82"/>
      <c r="E50" s="82"/>
      <c r="F50" s="82"/>
      <c r="G50" s="85"/>
      <c r="H50" s="82"/>
      <c r="I50" s="82"/>
      <c r="J50" s="80">
        <f t="shared" si="1"/>
        <v>0</v>
      </c>
      <c r="K50" s="86">
        <f t="shared" si="2"/>
        <v>0</v>
      </c>
      <c r="L50" s="55"/>
      <c r="M50" s="55"/>
      <c r="N50" s="81"/>
    </row>
    <row r="51" ht="15.75" customHeight="1">
      <c r="A51" s="82">
        <v>39.0</v>
      </c>
      <c r="B51" s="87">
        <v>2.201180282E9</v>
      </c>
      <c r="C51" s="88" t="s">
        <v>110</v>
      </c>
      <c r="D51" s="82"/>
      <c r="E51" s="82"/>
      <c r="F51" s="82"/>
      <c r="G51" s="85"/>
      <c r="H51" s="82"/>
      <c r="I51" s="82"/>
      <c r="J51" s="80">
        <f t="shared" si="1"/>
        <v>0</v>
      </c>
      <c r="K51" s="86">
        <f t="shared" si="2"/>
        <v>0</v>
      </c>
      <c r="L51" s="55"/>
      <c r="M51" s="55"/>
      <c r="N51" s="81"/>
    </row>
    <row r="52" ht="15.75" customHeight="1">
      <c r="A52" s="82">
        <v>40.0</v>
      </c>
      <c r="B52" s="87">
        <v>2.201180283E9</v>
      </c>
      <c r="C52" s="88" t="s">
        <v>111</v>
      </c>
      <c r="D52" s="82"/>
      <c r="E52" s="82"/>
      <c r="F52" s="82"/>
      <c r="G52" s="85"/>
      <c r="H52" s="82"/>
      <c r="I52" s="82"/>
      <c r="J52" s="80">
        <f t="shared" si="1"/>
        <v>0</v>
      </c>
      <c r="K52" s="86">
        <f t="shared" si="2"/>
        <v>0</v>
      </c>
      <c r="L52" s="55"/>
      <c r="M52" s="55"/>
      <c r="N52" s="81"/>
    </row>
    <row r="53" ht="15.75" customHeight="1">
      <c r="A53" s="82">
        <v>41.0</v>
      </c>
      <c r="B53" s="87">
        <v>2.201180401E9</v>
      </c>
      <c r="C53" s="88" t="s">
        <v>112</v>
      </c>
      <c r="D53" s="82"/>
      <c r="E53" s="82"/>
      <c r="F53" s="82"/>
      <c r="G53" s="85"/>
      <c r="H53" s="82"/>
      <c r="I53" s="82"/>
      <c r="J53" s="80">
        <f t="shared" si="1"/>
        <v>0</v>
      </c>
      <c r="K53" s="86">
        <f t="shared" si="2"/>
        <v>0</v>
      </c>
      <c r="L53" s="55"/>
      <c r="M53" s="55"/>
      <c r="N53" s="81"/>
    </row>
    <row r="54" ht="15.75" customHeight="1">
      <c r="A54" s="82">
        <v>42.0</v>
      </c>
      <c r="B54" s="87">
        <v>2.201180404E9</v>
      </c>
      <c r="C54" s="88" t="s">
        <v>113</v>
      </c>
      <c r="D54" s="82"/>
      <c r="E54" s="82"/>
      <c r="F54" s="82"/>
      <c r="G54" s="85"/>
      <c r="H54" s="82"/>
      <c r="I54" s="82"/>
      <c r="J54" s="80">
        <f t="shared" si="1"/>
        <v>0</v>
      </c>
      <c r="K54" s="86">
        <f t="shared" si="2"/>
        <v>0</v>
      </c>
      <c r="L54" s="55"/>
      <c r="M54" s="55"/>
      <c r="N54" s="81"/>
    </row>
    <row r="55" ht="15.75" customHeight="1">
      <c r="A55" s="82">
        <v>43.0</v>
      </c>
      <c r="B55" s="87">
        <v>2.201180405E9</v>
      </c>
      <c r="C55" s="88" t="s">
        <v>114</v>
      </c>
      <c r="D55" s="82"/>
      <c r="E55" s="82"/>
      <c r="F55" s="82"/>
      <c r="G55" s="85"/>
      <c r="H55" s="82"/>
      <c r="I55" s="82"/>
      <c r="J55" s="80">
        <f t="shared" si="1"/>
        <v>0</v>
      </c>
      <c r="K55" s="86">
        <f t="shared" si="2"/>
        <v>0</v>
      </c>
      <c r="L55" s="55"/>
      <c r="M55" s="55"/>
      <c r="N55" s="81"/>
    </row>
    <row r="56" ht="15.75" customHeight="1">
      <c r="A56" s="82">
        <v>44.0</v>
      </c>
      <c r="B56" s="87">
        <v>2.201180406E9</v>
      </c>
      <c r="C56" s="88" t="s">
        <v>115</v>
      </c>
      <c r="D56" s="82"/>
      <c r="E56" s="82"/>
      <c r="F56" s="82"/>
      <c r="G56" s="85"/>
      <c r="H56" s="82"/>
      <c r="I56" s="82"/>
      <c r="J56" s="80">
        <f t="shared" si="1"/>
        <v>0</v>
      </c>
      <c r="K56" s="86">
        <f t="shared" si="2"/>
        <v>0</v>
      </c>
      <c r="L56" s="55"/>
      <c r="M56" s="55"/>
      <c r="N56" s="81"/>
    </row>
    <row r="57" ht="15.75" customHeight="1">
      <c r="A57" s="82">
        <v>45.0</v>
      </c>
      <c r="B57" s="87">
        <v>2.201180407E9</v>
      </c>
      <c r="C57" s="88" t="s">
        <v>116</v>
      </c>
      <c r="D57" s="82"/>
      <c r="E57" s="82"/>
      <c r="F57" s="82"/>
      <c r="G57" s="85"/>
      <c r="H57" s="82"/>
      <c r="I57" s="82"/>
      <c r="J57" s="80">
        <f t="shared" si="1"/>
        <v>0</v>
      </c>
      <c r="K57" s="86">
        <f t="shared" si="2"/>
        <v>0</v>
      </c>
      <c r="L57" s="55"/>
      <c r="M57" s="55"/>
      <c r="N57" s="81"/>
    </row>
    <row r="58" ht="15.75" customHeight="1">
      <c r="A58" s="82">
        <v>46.0</v>
      </c>
      <c r="B58" s="87">
        <v>2.201180408E9</v>
      </c>
      <c r="C58" s="88" t="s">
        <v>117</v>
      </c>
      <c r="D58" s="82"/>
      <c r="E58" s="82"/>
      <c r="F58" s="82"/>
      <c r="G58" s="85"/>
      <c r="H58" s="82"/>
      <c r="I58" s="82"/>
      <c r="J58" s="80">
        <f t="shared" si="1"/>
        <v>0</v>
      </c>
      <c r="K58" s="86">
        <f t="shared" si="2"/>
        <v>0</v>
      </c>
      <c r="L58" s="55"/>
      <c r="M58" s="55"/>
      <c r="N58" s="81"/>
    </row>
    <row r="59" ht="15.75" customHeight="1">
      <c r="A59" s="82">
        <v>47.0</v>
      </c>
      <c r="B59" s="87">
        <v>2.20118041E9</v>
      </c>
      <c r="C59" s="88" t="s">
        <v>118</v>
      </c>
      <c r="D59" s="82"/>
      <c r="E59" s="82"/>
      <c r="F59" s="82"/>
      <c r="G59" s="85"/>
      <c r="H59" s="82"/>
      <c r="I59" s="82"/>
      <c r="J59" s="80">
        <f t="shared" si="1"/>
        <v>0</v>
      </c>
      <c r="K59" s="86">
        <f t="shared" si="2"/>
        <v>0</v>
      </c>
      <c r="L59" s="55"/>
      <c r="M59" s="55"/>
      <c r="N59" s="81"/>
    </row>
    <row r="60" ht="15.75" customHeight="1">
      <c r="A60" s="82">
        <v>48.0</v>
      </c>
      <c r="B60" s="87">
        <v>2.201180411E9</v>
      </c>
      <c r="C60" s="88" t="s">
        <v>119</v>
      </c>
      <c r="D60" s="82"/>
      <c r="E60" s="82"/>
      <c r="F60" s="82"/>
      <c r="G60" s="85"/>
      <c r="H60" s="82"/>
      <c r="I60" s="82"/>
      <c r="J60" s="80">
        <f t="shared" si="1"/>
        <v>0</v>
      </c>
      <c r="K60" s="86">
        <f t="shared" si="2"/>
        <v>0</v>
      </c>
      <c r="L60" s="55"/>
      <c r="M60" s="55"/>
      <c r="N60" s="81"/>
    </row>
    <row r="61" ht="15.75" customHeight="1">
      <c r="A61" s="82">
        <v>49.0</v>
      </c>
      <c r="B61" s="87">
        <v>2.201180412E9</v>
      </c>
      <c r="C61" s="88" t="s">
        <v>120</v>
      </c>
      <c r="D61" s="82"/>
      <c r="E61" s="82"/>
      <c r="F61" s="82"/>
      <c r="G61" s="85"/>
      <c r="H61" s="82"/>
      <c r="I61" s="82"/>
      <c r="J61" s="80">
        <f t="shared" si="1"/>
        <v>0</v>
      </c>
      <c r="K61" s="86">
        <f t="shared" si="2"/>
        <v>0</v>
      </c>
      <c r="L61" s="55"/>
      <c r="M61" s="55"/>
      <c r="N61" s="81"/>
    </row>
    <row r="62" ht="15.75" customHeight="1">
      <c r="A62" s="82">
        <v>50.0</v>
      </c>
      <c r="B62" s="87">
        <v>2.201180413E9</v>
      </c>
      <c r="C62" s="88" t="s">
        <v>121</v>
      </c>
      <c r="D62" s="82"/>
      <c r="E62" s="82"/>
      <c r="F62" s="82"/>
      <c r="G62" s="85"/>
      <c r="H62" s="82"/>
      <c r="I62" s="82"/>
      <c r="J62" s="80">
        <f t="shared" si="1"/>
        <v>0</v>
      </c>
      <c r="K62" s="86">
        <f t="shared" si="2"/>
        <v>0</v>
      </c>
      <c r="L62" s="55"/>
      <c r="M62" s="55"/>
      <c r="N62" s="95"/>
    </row>
    <row r="63" ht="15.75" customHeight="1">
      <c r="A63" s="82">
        <v>51.0</v>
      </c>
      <c r="B63" s="87">
        <v>2.201180414E9</v>
      </c>
      <c r="C63" s="88" t="s">
        <v>122</v>
      </c>
      <c r="D63" s="82"/>
      <c r="E63" s="82"/>
      <c r="F63" s="82"/>
      <c r="G63" s="85"/>
      <c r="H63" s="82"/>
      <c r="I63" s="82"/>
      <c r="J63" s="80">
        <f t="shared" si="1"/>
        <v>0</v>
      </c>
      <c r="K63" s="86">
        <f t="shared" si="2"/>
        <v>0</v>
      </c>
      <c r="L63" s="55"/>
      <c r="M63" s="55"/>
      <c r="N63" s="95"/>
    </row>
    <row r="64" ht="15.75" customHeight="1">
      <c r="A64" s="82">
        <v>52.0</v>
      </c>
      <c r="B64" s="87">
        <v>2.201180415E9</v>
      </c>
      <c r="C64" s="88" t="s">
        <v>123</v>
      </c>
      <c r="D64" s="82"/>
      <c r="E64" s="82"/>
      <c r="F64" s="82"/>
      <c r="G64" s="85"/>
      <c r="H64" s="82"/>
      <c r="I64" s="82"/>
      <c r="J64" s="80">
        <f t="shared" si="1"/>
        <v>0</v>
      </c>
      <c r="K64" s="86">
        <f t="shared" si="2"/>
        <v>0</v>
      </c>
      <c r="L64" s="55"/>
      <c r="M64" s="55"/>
      <c r="N64" s="81"/>
    </row>
    <row r="65" ht="15.75" customHeight="1">
      <c r="A65" s="82">
        <v>53.0</v>
      </c>
      <c r="B65" s="87">
        <v>2.201180416E9</v>
      </c>
      <c r="C65" s="88" t="s">
        <v>124</v>
      </c>
      <c r="D65" s="82"/>
      <c r="E65" s="82"/>
      <c r="F65" s="82"/>
      <c r="G65" s="82"/>
      <c r="H65" s="82"/>
      <c r="I65" s="82"/>
      <c r="J65" s="80">
        <f t="shared" si="1"/>
        <v>0</v>
      </c>
      <c r="K65" s="80">
        <f t="shared" si="2"/>
        <v>0</v>
      </c>
      <c r="L65" s="55"/>
      <c r="M65" s="55"/>
      <c r="N65" s="81"/>
    </row>
    <row r="66" ht="15.75" customHeight="1">
      <c r="A66" s="82">
        <v>54.0</v>
      </c>
      <c r="B66" s="87">
        <v>2.201180417E9</v>
      </c>
      <c r="C66" s="88" t="s">
        <v>125</v>
      </c>
      <c r="D66" s="82"/>
      <c r="E66" s="82"/>
      <c r="F66" s="82"/>
      <c r="G66" s="82"/>
      <c r="H66" s="82"/>
      <c r="I66" s="82"/>
      <c r="J66" s="80">
        <f t="shared" si="1"/>
        <v>0</v>
      </c>
      <c r="K66" s="80">
        <f t="shared" si="2"/>
        <v>0</v>
      </c>
      <c r="L66" s="55"/>
      <c r="M66" s="55"/>
      <c r="N66" s="81"/>
    </row>
    <row r="67" ht="15.75" customHeight="1">
      <c r="A67" s="82">
        <v>55.0</v>
      </c>
      <c r="B67" s="87">
        <v>2.201180418E9</v>
      </c>
      <c r="C67" s="88" t="s">
        <v>126</v>
      </c>
      <c r="D67" s="82"/>
      <c r="E67" s="82"/>
      <c r="F67" s="82"/>
      <c r="G67" s="82"/>
      <c r="H67" s="82"/>
      <c r="I67" s="82"/>
      <c r="J67" s="80">
        <f t="shared" si="1"/>
        <v>0</v>
      </c>
      <c r="K67" s="80">
        <f t="shared" si="2"/>
        <v>0</v>
      </c>
      <c r="L67" s="55"/>
      <c r="M67" s="55"/>
      <c r="N67" s="95"/>
    </row>
    <row r="68" ht="15.75" customHeight="1">
      <c r="A68" s="82">
        <v>56.0</v>
      </c>
      <c r="B68" s="87">
        <v>2.201180419E9</v>
      </c>
      <c r="C68" s="88" t="s">
        <v>127</v>
      </c>
      <c r="D68" s="82"/>
      <c r="E68" s="82"/>
      <c r="F68" s="82"/>
      <c r="G68" s="82"/>
      <c r="H68" s="82"/>
      <c r="I68" s="82"/>
      <c r="J68" s="80">
        <f t="shared" si="1"/>
        <v>0</v>
      </c>
      <c r="K68" s="80">
        <f t="shared" si="2"/>
        <v>0</v>
      </c>
      <c r="L68" s="55"/>
      <c r="M68" s="55"/>
      <c r="N68" s="55"/>
      <c r="O68" s="55"/>
    </row>
    <row r="69" ht="15.75" customHeight="1">
      <c r="A69" s="82">
        <v>57.0</v>
      </c>
      <c r="B69" s="87">
        <v>2.3510250259E10</v>
      </c>
      <c r="C69" s="88" t="s">
        <v>128</v>
      </c>
      <c r="D69" s="82"/>
      <c r="E69" s="82"/>
      <c r="F69" s="82"/>
      <c r="G69" s="82"/>
      <c r="H69" s="82"/>
      <c r="I69" s="82"/>
      <c r="J69" s="80"/>
      <c r="K69" s="80"/>
      <c r="L69" s="55"/>
      <c r="M69" s="55"/>
      <c r="N69" s="55"/>
      <c r="O69" s="55"/>
    </row>
    <row r="70" ht="15.75" customHeight="1">
      <c r="A70" s="82">
        <v>58.0</v>
      </c>
      <c r="B70" s="87">
        <v>2.351025026E10</v>
      </c>
      <c r="C70" s="88" t="s">
        <v>129</v>
      </c>
      <c r="D70" s="82"/>
      <c r="E70" s="82"/>
      <c r="F70" s="82"/>
      <c r="G70" s="82"/>
      <c r="H70" s="82"/>
      <c r="I70" s="82"/>
      <c r="J70" s="80"/>
      <c r="K70" s="80"/>
      <c r="L70" s="55"/>
      <c r="M70" s="55"/>
      <c r="N70" s="55"/>
      <c r="O70" s="55"/>
    </row>
    <row r="71" ht="15.75" customHeight="1">
      <c r="A71" s="82">
        <v>59.0</v>
      </c>
      <c r="B71" s="87">
        <v>2.3510250261E10</v>
      </c>
      <c r="C71" s="88" t="s">
        <v>130</v>
      </c>
      <c r="D71" s="82"/>
      <c r="E71" s="82"/>
      <c r="F71" s="82"/>
      <c r="G71" s="82"/>
      <c r="H71" s="82"/>
      <c r="I71" s="82"/>
      <c r="J71" s="80">
        <f t="shared" ref="J71:J73" si="5">D71+E71</f>
        <v>0</v>
      </c>
      <c r="K71" s="80">
        <f t="shared" ref="K71:K73" si="6">G71+H71+I71+F71</f>
        <v>0</v>
      </c>
      <c r="L71" s="55"/>
      <c r="M71" s="55"/>
      <c r="N71" s="55"/>
      <c r="O71" s="55"/>
    </row>
    <row r="72" ht="15.75" customHeight="1">
      <c r="A72" s="82">
        <v>60.0</v>
      </c>
      <c r="B72" s="87">
        <v>2.3510250262E10</v>
      </c>
      <c r="C72" s="88" t="s">
        <v>131</v>
      </c>
      <c r="D72" s="82"/>
      <c r="E72" s="82"/>
      <c r="F72" s="82"/>
      <c r="G72" s="82"/>
      <c r="H72" s="82"/>
      <c r="I72" s="82"/>
      <c r="J72" s="80">
        <f t="shared" si="5"/>
        <v>0</v>
      </c>
      <c r="K72" s="80">
        <f t="shared" si="6"/>
        <v>0</v>
      </c>
      <c r="L72" s="55"/>
      <c r="M72" s="55"/>
      <c r="N72" s="55"/>
      <c r="O72" s="55"/>
    </row>
    <row r="73" ht="15.75" customHeight="1">
      <c r="A73" s="82">
        <v>61.0</v>
      </c>
      <c r="B73" s="87">
        <v>2.3510250263E10</v>
      </c>
      <c r="C73" s="88" t="s">
        <v>132</v>
      </c>
      <c r="D73" s="82"/>
      <c r="E73" s="82"/>
      <c r="F73" s="82"/>
      <c r="G73" s="82"/>
      <c r="H73" s="82"/>
      <c r="I73" s="82"/>
      <c r="J73" s="80">
        <f t="shared" si="5"/>
        <v>0</v>
      </c>
      <c r="K73" s="80">
        <f t="shared" si="6"/>
        <v>0</v>
      </c>
      <c r="L73" s="55"/>
      <c r="M73" s="55"/>
      <c r="N73" s="55"/>
      <c r="O73" s="55"/>
    </row>
    <row r="74" ht="15.75" customHeight="1">
      <c r="A74" s="82">
        <v>62.0</v>
      </c>
      <c r="B74" s="87">
        <v>2.3510250264E10</v>
      </c>
      <c r="C74" s="88" t="s">
        <v>133</v>
      </c>
      <c r="D74" s="82"/>
      <c r="E74" s="82"/>
      <c r="F74" s="82"/>
      <c r="G74" s="82"/>
      <c r="H74" s="82"/>
      <c r="I74" s="82"/>
      <c r="J74" s="80">
        <f t="shared" ref="J74:J94" si="7">D74+E74+F74</f>
        <v>0</v>
      </c>
      <c r="K74" s="80">
        <f t="shared" ref="K74:K94" si="8">G74+H74+I74</f>
        <v>0</v>
      </c>
      <c r="L74" s="55"/>
      <c r="M74" s="55"/>
      <c r="N74" s="55"/>
      <c r="O74" s="55"/>
    </row>
    <row r="75" ht="15.75" customHeight="1">
      <c r="A75" s="82">
        <v>63.0</v>
      </c>
      <c r="B75" s="87"/>
      <c r="C75" s="88"/>
      <c r="D75" s="82"/>
      <c r="E75" s="82"/>
      <c r="F75" s="82"/>
      <c r="G75" s="82"/>
      <c r="H75" s="82"/>
      <c r="I75" s="82"/>
      <c r="J75" s="80">
        <f t="shared" si="7"/>
        <v>0</v>
      </c>
      <c r="K75" s="80">
        <f t="shared" si="8"/>
        <v>0</v>
      </c>
      <c r="L75" s="55"/>
      <c r="M75" s="55"/>
      <c r="N75" s="55"/>
      <c r="O75" s="55"/>
    </row>
    <row r="76" ht="15.75" customHeight="1">
      <c r="A76" s="82">
        <v>64.0</v>
      </c>
      <c r="B76" s="87"/>
      <c r="C76" s="88"/>
      <c r="D76" s="82"/>
      <c r="E76" s="82"/>
      <c r="F76" s="82"/>
      <c r="G76" s="82"/>
      <c r="H76" s="82"/>
      <c r="I76" s="82"/>
      <c r="J76" s="80">
        <f t="shared" si="7"/>
        <v>0</v>
      </c>
      <c r="K76" s="80">
        <f t="shared" si="8"/>
        <v>0</v>
      </c>
      <c r="L76" s="55"/>
      <c r="M76" s="55"/>
      <c r="N76" s="55"/>
      <c r="O76" s="55"/>
    </row>
    <row r="77" ht="15.75" customHeight="1">
      <c r="A77" s="82">
        <v>65.0</v>
      </c>
      <c r="B77" s="87"/>
      <c r="C77" s="88"/>
      <c r="D77" s="85"/>
      <c r="E77" s="85"/>
      <c r="F77" s="85"/>
      <c r="G77" s="85"/>
      <c r="H77" s="85"/>
      <c r="I77" s="82"/>
      <c r="J77" s="86">
        <f t="shared" si="7"/>
        <v>0</v>
      </c>
      <c r="K77" s="86">
        <f t="shared" si="8"/>
        <v>0</v>
      </c>
      <c r="L77" s="55"/>
      <c r="M77" s="55"/>
      <c r="N77" s="55"/>
      <c r="O77" s="55"/>
    </row>
    <row r="78" ht="15.75" customHeight="1">
      <c r="A78" s="82">
        <v>66.0</v>
      </c>
      <c r="B78" s="87"/>
      <c r="C78" s="88"/>
      <c r="D78" s="85"/>
      <c r="E78" s="85"/>
      <c r="F78" s="85"/>
      <c r="G78" s="85"/>
      <c r="H78" s="85"/>
      <c r="I78" s="82"/>
      <c r="J78" s="86">
        <f t="shared" si="7"/>
        <v>0</v>
      </c>
      <c r="K78" s="86">
        <f t="shared" si="8"/>
        <v>0</v>
      </c>
      <c r="L78" s="55"/>
      <c r="M78" s="55"/>
      <c r="N78" s="55"/>
      <c r="O78" s="55"/>
    </row>
    <row r="79" ht="15.75" customHeight="1">
      <c r="A79" s="82">
        <v>67.0</v>
      </c>
      <c r="B79" s="87"/>
      <c r="C79" s="88"/>
      <c r="D79" s="82"/>
      <c r="E79" s="82"/>
      <c r="F79" s="82"/>
      <c r="G79" s="82"/>
      <c r="H79" s="82"/>
      <c r="I79" s="82"/>
      <c r="J79" s="80">
        <f t="shared" si="7"/>
        <v>0</v>
      </c>
      <c r="K79" s="80">
        <f t="shared" si="8"/>
        <v>0</v>
      </c>
      <c r="L79" s="55"/>
      <c r="M79" s="55"/>
      <c r="N79" s="55"/>
      <c r="O79" s="55"/>
    </row>
    <row r="80" ht="15.75" customHeight="1">
      <c r="A80" s="82">
        <v>68.0</v>
      </c>
      <c r="B80" s="87"/>
      <c r="C80" s="88"/>
      <c r="D80" s="82"/>
      <c r="E80" s="82"/>
      <c r="F80" s="82"/>
      <c r="G80" s="82"/>
      <c r="H80" s="82"/>
      <c r="I80" s="82"/>
      <c r="J80" s="80">
        <f t="shared" si="7"/>
        <v>0</v>
      </c>
      <c r="K80" s="80">
        <f t="shared" si="8"/>
        <v>0</v>
      </c>
      <c r="L80" s="55"/>
      <c r="M80" s="55"/>
      <c r="N80" s="55"/>
      <c r="O80" s="55"/>
    </row>
    <row r="81" ht="15.75" customHeight="1">
      <c r="A81" s="82">
        <v>69.0</v>
      </c>
      <c r="B81" s="87"/>
      <c r="C81" s="88"/>
      <c r="D81" s="82"/>
      <c r="E81" s="82"/>
      <c r="F81" s="82"/>
      <c r="G81" s="82"/>
      <c r="H81" s="82"/>
      <c r="I81" s="82"/>
      <c r="J81" s="80">
        <f t="shared" si="7"/>
        <v>0</v>
      </c>
      <c r="K81" s="80">
        <f t="shared" si="8"/>
        <v>0</v>
      </c>
      <c r="L81" s="55"/>
      <c r="M81" s="55"/>
      <c r="N81" s="55"/>
      <c r="O81" s="55"/>
    </row>
    <row r="82" ht="15.75" customHeight="1">
      <c r="A82" s="82">
        <v>70.0</v>
      </c>
      <c r="B82" s="96"/>
      <c r="C82" s="96"/>
      <c r="D82" s="82"/>
      <c r="E82" s="82"/>
      <c r="F82" s="82"/>
      <c r="G82" s="82"/>
      <c r="H82" s="82"/>
      <c r="I82" s="82"/>
      <c r="J82" s="80">
        <f t="shared" si="7"/>
        <v>0</v>
      </c>
      <c r="K82" s="80">
        <f t="shared" si="8"/>
        <v>0</v>
      </c>
      <c r="L82" s="55"/>
      <c r="M82" s="55"/>
      <c r="N82" s="55"/>
      <c r="O82" s="55"/>
    </row>
    <row r="83" ht="15.75" customHeight="1">
      <c r="A83" s="82">
        <v>71.0</v>
      </c>
      <c r="B83" s="96"/>
      <c r="C83" s="96"/>
      <c r="D83" s="82"/>
      <c r="E83" s="82"/>
      <c r="F83" s="82"/>
      <c r="G83" s="82"/>
      <c r="H83" s="82"/>
      <c r="I83" s="82"/>
      <c r="J83" s="80">
        <f t="shared" si="7"/>
        <v>0</v>
      </c>
      <c r="K83" s="80">
        <f t="shared" si="8"/>
        <v>0</v>
      </c>
      <c r="L83" s="55"/>
      <c r="M83" s="55"/>
      <c r="N83" s="55"/>
      <c r="O83" s="55"/>
    </row>
    <row r="84" ht="15.75" customHeight="1">
      <c r="A84" s="82">
        <v>72.0</v>
      </c>
      <c r="B84" s="96"/>
      <c r="C84" s="96"/>
      <c r="D84" s="82"/>
      <c r="E84" s="82"/>
      <c r="F84" s="82"/>
      <c r="G84" s="82"/>
      <c r="H84" s="82"/>
      <c r="I84" s="82"/>
      <c r="J84" s="80">
        <f t="shared" si="7"/>
        <v>0</v>
      </c>
      <c r="K84" s="80">
        <f t="shared" si="8"/>
        <v>0</v>
      </c>
      <c r="L84" s="55"/>
      <c r="M84" s="55"/>
      <c r="N84" s="55"/>
      <c r="O84" s="55"/>
    </row>
    <row r="85" ht="15.75" customHeight="1">
      <c r="A85" s="82">
        <v>73.0</v>
      </c>
      <c r="B85" s="96"/>
      <c r="C85" s="96"/>
      <c r="D85" s="82"/>
      <c r="E85" s="82"/>
      <c r="F85" s="82"/>
      <c r="G85" s="82"/>
      <c r="H85" s="82"/>
      <c r="I85" s="82"/>
      <c r="J85" s="80">
        <f t="shared" si="7"/>
        <v>0</v>
      </c>
      <c r="K85" s="80">
        <f t="shared" si="8"/>
        <v>0</v>
      </c>
      <c r="L85" s="55"/>
      <c r="M85" s="55"/>
      <c r="N85" s="55"/>
      <c r="O85" s="55"/>
    </row>
    <row r="86" ht="15.75" customHeight="1">
      <c r="A86" s="82">
        <v>74.0</v>
      </c>
      <c r="B86" s="96"/>
      <c r="C86" s="96"/>
      <c r="D86" s="82"/>
      <c r="E86" s="82"/>
      <c r="F86" s="82"/>
      <c r="G86" s="82"/>
      <c r="H86" s="82"/>
      <c r="I86" s="82"/>
      <c r="J86" s="80">
        <f t="shared" si="7"/>
        <v>0</v>
      </c>
      <c r="K86" s="80">
        <f t="shared" si="8"/>
        <v>0</v>
      </c>
      <c r="L86" s="55"/>
      <c r="M86" s="55"/>
      <c r="N86" s="55"/>
      <c r="O86" s="55"/>
    </row>
    <row r="87" ht="15.75" customHeight="1">
      <c r="A87" s="82">
        <v>75.0</v>
      </c>
      <c r="B87" s="96"/>
      <c r="C87" s="96"/>
      <c r="D87" s="82"/>
      <c r="E87" s="82"/>
      <c r="F87" s="82"/>
      <c r="G87" s="82"/>
      <c r="H87" s="82"/>
      <c r="I87" s="82"/>
      <c r="J87" s="80">
        <f t="shared" si="7"/>
        <v>0</v>
      </c>
      <c r="K87" s="80">
        <f t="shared" si="8"/>
        <v>0</v>
      </c>
      <c r="L87" s="55"/>
      <c r="M87" s="55"/>
      <c r="N87" s="55"/>
      <c r="O87" s="55"/>
    </row>
    <row r="88" ht="15.75" customHeight="1">
      <c r="A88" s="82">
        <v>76.0</v>
      </c>
      <c r="B88" s="96"/>
      <c r="C88" s="96"/>
      <c r="D88" s="82"/>
      <c r="E88" s="82"/>
      <c r="F88" s="82"/>
      <c r="G88" s="82"/>
      <c r="H88" s="82"/>
      <c r="I88" s="82"/>
      <c r="J88" s="80">
        <f t="shared" si="7"/>
        <v>0</v>
      </c>
      <c r="K88" s="80">
        <f t="shared" si="8"/>
        <v>0</v>
      </c>
      <c r="L88" s="55"/>
      <c r="M88" s="55"/>
      <c r="N88" s="55"/>
      <c r="O88" s="55"/>
    </row>
    <row r="89" ht="15.75" customHeight="1">
      <c r="A89" s="82">
        <v>77.0</v>
      </c>
      <c r="B89" s="96"/>
      <c r="C89" s="96"/>
      <c r="D89" s="82"/>
      <c r="E89" s="82"/>
      <c r="F89" s="82"/>
      <c r="G89" s="82"/>
      <c r="H89" s="82"/>
      <c r="I89" s="82"/>
      <c r="J89" s="80">
        <f t="shared" si="7"/>
        <v>0</v>
      </c>
      <c r="K89" s="80">
        <f t="shared" si="8"/>
        <v>0</v>
      </c>
      <c r="L89" s="55"/>
      <c r="M89" s="55"/>
      <c r="N89" s="55"/>
      <c r="O89" s="55"/>
    </row>
    <row r="90" ht="15.75" customHeight="1">
      <c r="A90" s="82">
        <v>78.0</v>
      </c>
      <c r="B90" s="96"/>
      <c r="C90" s="96"/>
      <c r="D90" s="82"/>
      <c r="E90" s="82"/>
      <c r="F90" s="82"/>
      <c r="G90" s="82"/>
      <c r="H90" s="82"/>
      <c r="I90" s="82"/>
      <c r="J90" s="80">
        <f t="shared" si="7"/>
        <v>0</v>
      </c>
      <c r="K90" s="80">
        <f t="shared" si="8"/>
        <v>0</v>
      </c>
      <c r="L90" s="55"/>
      <c r="M90" s="55"/>
      <c r="N90" s="55"/>
      <c r="O90" s="55"/>
    </row>
    <row r="91" ht="15.75" customHeight="1">
      <c r="A91" s="82">
        <v>79.0</v>
      </c>
      <c r="B91" s="96"/>
      <c r="C91" s="96"/>
      <c r="D91" s="82"/>
      <c r="E91" s="82"/>
      <c r="F91" s="82"/>
      <c r="G91" s="82"/>
      <c r="H91" s="82"/>
      <c r="I91" s="82"/>
      <c r="J91" s="80">
        <f t="shared" si="7"/>
        <v>0</v>
      </c>
      <c r="K91" s="80">
        <f t="shared" si="8"/>
        <v>0</v>
      </c>
      <c r="L91" s="55"/>
      <c r="M91" s="55"/>
      <c r="N91" s="55"/>
      <c r="O91" s="55"/>
    </row>
    <row r="92" ht="15.75" customHeight="1">
      <c r="A92" s="82">
        <v>80.0</v>
      </c>
      <c r="B92" s="96"/>
      <c r="C92" s="96"/>
      <c r="D92" s="82"/>
      <c r="E92" s="82"/>
      <c r="F92" s="82"/>
      <c r="G92" s="82"/>
      <c r="H92" s="82"/>
      <c r="I92" s="82"/>
      <c r="J92" s="80">
        <f t="shared" si="7"/>
        <v>0</v>
      </c>
      <c r="K92" s="80">
        <f t="shared" si="8"/>
        <v>0</v>
      </c>
      <c r="L92" s="55"/>
      <c r="M92" s="55"/>
      <c r="N92" s="55"/>
      <c r="O92" s="55"/>
    </row>
    <row r="93" ht="15.75" customHeight="1">
      <c r="A93" s="82">
        <v>81.0</v>
      </c>
      <c r="B93" s="96"/>
      <c r="C93" s="96"/>
      <c r="D93" s="82"/>
      <c r="E93" s="82"/>
      <c r="F93" s="82"/>
      <c r="G93" s="82"/>
      <c r="H93" s="82"/>
      <c r="I93" s="82"/>
      <c r="J93" s="80">
        <f t="shared" si="7"/>
        <v>0</v>
      </c>
      <c r="K93" s="80">
        <f t="shared" si="8"/>
        <v>0</v>
      </c>
      <c r="L93" s="55"/>
      <c r="M93" s="55"/>
      <c r="N93" s="55"/>
      <c r="O93" s="55"/>
    </row>
    <row r="94" ht="15.75" customHeight="1">
      <c r="A94" s="82">
        <v>82.0</v>
      </c>
      <c r="B94" s="96"/>
      <c r="C94" s="96"/>
      <c r="D94" s="82"/>
      <c r="E94" s="82"/>
      <c r="F94" s="82"/>
      <c r="G94" s="82"/>
      <c r="H94" s="82"/>
      <c r="I94" s="82"/>
      <c r="J94" s="80">
        <f t="shared" si="7"/>
        <v>0</v>
      </c>
      <c r="K94" s="80">
        <f t="shared" si="8"/>
        <v>0</v>
      </c>
      <c r="L94" s="55"/>
      <c r="M94" s="55"/>
      <c r="N94" s="55"/>
      <c r="O94" s="55"/>
    </row>
    <row r="95" ht="60.75" customHeight="1">
      <c r="A95" s="97" t="s">
        <v>134</v>
      </c>
      <c r="C95" s="98">
        <v>0.4</v>
      </c>
      <c r="D95" s="99">
        <f t="shared" ref="D95:I95" si="9">$C$95*D12</f>
        <v>0</v>
      </c>
      <c r="E95" s="99">
        <f t="shared" si="9"/>
        <v>0</v>
      </c>
      <c r="F95" s="99">
        <f t="shared" si="9"/>
        <v>0</v>
      </c>
      <c r="G95" s="99">
        <f t="shared" si="9"/>
        <v>0</v>
      </c>
      <c r="H95" s="99">
        <f t="shared" si="9"/>
        <v>0</v>
      </c>
      <c r="I95" s="99">
        <f t="shared" si="9"/>
        <v>0</v>
      </c>
      <c r="J95" s="100"/>
      <c r="K95" s="100"/>
      <c r="L95" s="55"/>
      <c r="M95" s="55"/>
      <c r="N95" s="55"/>
      <c r="O95" s="55"/>
    </row>
    <row r="96" ht="15.75" customHeight="1">
      <c r="A96" s="101" t="s">
        <v>135</v>
      </c>
      <c r="C96" s="28"/>
      <c r="D96" s="30"/>
      <c r="E96" s="30"/>
      <c r="F96" s="30"/>
      <c r="G96" s="30"/>
      <c r="H96" s="30"/>
      <c r="I96" s="30"/>
      <c r="J96" s="30"/>
      <c r="K96" s="30"/>
      <c r="L96" s="55"/>
      <c r="M96" s="55"/>
      <c r="N96" s="55"/>
      <c r="O96" s="55"/>
    </row>
    <row r="97" ht="15.75" customHeight="1">
      <c r="C97" s="28"/>
      <c r="D97" s="102">
        <f t="shared" ref="D97:I97" si="10">COUNTIF(D13:D94,"&gt;=" &amp;D95)</f>
        <v>0</v>
      </c>
      <c r="E97" s="102">
        <f t="shared" si="10"/>
        <v>0</v>
      </c>
      <c r="F97" s="102">
        <f t="shared" si="10"/>
        <v>0</v>
      </c>
      <c r="G97" s="102">
        <f t="shared" si="10"/>
        <v>0</v>
      </c>
      <c r="H97" s="102">
        <f t="shared" si="10"/>
        <v>0</v>
      </c>
      <c r="I97" s="102">
        <f t="shared" si="10"/>
        <v>0</v>
      </c>
      <c r="J97" s="103"/>
      <c r="K97" s="103"/>
      <c r="L97" s="55"/>
      <c r="M97" s="55"/>
      <c r="N97" s="55"/>
      <c r="O97" s="55"/>
    </row>
    <row r="98" ht="15.75" customHeight="1">
      <c r="A98" s="55"/>
      <c r="B98" s="55"/>
      <c r="C98" s="55"/>
      <c r="D98" s="30"/>
      <c r="E98" s="30"/>
      <c r="F98" s="30"/>
      <c r="G98" s="30"/>
      <c r="H98" s="30"/>
      <c r="I98" s="30"/>
      <c r="J98" s="30"/>
      <c r="K98" s="30"/>
      <c r="L98" s="55"/>
      <c r="M98" s="55"/>
      <c r="N98" s="55"/>
      <c r="O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</row>
    <row r="102" ht="43.5" customHeight="1">
      <c r="A102" s="55"/>
      <c r="B102" s="104" t="s">
        <v>136</v>
      </c>
      <c r="C102" s="24"/>
      <c r="D102" s="24"/>
      <c r="E102" s="25"/>
      <c r="F102" s="105" t="s">
        <v>137</v>
      </c>
      <c r="G102" s="25"/>
      <c r="H102" s="106"/>
      <c r="I102" s="107" t="s">
        <v>138</v>
      </c>
      <c r="J102" s="25"/>
      <c r="K102" s="55"/>
      <c r="L102" s="55"/>
      <c r="M102" s="55"/>
      <c r="N102" s="55"/>
      <c r="O102" s="55"/>
    </row>
    <row r="103" ht="15.0" customHeight="1">
      <c r="A103" s="55"/>
      <c r="B103" s="108" t="s">
        <v>139</v>
      </c>
      <c r="C103" s="109" t="s">
        <v>140</v>
      </c>
      <c r="D103" s="24"/>
      <c r="E103" s="110">
        <v>50.0</v>
      </c>
      <c r="F103" s="111">
        <v>62.0</v>
      </c>
      <c r="G103" s="22"/>
      <c r="H103" s="112">
        <f>E103*F103/100</f>
        <v>31</v>
      </c>
      <c r="I103" s="113">
        <v>1.0</v>
      </c>
      <c r="J103" s="114"/>
      <c r="K103" s="55"/>
      <c r="L103" s="55"/>
      <c r="M103" s="55"/>
      <c r="N103" s="55"/>
      <c r="O103" s="55"/>
    </row>
    <row r="104" ht="15.75" customHeight="1">
      <c r="A104" s="55"/>
      <c r="B104" s="115"/>
      <c r="C104" s="109" t="s">
        <v>140</v>
      </c>
      <c r="D104" s="24"/>
      <c r="E104" s="110">
        <v>60.0</v>
      </c>
      <c r="F104" s="27"/>
      <c r="G104" s="28"/>
      <c r="H104" s="116">
        <f>E104*F103/100</f>
        <v>37.2</v>
      </c>
      <c r="I104" s="117">
        <v>2.0</v>
      </c>
      <c r="J104" s="118"/>
      <c r="K104" s="55"/>
      <c r="L104" s="55"/>
      <c r="M104" s="55"/>
      <c r="N104" s="55"/>
      <c r="O104" s="55"/>
    </row>
    <row r="105" ht="15.75" customHeight="1">
      <c r="A105" s="55"/>
      <c r="B105" s="119"/>
      <c r="C105" s="109" t="s">
        <v>140</v>
      </c>
      <c r="D105" s="24"/>
      <c r="E105" s="120">
        <v>70.0</v>
      </c>
      <c r="F105" s="31"/>
      <c r="G105" s="32"/>
      <c r="H105" s="121">
        <f>E105*F103/100</f>
        <v>43.4</v>
      </c>
      <c r="I105" s="122">
        <v>3.0</v>
      </c>
      <c r="J105" s="123"/>
      <c r="K105" s="55"/>
      <c r="L105" s="55"/>
      <c r="M105" s="55"/>
      <c r="N105" s="55"/>
      <c r="O105" s="55"/>
    </row>
    <row r="106" ht="15.75" customHeight="1">
      <c r="A106" s="55"/>
      <c r="B106" s="124"/>
      <c r="C106" s="124"/>
      <c r="D106" s="124"/>
      <c r="E106" s="124"/>
      <c r="F106" s="124"/>
      <c r="G106" s="124"/>
      <c r="H106" s="125"/>
      <c r="I106" s="7"/>
      <c r="J106" s="7"/>
      <c r="K106" s="55"/>
      <c r="L106" s="55"/>
      <c r="M106" s="55"/>
      <c r="N106" s="55"/>
      <c r="O106" s="55"/>
    </row>
    <row r="107" ht="15.75" customHeight="1">
      <c r="A107" s="55"/>
      <c r="B107" s="124"/>
      <c r="C107" s="124"/>
      <c r="D107" s="124"/>
      <c r="E107" s="124"/>
      <c r="F107" s="124"/>
      <c r="G107" s="124"/>
      <c r="H107" s="125"/>
      <c r="I107" s="7"/>
      <c r="J107" s="7"/>
      <c r="K107" s="55"/>
      <c r="L107" s="55"/>
      <c r="M107" s="55"/>
      <c r="N107" s="55"/>
      <c r="O107" s="55"/>
    </row>
    <row r="108" ht="24.0" customHeight="1">
      <c r="A108" s="55"/>
      <c r="B108" s="124"/>
      <c r="C108" s="126" t="s">
        <v>141</v>
      </c>
      <c r="D108" s="127" t="s">
        <v>9</v>
      </c>
      <c r="E108" s="127" t="s">
        <v>11</v>
      </c>
      <c r="F108" s="127" t="s">
        <v>13</v>
      </c>
      <c r="G108" s="127" t="s">
        <v>15</v>
      </c>
      <c r="H108" s="127" t="s">
        <v>142</v>
      </c>
      <c r="I108" s="128" t="s">
        <v>143</v>
      </c>
      <c r="J108" s="124"/>
      <c r="K108" s="55"/>
      <c r="L108" s="55"/>
      <c r="M108" s="55"/>
      <c r="N108" s="55"/>
      <c r="O108" s="55"/>
    </row>
    <row r="109" ht="23.25" customHeight="1">
      <c r="A109" s="55"/>
      <c r="B109" s="124"/>
      <c r="C109" s="129" t="s">
        <v>144</v>
      </c>
      <c r="D109" s="130">
        <f t="shared" ref="D109:I109" si="11">IF(D97&gt;=$H105,3,IF(D97&gt;=$H104,2,IF(D97&gt;=$H103,1,0)))</f>
        <v>0</v>
      </c>
      <c r="E109" s="130">
        <f t="shared" si="11"/>
        <v>0</v>
      </c>
      <c r="F109" s="130">
        <f t="shared" si="11"/>
        <v>0</v>
      </c>
      <c r="G109" s="130">
        <f t="shared" si="11"/>
        <v>0</v>
      </c>
      <c r="H109" s="130">
        <f t="shared" si="11"/>
        <v>0</v>
      </c>
      <c r="I109" s="130">
        <f t="shared" si="11"/>
        <v>0</v>
      </c>
      <c r="J109" s="124"/>
      <c r="K109" s="55"/>
      <c r="L109" s="55"/>
      <c r="M109" s="55"/>
      <c r="N109" s="55"/>
      <c r="O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</row>
    <row r="114" ht="24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</row>
    <row r="120" ht="15.75" customHeight="1">
      <c r="A120" s="55"/>
      <c r="B120" s="55"/>
      <c r="C120" s="55"/>
      <c r="D120" s="55"/>
      <c r="E120" s="55"/>
      <c r="F120" s="55" t="s">
        <v>145</v>
      </c>
      <c r="G120" s="55"/>
      <c r="H120" s="55"/>
      <c r="I120" s="55"/>
      <c r="J120" s="55"/>
      <c r="K120" s="55"/>
      <c r="L120" s="55"/>
      <c r="M120" s="55"/>
      <c r="N120" s="55"/>
      <c r="O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7">
    <mergeCell ref="F8:F11"/>
    <mergeCell ref="G8:G11"/>
    <mergeCell ref="B8:B12"/>
    <mergeCell ref="C8:C12"/>
    <mergeCell ref="A95:B95"/>
    <mergeCell ref="E95:E96"/>
    <mergeCell ref="F95:F96"/>
    <mergeCell ref="G95:G96"/>
    <mergeCell ref="A96:C97"/>
    <mergeCell ref="C105:D105"/>
    <mergeCell ref="I105:J105"/>
    <mergeCell ref="H106:J106"/>
    <mergeCell ref="H107:J107"/>
    <mergeCell ref="B102:E102"/>
    <mergeCell ref="F102:G102"/>
    <mergeCell ref="I102:J102"/>
    <mergeCell ref="B103:B105"/>
    <mergeCell ref="C103:D103"/>
    <mergeCell ref="F103:G105"/>
    <mergeCell ref="C104:D104"/>
    <mergeCell ref="D8:D11"/>
    <mergeCell ref="E8:E11"/>
    <mergeCell ref="H8:H11"/>
    <mergeCell ref="I8:I11"/>
    <mergeCell ref="A1:K1"/>
    <mergeCell ref="A2:K2"/>
    <mergeCell ref="C3:D3"/>
    <mergeCell ref="C4:D4"/>
    <mergeCell ref="C5:D5"/>
    <mergeCell ref="C6:D6"/>
    <mergeCell ref="A8:A12"/>
    <mergeCell ref="J9:K11"/>
    <mergeCell ref="H95:H96"/>
    <mergeCell ref="I95:I96"/>
    <mergeCell ref="J95:J96"/>
    <mergeCell ref="K95:K96"/>
    <mergeCell ref="J97:J98"/>
    <mergeCell ref="K97:K98"/>
    <mergeCell ref="D95:D96"/>
    <mergeCell ref="D97:D98"/>
    <mergeCell ref="E97:E98"/>
    <mergeCell ref="F97:F98"/>
    <mergeCell ref="G97:G98"/>
    <mergeCell ref="H97:H98"/>
    <mergeCell ref="I97:I98"/>
    <mergeCell ref="I103:J103"/>
    <mergeCell ref="I104:J10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86"/>
    <col customWidth="1" min="3" max="3" width="16.29"/>
    <col customWidth="1" min="4" max="4" width="42.43"/>
    <col customWidth="1" min="5" max="5" width="13.43"/>
    <col customWidth="1" min="6" max="8" width="6.57"/>
    <col customWidth="1" min="9" max="22" width="8.71"/>
  </cols>
  <sheetData>
    <row r="1">
      <c r="B1" s="131" t="s">
        <v>146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>
      <c r="B2" s="55"/>
      <c r="C2" s="55"/>
      <c r="D2" s="132" t="s">
        <v>147</v>
      </c>
      <c r="E2" s="17"/>
      <c r="F2" s="55"/>
      <c r="G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ht="13.5" customHeight="1">
      <c r="B3" s="55"/>
      <c r="C3" s="55"/>
      <c r="D3" s="132"/>
      <c r="E3" s="17"/>
      <c r="F3" s="55"/>
      <c r="G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>
      <c r="B4" s="55"/>
      <c r="C4" s="56" t="s">
        <v>1</v>
      </c>
      <c r="D4" s="133" t="str">
        <f>'CO_Attainment for Unit Tests'!C3</f>
        <v>Data Structures Using _C</v>
      </c>
      <c r="E4" s="7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>
      <c r="B5" s="55"/>
      <c r="C5" s="56" t="s">
        <v>3</v>
      </c>
      <c r="D5" s="133">
        <f>'CO_Attainment for Unit Tests'!C4</f>
        <v>22317</v>
      </c>
      <c r="E5" s="7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>
      <c r="B6" s="55"/>
      <c r="C6" s="56" t="s">
        <v>53</v>
      </c>
      <c r="D6" s="133" t="str">
        <f>'CO_Attainment for Unit Tests'!C5</f>
        <v>3rd SEM(CO3I SCHEME)</v>
      </c>
      <c r="E6" s="7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>
      <c r="B7" s="55"/>
      <c r="C7" s="56" t="s">
        <v>6</v>
      </c>
      <c r="D7" s="133" t="str">
        <f>'CO_Attainment for Unit Tests'!C6</f>
        <v>2023-24</v>
      </c>
      <c r="E7" s="7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</row>
    <row r="8">
      <c r="E8" s="17"/>
    </row>
    <row r="9" ht="15.75" customHeight="1">
      <c r="B9" s="134" t="s">
        <v>21</v>
      </c>
      <c r="C9" s="135" t="s">
        <v>55</v>
      </c>
      <c r="D9" s="61" t="s">
        <v>56</v>
      </c>
      <c r="E9" s="135" t="s">
        <v>148</v>
      </c>
      <c r="J9" s="136"/>
    </row>
    <row r="10">
      <c r="B10" s="69"/>
      <c r="C10" s="69"/>
      <c r="D10" s="69"/>
      <c r="E10" s="69"/>
      <c r="J10" s="137"/>
    </row>
    <row r="11">
      <c r="B11" s="69"/>
      <c r="C11" s="69"/>
      <c r="D11" s="69"/>
      <c r="E11" s="69"/>
    </row>
    <row r="12" ht="27.75" customHeight="1">
      <c r="B12" s="69"/>
      <c r="C12" s="69"/>
      <c r="D12" s="69"/>
      <c r="E12" s="73"/>
    </row>
    <row r="13">
      <c r="B13" s="73"/>
      <c r="C13" s="73"/>
      <c r="D13" s="73"/>
      <c r="E13" s="78">
        <v>70.0</v>
      </c>
    </row>
    <row r="14">
      <c r="B14" s="82">
        <v>1.0</v>
      </c>
      <c r="C14" s="82">
        <f>'CO_Attainment for Unit Tests'!B13</f>
        <v>2201180002</v>
      </c>
      <c r="D14" s="138" t="str">
        <f>'CO_Attainment for Unit Tests'!C13</f>
        <v>GARAD ANJALI NITIN</v>
      </c>
      <c r="E14" s="139">
        <v>29.0</v>
      </c>
      <c r="I14" s="81"/>
    </row>
    <row r="15" ht="15.0" customHeight="1">
      <c r="B15" s="82">
        <v>2.0</v>
      </c>
      <c r="C15" s="82">
        <f>'CO_Attainment for Unit Tests'!B14</f>
        <v>2201180003</v>
      </c>
      <c r="D15" s="138" t="str">
        <f>'CO_Attainment for Unit Tests'!C14</f>
        <v>WALANDE GAURI DAYANAND</v>
      </c>
      <c r="E15" s="139">
        <v>47.0</v>
      </c>
      <c r="I15" s="81"/>
    </row>
    <row r="16">
      <c r="B16" s="82">
        <v>3.0</v>
      </c>
      <c r="C16" s="82">
        <f>'CO_Attainment for Unit Tests'!B15</f>
        <v>2201180004</v>
      </c>
      <c r="D16" s="138" t="str">
        <f>'CO_Attainment for Unit Tests'!C15</f>
        <v>ZUNJURE SARTHAK BALAJI</v>
      </c>
      <c r="E16" s="139">
        <v>54.0</v>
      </c>
      <c r="I16" s="81"/>
    </row>
    <row r="17">
      <c r="B17" s="82">
        <v>4.0</v>
      </c>
      <c r="C17" s="82">
        <f>'CO_Attainment for Unit Tests'!B16</f>
        <v>2201180005</v>
      </c>
      <c r="D17" s="138" t="str">
        <f>'CO_Attainment for Unit Tests'!C16</f>
        <v>BHANDE GAYATRI DAMODAR</v>
      </c>
      <c r="E17" s="139">
        <v>63.0</v>
      </c>
      <c r="I17" s="81"/>
    </row>
    <row r="18">
      <c r="B18" s="82">
        <v>5.0</v>
      </c>
      <c r="C18" s="82">
        <f>'CO_Attainment for Unit Tests'!B17</f>
        <v>2201180006</v>
      </c>
      <c r="D18" s="138" t="str">
        <f>'CO_Attainment for Unit Tests'!C17</f>
        <v>MUNDHE GAYATRI PARMESHWAR</v>
      </c>
      <c r="E18" s="139">
        <v>51.0</v>
      </c>
      <c r="I18" s="81"/>
    </row>
    <row r="19">
      <c r="B19" s="82">
        <v>6.0</v>
      </c>
      <c r="C19" s="82">
        <f>'CO_Attainment for Unit Tests'!B18</f>
        <v>2201180009</v>
      </c>
      <c r="D19" s="138" t="str">
        <f>'CO_Attainment for Unit Tests'!C18</f>
        <v>YADAV RADHA SAMADHAN</v>
      </c>
      <c r="E19" s="139">
        <v>40.0</v>
      </c>
      <c r="I19" s="81"/>
    </row>
    <row r="20">
      <c r="B20" s="82">
        <v>7.0</v>
      </c>
      <c r="C20" s="82">
        <f>'CO_Attainment for Unit Tests'!B19</f>
        <v>2201180010</v>
      </c>
      <c r="D20" s="138" t="str">
        <f>'CO_Attainment for Unit Tests'!C19</f>
        <v>DESHMANE MANSI SIDDHESHWAR</v>
      </c>
      <c r="E20" s="139">
        <v>53.0</v>
      </c>
      <c r="I20" s="81"/>
    </row>
    <row r="21" ht="15.75" customHeight="1">
      <c r="B21" s="82">
        <v>8.0</v>
      </c>
      <c r="C21" s="82">
        <f>'CO_Attainment for Unit Tests'!B20</f>
        <v>2201180011</v>
      </c>
      <c r="D21" s="138" t="str">
        <f>'CO_Attainment for Unit Tests'!C20</f>
        <v>GAWALGADADE POOJA ARVIND</v>
      </c>
      <c r="E21" s="139">
        <v>30.0</v>
      </c>
      <c r="I21" s="81"/>
    </row>
    <row r="22" ht="15.75" customHeight="1">
      <c r="B22" s="82">
        <v>9.0</v>
      </c>
      <c r="C22" s="82">
        <f>'CO_Attainment for Unit Tests'!B21</f>
        <v>2201180014</v>
      </c>
      <c r="D22" s="138" t="str">
        <f>'CO_Attainment for Unit Tests'!C21</f>
        <v>JAIN TANISHA SHAILESH</v>
      </c>
      <c r="E22" s="139">
        <v>46.0</v>
      </c>
      <c r="I22" s="81"/>
    </row>
    <row r="23" ht="15.75" customHeight="1">
      <c r="B23" s="82">
        <v>10.0</v>
      </c>
      <c r="C23" s="82">
        <f>'CO_Attainment for Unit Tests'!B22</f>
        <v>2201180050</v>
      </c>
      <c r="D23" s="138" t="str">
        <f>'CO_Attainment for Unit Tests'!C22</f>
        <v>MAINDARGE SIDDHI PRASAD</v>
      </c>
      <c r="E23" s="139">
        <v>48.0</v>
      </c>
      <c r="I23" s="81"/>
    </row>
    <row r="24" ht="15.75" customHeight="1">
      <c r="B24" s="82">
        <v>11.0</v>
      </c>
      <c r="C24" s="82">
        <f>'CO_Attainment for Unit Tests'!B23</f>
        <v>2201180051</v>
      </c>
      <c r="D24" s="138" t="str">
        <f>'CO_Attainment for Unit Tests'!C23</f>
        <v>BHOSALE VAISHNAVI DAYANAND</v>
      </c>
      <c r="E24" s="139">
        <v>51.0</v>
      </c>
      <c r="I24" s="81"/>
    </row>
    <row r="25" ht="15.75" customHeight="1">
      <c r="B25" s="82">
        <v>12.0</v>
      </c>
      <c r="C25" s="82">
        <f>'CO_Attainment for Unit Tests'!B24</f>
        <v>2201180052</v>
      </c>
      <c r="D25" s="138" t="str">
        <f>'CO_Attainment for Unit Tests'!C24</f>
        <v>ATTAR SANIYA VAJIR</v>
      </c>
      <c r="E25" s="139">
        <v>66.0</v>
      </c>
      <c r="I25" s="81"/>
    </row>
    <row r="26" ht="15.75" customHeight="1">
      <c r="B26" s="82">
        <v>13.0</v>
      </c>
      <c r="C26" s="82">
        <f>'CO_Attainment for Unit Tests'!B25</f>
        <v>2201180053</v>
      </c>
      <c r="D26" s="138" t="str">
        <f>'CO_Attainment for Unit Tests'!C25</f>
        <v>NALWADE SNEHA NETAJI</v>
      </c>
      <c r="E26" s="139">
        <v>58.0</v>
      </c>
      <c r="I26" s="81"/>
    </row>
    <row r="27" ht="15.75" customHeight="1">
      <c r="B27" s="82">
        <v>14.0</v>
      </c>
      <c r="C27" s="82">
        <f>'CO_Attainment for Unit Tests'!B26</f>
        <v>2201180055</v>
      </c>
      <c r="D27" s="138" t="str">
        <f>'CO_Attainment for Unit Tests'!C26</f>
        <v>AADHE PANKAJ RAM</v>
      </c>
      <c r="E27" s="139">
        <v>59.0</v>
      </c>
      <c r="I27" s="81"/>
    </row>
    <row r="28" ht="15.0" customHeight="1">
      <c r="B28" s="82">
        <v>15.0</v>
      </c>
      <c r="C28" s="82">
        <f>'CO_Attainment for Unit Tests'!B27</f>
        <v>2201180056</v>
      </c>
      <c r="D28" s="138" t="str">
        <f>'CO_Attainment for Unit Tests'!C27</f>
        <v>BUDGE VISHAKHA VENKAT</v>
      </c>
      <c r="E28" s="139">
        <v>51.0</v>
      </c>
      <c r="I28" s="81"/>
    </row>
    <row r="29" ht="15.75" customHeight="1">
      <c r="B29" s="82">
        <v>16.0</v>
      </c>
      <c r="C29" s="82">
        <f>'CO_Attainment for Unit Tests'!B28</f>
        <v>2201180058</v>
      </c>
      <c r="D29" s="138" t="str">
        <f>'CO_Attainment for Unit Tests'!C28</f>
        <v>PAWAR PRATIKSHA VITTHAL</v>
      </c>
      <c r="E29" s="139">
        <v>58.0</v>
      </c>
      <c r="I29" s="81"/>
    </row>
    <row r="30" ht="15.75" customHeight="1">
      <c r="B30" s="82">
        <v>17.0</v>
      </c>
      <c r="C30" s="82">
        <f>'CO_Attainment for Unit Tests'!B29</f>
        <v>2201180059</v>
      </c>
      <c r="D30" s="138" t="str">
        <f>'CO_Attainment for Unit Tests'!C29</f>
        <v>WAGHMARE RAU HANMANT</v>
      </c>
      <c r="E30" s="139">
        <v>50.0</v>
      </c>
      <c r="I30" s="81"/>
    </row>
    <row r="31" ht="15.75" customHeight="1">
      <c r="B31" s="82">
        <v>18.0</v>
      </c>
      <c r="C31" s="82">
        <f>'CO_Attainment for Unit Tests'!B30</f>
        <v>2201180060</v>
      </c>
      <c r="D31" s="138" t="str">
        <f>'CO_Attainment for Unit Tests'!C30</f>
        <v>MAHAJAN SHRUTI DILIP</v>
      </c>
      <c r="E31" s="139">
        <v>55.0</v>
      </c>
      <c r="I31" s="81"/>
    </row>
    <row r="32" ht="15.75" customHeight="1">
      <c r="B32" s="82">
        <v>19.0</v>
      </c>
      <c r="C32" s="82">
        <f>'CO_Attainment for Unit Tests'!B31</f>
        <v>2201180061</v>
      </c>
      <c r="D32" s="138" t="str">
        <f>'CO_Attainment for Unit Tests'!C31</f>
        <v>CHANDANE GAYATRI PRASHANT</v>
      </c>
      <c r="E32" s="139">
        <v>54.0</v>
      </c>
      <c r="I32" s="81"/>
    </row>
    <row r="33" ht="15.75" customHeight="1">
      <c r="B33" s="82">
        <v>20.0</v>
      </c>
      <c r="C33" s="82">
        <f>'CO_Attainment for Unit Tests'!B32</f>
        <v>2201180062</v>
      </c>
      <c r="D33" s="138" t="str">
        <f>'CO_Attainment for Unit Tests'!C32</f>
        <v>JOSHI SHRAVANI SHRIKANT</v>
      </c>
      <c r="E33" s="139">
        <v>56.0</v>
      </c>
      <c r="I33" s="81"/>
    </row>
    <row r="34" ht="15.75" customHeight="1">
      <c r="B34" s="82">
        <v>21.0</v>
      </c>
      <c r="C34" s="82">
        <f>'CO_Attainment for Unit Tests'!B33</f>
        <v>2201180063</v>
      </c>
      <c r="D34" s="138" t="str">
        <f>'CO_Attainment for Unit Tests'!C33</f>
        <v>MANE ANUSHKA BALASAHEB</v>
      </c>
      <c r="E34" s="139">
        <v>45.0</v>
      </c>
      <c r="I34" s="81"/>
    </row>
    <row r="35" ht="15.75" customHeight="1">
      <c r="B35" s="82">
        <v>22.0</v>
      </c>
      <c r="C35" s="82">
        <f>'CO_Attainment for Unit Tests'!B34</f>
        <v>2201180064</v>
      </c>
      <c r="D35" s="138" t="str">
        <f>'CO_Attainment for Unit Tests'!C34</f>
        <v>GADEKAR MAHESH BALAJI</v>
      </c>
      <c r="E35" s="139">
        <v>62.0</v>
      </c>
      <c r="I35" s="81"/>
    </row>
    <row r="36" ht="15.75" customHeight="1">
      <c r="B36" s="82">
        <v>23.0</v>
      </c>
      <c r="C36" s="82">
        <f>'CO_Attainment for Unit Tests'!B35</f>
        <v>2201180065</v>
      </c>
      <c r="D36" s="138" t="str">
        <f>'CO_Attainment for Unit Tests'!C35</f>
        <v>DESHMUKH SWANANDI UDAYRAO</v>
      </c>
      <c r="E36" s="139">
        <v>56.0</v>
      </c>
      <c r="I36" s="81"/>
    </row>
    <row r="37" ht="15.75" customHeight="1">
      <c r="B37" s="82">
        <v>24.0</v>
      </c>
      <c r="C37" s="82">
        <f>'CO_Attainment for Unit Tests'!B36</f>
        <v>2201180148</v>
      </c>
      <c r="D37" s="138" t="str">
        <f>'CO_Attainment for Unit Tests'!C36</f>
        <v>LAGDIVE SHIVAM NITIN</v>
      </c>
      <c r="E37" s="139">
        <v>56.0</v>
      </c>
      <c r="I37" s="81"/>
    </row>
    <row r="38" ht="15.75" customHeight="1">
      <c r="B38" s="82">
        <v>25.0</v>
      </c>
      <c r="C38" s="82">
        <f>'CO_Attainment for Unit Tests'!B37</f>
        <v>2201180227</v>
      </c>
      <c r="D38" s="138" t="str">
        <f>'CO_Attainment for Unit Tests'!C37</f>
        <v>SARPHALE POOJA SADASHIV</v>
      </c>
      <c r="E38" s="139">
        <v>48.0</v>
      </c>
      <c r="I38" s="81"/>
    </row>
    <row r="39" ht="15.75" customHeight="1">
      <c r="B39" s="82">
        <v>26.0</v>
      </c>
      <c r="C39" s="82">
        <f>'CO_Attainment for Unit Tests'!B38</f>
        <v>2201180228</v>
      </c>
      <c r="D39" s="138" t="str">
        <f>'CO_Attainment for Unit Tests'!C38</f>
        <v>WAGHMARE ABHISHEK SOMNATH</v>
      </c>
      <c r="E39" s="139">
        <v>56.0</v>
      </c>
      <c r="I39" s="81"/>
    </row>
    <row r="40" ht="15.75" customHeight="1">
      <c r="B40" s="82">
        <v>27.0</v>
      </c>
      <c r="C40" s="82">
        <f>'CO_Attainment for Unit Tests'!B39</f>
        <v>2201180229</v>
      </c>
      <c r="D40" s="138" t="str">
        <f>'CO_Attainment for Unit Tests'!C39</f>
        <v>KAMBALE ROHINI RUPESH</v>
      </c>
      <c r="E40" s="139">
        <v>40.0</v>
      </c>
      <c r="I40" s="81"/>
    </row>
    <row r="41" ht="15.75" customHeight="1">
      <c r="B41" s="82">
        <v>28.0</v>
      </c>
      <c r="C41" s="82">
        <f>'CO_Attainment for Unit Tests'!B40</f>
        <v>2201180230</v>
      </c>
      <c r="D41" s="138" t="str">
        <f>'CO_Attainment for Unit Tests'!C40</f>
        <v>ROCHKARI SANSKRUTI SUDHIR</v>
      </c>
      <c r="E41" s="139">
        <v>35.0</v>
      </c>
      <c r="I41" s="81"/>
    </row>
    <row r="42" ht="15.75" customHeight="1">
      <c r="B42" s="82">
        <v>29.0</v>
      </c>
      <c r="C42" s="82">
        <f>'CO_Attainment for Unit Tests'!B41</f>
        <v>2201180232</v>
      </c>
      <c r="D42" s="138" t="str">
        <f>'CO_Attainment for Unit Tests'!C41</f>
        <v>NIMBALKAR APURVA BHUJANG</v>
      </c>
      <c r="E42" s="139">
        <v>68.0</v>
      </c>
      <c r="I42" s="81"/>
    </row>
    <row r="43" ht="15.75" customHeight="1">
      <c r="B43" s="82">
        <v>30.0</v>
      </c>
      <c r="C43" s="82">
        <f>'CO_Attainment for Unit Tests'!B42</f>
        <v>2201180233</v>
      </c>
      <c r="D43" s="138" t="str">
        <f>'CO_Attainment for Unit Tests'!C42</f>
        <v>KSHIRSAGAR SAMARTH DATTATRAY</v>
      </c>
      <c r="E43" s="139">
        <v>59.0</v>
      </c>
      <c r="I43" s="81"/>
    </row>
    <row r="44" ht="15.75" customHeight="1">
      <c r="B44" s="82">
        <v>31.0</v>
      </c>
      <c r="C44" s="82">
        <f>'CO_Attainment for Unit Tests'!B43</f>
        <v>2201180234</v>
      </c>
      <c r="D44" s="138" t="str">
        <f>'CO_Attainment for Unit Tests'!C43</f>
        <v>MASIHA SILVIYA SANTOSH</v>
      </c>
      <c r="E44" s="139">
        <v>63.0</v>
      </c>
      <c r="I44" s="81"/>
    </row>
    <row r="45" ht="15.75" customHeight="1">
      <c r="B45" s="82">
        <v>32.0</v>
      </c>
      <c r="C45" s="82">
        <f>'CO_Attainment for Unit Tests'!B44</f>
        <v>2201180235</v>
      </c>
      <c r="D45" s="138" t="str">
        <f>'CO_Attainment for Unit Tests'!C44</f>
        <v>KAWADE PRIYA SHANKAR</v>
      </c>
      <c r="E45" s="139">
        <v>59.0</v>
      </c>
      <c r="I45" s="81"/>
    </row>
    <row r="46" ht="15.0" customHeight="1">
      <c r="B46" s="82">
        <v>33.0</v>
      </c>
      <c r="C46" s="82">
        <f>'CO_Attainment for Unit Tests'!B45</f>
        <v>2201180237</v>
      </c>
      <c r="D46" s="138" t="str">
        <f>'CO_Attainment for Unit Tests'!C45</f>
        <v>PATIL PRANITA PRAVIN</v>
      </c>
      <c r="E46" s="139">
        <v>58.0</v>
      </c>
      <c r="I46" s="81"/>
    </row>
    <row r="47" ht="15.75" customHeight="1">
      <c r="B47" s="82">
        <v>34.0</v>
      </c>
      <c r="C47" s="82">
        <f>'CO_Attainment for Unit Tests'!B46</f>
        <v>2201180238</v>
      </c>
      <c r="D47" s="138" t="str">
        <f>'CO_Attainment for Unit Tests'!C46</f>
        <v>GAVALI ROHAN DNYANDEO</v>
      </c>
      <c r="E47" s="139">
        <v>11.0</v>
      </c>
      <c r="I47" s="81"/>
    </row>
    <row r="48" ht="15.75" customHeight="1">
      <c r="B48" s="82">
        <v>35.0</v>
      </c>
      <c r="C48" s="82">
        <f>'CO_Attainment for Unit Tests'!B47</f>
        <v>2201180241</v>
      </c>
      <c r="D48" s="138" t="str">
        <f>'CO_Attainment for Unit Tests'!C47</f>
        <v>GAIKWAD VASUDHA SANDIPAN</v>
      </c>
      <c r="E48" s="139">
        <v>47.0</v>
      </c>
      <c r="I48" s="81"/>
    </row>
    <row r="49" ht="15.75" customHeight="1">
      <c r="B49" s="82">
        <v>36.0</v>
      </c>
      <c r="C49" s="82">
        <f>'CO_Attainment for Unit Tests'!B48</f>
        <v>2201180242</v>
      </c>
      <c r="D49" s="138" t="str">
        <f>'CO_Attainment for Unit Tests'!C48</f>
        <v>GORE SANKET NARENDRA</v>
      </c>
      <c r="E49" s="139">
        <v>34.0</v>
      </c>
      <c r="I49" s="81"/>
    </row>
    <row r="50" ht="15.75" customHeight="1">
      <c r="B50" s="82">
        <v>37.0</v>
      </c>
      <c r="C50" s="82">
        <f>'CO_Attainment for Unit Tests'!B49</f>
        <v>2201180243</v>
      </c>
      <c r="D50" s="138" t="str">
        <f>'CO_Attainment for Unit Tests'!C49</f>
        <v>HINGANE SAKSHI SATISH</v>
      </c>
      <c r="E50" s="139">
        <v>48.0</v>
      </c>
      <c r="I50" s="81"/>
    </row>
    <row r="51" ht="15.75" customHeight="1">
      <c r="B51" s="82">
        <v>38.0</v>
      </c>
      <c r="C51" s="82">
        <f>'CO_Attainment for Unit Tests'!B50</f>
        <v>2201180280</v>
      </c>
      <c r="D51" s="138" t="str">
        <f>'CO_Attainment for Unit Tests'!C50</f>
        <v>JADHAV SHREYAS YADAVRAO</v>
      </c>
      <c r="E51" s="139">
        <v>57.0</v>
      </c>
      <c r="I51" s="81"/>
    </row>
    <row r="52" ht="15.75" customHeight="1">
      <c r="B52" s="82">
        <v>39.0</v>
      </c>
      <c r="C52" s="82">
        <f>'CO_Attainment for Unit Tests'!B51</f>
        <v>2201180282</v>
      </c>
      <c r="D52" s="138" t="str">
        <f>'CO_Attainment for Unit Tests'!C51</f>
        <v>WAKALE KOMAL SANTOSH</v>
      </c>
      <c r="E52" s="139">
        <v>45.0</v>
      </c>
      <c r="I52" s="81"/>
    </row>
    <row r="53" ht="15.75" customHeight="1">
      <c r="B53" s="82">
        <v>40.0</v>
      </c>
      <c r="C53" s="82">
        <f>'CO_Attainment for Unit Tests'!B52</f>
        <v>2201180283</v>
      </c>
      <c r="D53" s="138" t="str">
        <f>'CO_Attainment for Unit Tests'!C52</f>
        <v>KALE PRANITA NAMDEV</v>
      </c>
      <c r="E53" s="139">
        <v>55.0</v>
      </c>
      <c r="I53" s="81"/>
    </row>
    <row r="54" ht="15.75" customHeight="1">
      <c r="B54" s="82">
        <v>41.0</v>
      </c>
      <c r="C54" s="82">
        <f>'CO_Attainment for Unit Tests'!B53</f>
        <v>2201180401</v>
      </c>
      <c r="D54" s="138" t="str">
        <f>'CO_Attainment for Unit Tests'!C53</f>
        <v>KHARKE MAHESH HANUMANT</v>
      </c>
      <c r="E54" s="139">
        <v>39.0</v>
      </c>
      <c r="I54" s="81"/>
    </row>
    <row r="55" ht="15.75" customHeight="1">
      <c r="B55" s="82">
        <v>42.0</v>
      </c>
      <c r="C55" s="82">
        <f>'CO_Attainment for Unit Tests'!B54</f>
        <v>2201180404</v>
      </c>
      <c r="D55" s="138" t="str">
        <f>'CO_Attainment for Unit Tests'!C54</f>
        <v>PARVE SHRIRAM SUDHIR</v>
      </c>
      <c r="E55" s="139">
        <v>37.0</v>
      </c>
      <c r="I55" s="81"/>
    </row>
    <row r="56" ht="15.75" customHeight="1">
      <c r="B56" s="82">
        <v>43.0</v>
      </c>
      <c r="C56" s="82">
        <f>'CO_Attainment for Unit Tests'!B55</f>
        <v>2201180405</v>
      </c>
      <c r="D56" s="138" t="str">
        <f>'CO_Attainment for Unit Tests'!C55</f>
        <v>KOLNURE SURAJ RAJENDRA</v>
      </c>
      <c r="E56" s="139">
        <v>29.0</v>
      </c>
      <c r="I56" s="81"/>
    </row>
    <row r="57" ht="15.75" customHeight="1">
      <c r="B57" s="82">
        <v>44.0</v>
      </c>
      <c r="C57" s="82">
        <f>'CO_Attainment for Unit Tests'!B56</f>
        <v>2201180406</v>
      </c>
      <c r="D57" s="138" t="str">
        <f>'CO_Attainment for Unit Tests'!C56</f>
        <v>KANDALE ADITYA VILAS</v>
      </c>
      <c r="E57" s="139">
        <v>42.0</v>
      </c>
      <c r="I57" s="81"/>
    </row>
    <row r="58" ht="15.75" customHeight="1">
      <c r="B58" s="82">
        <v>45.0</v>
      </c>
      <c r="C58" s="82">
        <f>'CO_Attainment for Unit Tests'!B57</f>
        <v>2201180407</v>
      </c>
      <c r="D58" s="138" t="str">
        <f>'CO_Attainment for Unit Tests'!C57</f>
        <v>BARATE VARSHARANI DADASAHEB</v>
      </c>
      <c r="E58" s="139">
        <v>56.0</v>
      </c>
      <c r="I58" s="81"/>
    </row>
    <row r="59" ht="15.0" customHeight="1">
      <c r="B59" s="82">
        <v>46.0</v>
      </c>
      <c r="C59" s="82">
        <f>'CO_Attainment for Unit Tests'!B58</f>
        <v>2201180408</v>
      </c>
      <c r="D59" s="138" t="str">
        <f>'CO_Attainment for Unit Tests'!C58</f>
        <v>BARATE AADITI DADASAHEB</v>
      </c>
      <c r="E59" s="139">
        <v>62.0</v>
      </c>
      <c r="I59" s="81"/>
    </row>
    <row r="60" ht="15.75" customHeight="1">
      <c r="B60" s="82">
        <v>47.0</v>
      </c>
      <c r="C60" s="82">
        <f>'CO_Attainment for Unit Tests'!B59</f>
        <v>2201180410</v>
      </c>
      <c r="D60" s="138" t="str">
        <f>'CO_Attainment for Unit Tests'!C59</f>
        <v>THORAVE SANIKA AMBADAS</v>
      </c>
      <c r="E60" s="139">
        <v>56.0</v>
      </c>
      <c r="I60" s="81"/>
    </row>
    <row r="61" ht="15.75" customHeight="1">
      <c r="B61" s="82">
        <v>48.0</v>
      </c>
      <c r="C61" s="82">
        <f>'CO_Attainment for Unit Tests'!B60</f>
        <v>2201180411</v>
      </c>
      <c r="D61" s="138" t="str">
        <f>'CO_Attainment for Unit Tests'!C60</f>
        <v>KULKARNI AAKANKSHA KAMLESH</v>
      </c>
      <c r="E61" s="139">
        <v>57.0</v>
      </c>
      <c r="I61" s="81"/>
    </row>
    <row r="62" ht="15.75" customHeight="1">
      <c r="B62" s="82">
        <v>49.0</v>
      </c>
      <c r="C62" s="82">
        <f>'CO_Attainment for Unit Tests'!B61</f>
        <v>2201180412</v>
      </c>
      <c r="D62" s="138" t="str">
        <f>'CO_Attainment for Unit Tests'!C61</f>
        <v>GAIKWAD GAYATRI SURESH</v>
      </c>
      <c r="E62" s="139">
        <v>42.0</v>
      </c>
      <c r="I62" s="81"/>
    </row>
    <row r="63" ht="15.75" customHeight="1">
      <c r="B63" s="82">
        <v>50.0</v>
      </c>
      <c r="C63" s="82">
        <f>'CO_Attainment for Unit Tests'!B62</f>
        <v>2201180413</v>
      </c>
      <c r="D63" s="138" t="str">
        <f>'CO_Attainment for Unit Tests'!C62</f>
        <v>SAROLKAR SAKSHI SHAMSUNDAR</v>
      </c>
      <c r="E63" s="139">
        <v>59.0</v>
      </c>
      <c r="I63" s="81"/>
    </row>
    <row r="64" ht="15.75" customHeight="1">
      <c r="B64" s="82">
        <v>51.0</v>
      </c>
      <c r="C64" s="82">
        <f>'CO_Attainment for Unit Tests'!B63</f>
        <v>2201180414</v>
      </c>
      <c r="D64" s="138" t="str">
        <f>'CO_Attainment for Unit Tests'!C63</f>
        <v>JAGTAP SANKET NARAYAN</v>
      </c>
      <c r="E64" s="139">
        <v>61.0</v>
      </c>
      <c r="I64" s="81"/>
    </row>
    <row r="65" ht="15.75" customHeight="1">
      <c r="B65" s="82">
        <v>52.0</v>
      </c>
      <c r="C65" s="82">
        <f>'CO_Attainment for Unit Tests'!B64</f>
        <v>2201180415</v>
      </c>
      <c r="D65" s="138" t="str">
        <f>'CO_Attainment for Unit Tests'!C64</f>
        <v>DHAPPADHULE VAISHNAVI SACHIN</v>
      </c>
      <c r="E65" s="139">
        <v>37.0</v>
      </c>
      <c r="I65" s="81"/>
    </row>
    <row r="66" ht="15.75" customHeight="1">
      <c r="B66" s="82">
        <v>53.0</v>
      </c>
      <c r="C66" s="82">
        <f>'CO_Attainment for Unit Tests'!B65</f>
        <v>2201180416</v>
      </c>
      <c r="D66" s="138" t="str">
        <f>'CO_Attainment for Unit Tests'!C65</f>
        <v>WAGHMARE AMAR BABAN</v>
      </c>
      <c r="E66" s="139">
        <v>29.0</v>
      </c>
      <c r="I66" s="81"/>
    </row>
    <row r="67" ht="15.75" customHeight="1">
      <c r="B67" s="82">
        <v>54.0</v>
      </c>
      <c r="C67" s="82">
        <f>'CO_Attainment for Unit Tests'!B66</f>
        <v>2201180417</v>
      </c>
      <c r="D67" s="138" t="str">
        <f>'CO_Attainment for Unit Tests'!C66</f>
        <v>DHEPE VAISHNAVI REVANNATH</v>
      </c>
      <c r="E67" s="139">
        <v>59.0</v>
      </c>
      <c r="I67" s="81"/>
    </row>
    <row r="68" ht="15.75" customHeight="1">
      <c r="B68" s="82">
        <v>55.0</v>
      </c>
      <c r="C68" s="82">
        <f>'CO_Attainment for Unit Tests'!B67</f>
        <v>2201180418</v>
      </c>
      <c r="D68" s="138" t="str">
        <f>'CO_Attainment for Unit Tests'!C67</f>
        <v>BAGADE GUNMANJIRI PURUSHOTTAM</v>
      </c>
      <c r="E68" s="139">
        <v>52.0</v>
      </c>
      <c r="I68" s="81"/>
    </row>
    <row r="69" ht="15.75" customHeight="1">
      <c r="B69" s="82">
        <v>56.0</v>
      </c>
      <c r="C69" s="82">
        <f>'CO_Attainment for Unit Tests'!B68</f>
        <v>2201180419</v>
      </c>
      <c r="D69" s="138" t="str">
        <f>'CO_Attainment for Unit Tests'!C68</f>
        <v>MULE SNEHA SANJIVAN</v>
      </c>
      <c r="E69" s="139">
        <v>56.0</v>
      </c>
      <c r="I69" s="81"/>
    </row>
    <row r="70" ht="15.75" customHeight="1">
      <c r="B70" s="82">
        <v>57.0</v>
      </c>
      <c r="C70" s="82">
        <f>'CO_Attainment for Unit Tests'!B69</f>
        <v>23510250259</v>
      </c>
      <c r="D70" s="138" t="str">
        <f>'CO_Attainment for Unit Tests'!C69</f>
        <v>BANSODE VINAYAK BABRUWAN</v>
      </c>
      <c r="E70" s="139"/>
      <c r="I70" s="95"/>
    </row>
    <row r="71" ht="15.75" customHeight="1">
      <c r="B71" s="82">
        <v>58.0</v>
      </c>
      <c r="C71" s="82">
        <f>'CO_Attainment for Unit Tests'!B70</f>
        <v>23510250260</v>
      </c>
      <c r="D71" s="138" t="str">
        <f>'CO_Attainment for Unit Tests'!C70</f>
        <v>ISHWARI ASHOK HAWALE</v>
      </c>
      <c r="E71" s="139"/>
      <c r="I71" s="95"/>
    </row>
    <row r="72" ht="15.75" customHeight="1">
      <c r="B72" s="82">
        <v>59.0</v>
      </c>
      <c r="C72" s="82">
        <f>'CO_Attainment for Unit Tests'!B71</f>
        <v>23510250261</v>
      </c>
      <c r="D72" s="138" t="str">
        <f>'CO_Attainment for Unit Tests'!C71</f>
        <v>JADHAV SANJYOT SHYAM</v>
      </c>
      <c r="E72" s="139">
        <v>49.0</v>
      </c>
      <c r="I72" s="81"/>
    </row>
    <row r="73" ht="15.75" customHeight="1">
      <c r="B73" s="82">
        <v>60.0</v>
      </c>
      <c r="C73" s="82">
        <f>'CO_Attainment for Unit Tests'!B72</f>
        <v>23510250262</v>
      </c>
      <c r="D73" s="138" t="str">
        <f>'CO_Attainment for Unit Tests'!C72</f>
        <v>KANLOD SHUBHAM GANPAT</v>
      </c>
      <c r="E73" s="139">
        <v>54.0</v>
      </c>
      <c r="I73" s="81"/>
    </row>
    <row r="74" ht="15.75" customHeight="1">
      <c r="B74" s="82">
        <v>61.0</v>
      </c>
      <c r="C74" s="82">
        <f>'CO_Attainment for Unit Tests'!B73</f>
        <v>23510250263</v>
      </c>
      <c r="D74" s="138" t="str">
        <f>'CO_Attainment for Unit Tests'!C73</f>
        <v>PHULARI VISHVJEET UMESH</v>
      </c>
      <c r="E74" s="139">
        <v>42.0</v>
      </c>
      <c r="I74" s="81"/>
    </row>
    <row r="75" ht="15.75" customHeight="1">
      <c r="B75" s="82">
        <v>62.0</v>
      </c>
      <c r="C75" s="82">
        <f>'CO_Attainment for Unit Tests'!B74</f>
        <v>23510250264</v>
      </c>
      <c r="D75" s="138" t="str">
        <f>'CO_Attainment for Unit Tests'!C74</f>
        <v>VHOTTE SHRUTIKA VAIJNATH</v>
      </c>
      <c r="E75" s="139"/>
      <c r="I75" s="95"/>
    </row>
    <row r="76" ht="15.75" customHeight="1">
      <c r="B76" s="82">
        <v>63.0</v>
      </c>
      <c r="C76" s="82" t="str">
        <f>'CO_Attainment for Unit Tests'!B75</f>
        <v/>
      </c>
      <c r="D76" s="138" t="str">
        <f>'CO_Attainment for Unit Tests'!C75</f>
        <v/>
      </c>
      <c r="E76" s="139"/>
    </row>
    <row r="77" ht="15.75" customHeight="1">
      <c r="B77" s="82">
        <v>64.0</v>
      </c>
      <c r="C77" s="82" t="str">
        <f>'CO_Attainment for Unit Tests'!B76</f>
        <v/>
      </c>
      <c r="D77" s="138" t="str">
        <f>'CO_Attainment for Unit Tests'!C76</f>
        <v/>
      </c>
      <c r="E77" s="139"/>
    </row>
    <row r="78" ht="15.75" customHeight="1">
      <c r="B78" s="82">
        <v>65.0</v>
      </c>
      <c r="C78" s="82" t="str">
        <f>'CO_Attainment for Unit Tests'!B77</f>
        <v/>
      </c>
      <c r="D78" s="138" t="str">
        <f>'CO_Attainment for Unit Tests'!C77</f>
        <v/>
      </c>
      <c r="E78" s="139"/>
    </row>
    <row r="79" ht="15.75" customHeight="1">
      <c r="B79" s="82">
        <v>66.0</v>
      </c>
      <c r="C79" s="82" t="str">
        <f>'CO_Attainment for Unit Tests'!B78</f>
        <v/>
      </c>
      <c r="D79" s="138" t="str">
        <f>'CO_Attainment for Unit Tests'!C78</f>
        <v/>
      </c>
      <c r="E79" s="139"/>
    </row>
    <row r="80" ht="15.75" customHeight="1">
      <c r="B80" s="82">
        <v>67.0</v>
      </c>
      <c r="C80" s="82" t="str">
        <f>'CO_Attainment for Unit Tests'!B78</f>
        <v/>
      </c>
      <c r="D80" s="138" t="str">
        <f>'CO_Attainment for Unit Tests'!C75</f>
        <v/>
      </c>
      <c r="E80" s="139"/>
    </row>
    <row r="81" ht="15.75" customHeight="1">
      <c r="B81" s="82">
        <v>68.0</v>
      </c>
      <c r="C81" s="82" t="str">
        <f>'CO_Attainment for Unit Tests'!B79</f>
        <v/>
      </c>
      <c r="D81" s="138" t="str">
        <f>'CO_Attainment for Unit Tests'!C76</f>
        <v/>
      </c>
      <c r="E81" s="139"/>
    </row>
    <row r="82" ht="15.75" customHeight="1">
      <c r="B82" s="82">
        <v>69.0</v>
      </c>
      <c r="C82" s="82" t="str">
        <f>'CO_Attainment for Unit Tests'!B80</f>
        <v/>
      </c>
      <c r="D82" s="138" t="str">
        <f>'CO_Attainment for Unit Tests'!C77</f>
        <v/>
      </c>
      <c r="E82" s="139"/>
    </row>
    <row r="83" ht="15.75" customHeight="1">
      <c r="B83" s="82">
        <v>70.0</v>
      </c>
      <c r="C83" s="82" t="str">
        <f>'CO_Attainment for Unit Tests'!B81</f>
        <v/>
      </c>
      <c r="D83" s="138" t="str">
        <f>'CO_Attainment for Unit Tests'!C78</f>
        <v/>
      </c>
      <c r="E83" s="139"/>
    </row>
    <row r="84" ht="15.75" customHeight="1">
      <c r="B84" s="82">
        <v>71.0</v>
      </c>
      <c r="C84" s="82" t="str">
        <f>'CO_Attainment for Unit Tests'!B82</f>
        <v/>
      </c>
      <c r="D84" s="138" t="str">
        <f>'CO_Attainment for Unit Tests'!C82</f>
        <v/>
      </c>
      <c r="E84" s="140"/>
    </row>
    <row r="85" ht="15.75" customHeight="1">
      <c r="B85" s="82">
        <v>72.0</v>
      </c>
      <c r="C85" s="82" t="str">
        <f>'CO_Attainment for Unit Tests'!B83</f>
        <v/>
      </c>
      <c r="D85" s="138" t="str">
        <f>'CO_Attainment for Unit Tests'!C83</f>
        <v/>
      </c>
      <c r="E85" s="96"/>
    </row>
    <row r="86" ht="15.75" customHeight="1">
      <c r="B86" s="82">
        <v>73.0</v>
      </c>
      <c r="C86" s="82" t="str">
        <f>'CO_Attainment for Unit Tests'!B84</f>
        <v/>
      </c>
      <c r="D86" s="138" t="str">
        <f>'CO_Attainment for Unit Tests'!C84</f>
        <v/>
      </c>
      <c r="E86" s="96"/>
    </row>
    <row r="87" ht="15.75" customHeight="1">
      <c r="B87" s="82">
        <v>74.0</v>
      </c>
      <c r="C87" s="82" t="str">
        <f>'CO_Attainment for Unit Tests'!B85</f>
        <v/>
      </c>
      <c r="D87" s="138" t="str">
        <f>'CO_Attainment for Unit Tests'!C85</f>
        <v/>
      </c>
      <c r="E87" s="96"/>
    </row>
    <row r="88" ht="15.0" customHeight="1">
      <c r="B88" s="82">
        <v>75.0</v>
      </c>
      <c r="C88" s="82" t="str">
        <f>'CO_Attainment for Unit Tests'!B86</f>
        <v/>
      </c>
      <c r="D88" s="138" t="str">
        <f>'CO_Attainment for Unit Tests'!C86</f>
        <v/>
      </c>
      <c r="E88" s="96"/>
    </row>
    <row r="89" ht="15.75" customHeight="1">
      <c r="B89" s="82">
        <v>76.0</v>
      </c>
      <c r="C89" s="82" t="str">
        <f>'CO_Attainment for Unit Tests'!B87</f>
        <v/>
      </c>
      <c r="D89" s="138" t="str">
        <f>'CO_Attainment for Unit Tests'!C87</f>
        <v/>
      </c>
      <c r="E89" s="96"/>
    </row>
    <row r="90" ht="15.75" customHeight="1">
      <c r="B90" s="82">
        <v>77.0</v>
      </c>
      <c r="C90" s="82" t="str">
        <f>'CO_Attainment for Unit Tests'!B88</f>
        <v/>
      </c>
      <c r="D90" s="138" t="str">
        <f>'CO_Attainment for Unit Tests'!C88</f>
        <v/>
      </c>
      <c r="E90" s="96"/>
    </row>
    <row r="91" ht="15.75" customHeight="1">
      <c r="B91" s="82">
        <v>78.0</v>
      </c>
      <c r="C91" s="82" t="str">
        <f>'CO_Attainment for Unit Tests'!B89</f>
        <v/>
      </c>
      <c r="D91" s="138" t="str">
        <f>'CO_Attainment for Unit Tests'!C89</f>
        <v/>
      </c>
      <c r="E91" s="96"/>
    </row>
    <row r="92" ht="15.75" customHeight="1">
      <c r="B92" s="82">
        <v>79.0</v>
      </c>
      <c r="C92" s="82" t="str">
        <f>'CO_Attainment for Unit Tests'!B90</f>
        <v/>
      </c>
      <c r="D92" s="138" t="str">
        <f>'CO_Attainment for Unit Tests'!C90</f>
        <v/>
      </c>
      <c r="E92" s="96"/>
    </row>
    <row r="93" ht="15.75" customHeight="1">
      <c r="B93" s="82">
        <v>80.0</v>
      </c>
      <c r="C93" s="82" t="str">
        <f>'CO_Attainment for Unit Tests'!B91</f>
        <v/>
      </c>
      <c r="D93" s="138" t="str">
        <f>'CO_Attainment for Unit Tests'!C91</f>
        <v/>
      </c>
      <c r="E93" s="96"/>
    </row>
    <row r="94" ht="24.75" customHeight="1">
      <c r="B94" s="82">
        <v>81.0</v>
      </c>
      <c r="C94" s="82" t="str">
        <f>'CO_Attainment for Unit Tests'!B92</f>
        <v/>
      </c>
      <c r="D94" s="138" t="str">
        <f>'CO_Attainment for Unit Tests'!C92</f>
        <v/>
      </c>
      <c r="E94" s="96"/>
    </row>
    <row r="95" ht="15.75" customHeight="1">
      <c r="B95" s="82">
        <v>82.0</v>
      </c>
      <c r="C95" s="82" t="str">
        <f>'CO_Attainment for Unit Tests'!B93</f>
        <v/>
      </c>
      <c r="D95" s="138" t="str">
        <f>'CO_Attainment for Unit Tests'!C93</f>
        <v/>
      </c>
      <c r="E95" s="96"/>
    </row>
    <row r="96" ht="15.75" customHeight="1">
      <c r="B96" s="82">
        <v>83.0</v>
      </c>
      <c r="C96" s="82" t="str">
        <f>'CO_Attainment for Unit Tests'!B94</f>
        <v/>
      </c>
      <c r="D96" s="138" t="str">
        <f>'CO_Attainment for Unit Tests'!C94</f>
        <v/>
      </c>
      <c r="E96" s="96"/>
    </row>
    <row r="97" ht="33.0" customHeight="1">
      <c r="B97" s="18"/>
      <c r="C97" s="18"/>
      <c r="D97" s="141" t="s">
        <v>149</v>
      </c>
      <c r="E97" s="142">
        <f>D98*E13/100</f>
        <v>32.879</v>
      </c>
    </row>
    <row r="98" ht="15.75" customHeight="1">
      <c r="D98" s="143">
        <v>46.97</v>
      </c>
      <c r="E98" s="30"/>
    </row>
    <row r="99" ht="15.0" customHeight="1">
      <c r="D99" s="144" t="s">
        <v>135</v>
      </c>
      <c r="E99" s="145">
        <f>COUNTIF(E14:E96,"&gt;=" &amp;E97)</f>
        <v>54</v>
      </c>
    </row>
    <row r="100" ht="15.75" customHeight="1">
      <c r="B100" s="18" t="s">
        <v>150</v>
      </c>
      <c r="D100" s="146"/>
      <c r="E100" s="147"/>
    </row>
    <row r="101" ht="15.75" customHeight="1">
      <c r="D101" s="146"/>
      <c r="E101" s="147"/>
    </row>
    <row r="102" ht="15.75" customHeight="1">
      <c r="E102" s="17"/>
    </row>
    <row r="103" ht="33.75" customHeight="1">
      <c r="A103" s="104" t="s">
        <v>136</v>
      </c>
      <c r="B103" s="24"/>
      <c r="C103" s="24"/>
      <c r="D103" s="25"/>
      <c r="E103" s="148" t="s">
        <v>137</v>
      </c>
      <c r="F103" s="106"/>
      <c r="G103" s="149" t="s">
        <v>138</v>
      </c>
      <c r="H103" s="150"/>
      <c r="I103" s="150"/>
    </row>
    <row r="104" ht="15.0" customHeight="1">
      <c r="A104" s="108" t="s">
        <v>139</v>
      </c>
      <c r="B104" s="151">
        <v>0.5</v>
      </c>
      <c r="C104" s="152" t="s">
        <v>151</v>
      </c>
      <c r="D104" s="153"/>
      <c r="E104" s="154">
        <f>COUNTA(D14:D96)-COUNTIFS(D14:D96,0)</f>
        <v>62</v>
      </c>
      <c r="F104" s="155">
        <f t="shared" ref="F104:F106" si="1">B104*$E$104</f>
        <v>31</v>
      </c>
      <c r="G104" s="156">
        <v>1.0</v>
      </c>
      <c r="H104" s="150"/>
      <c r="I104" s="150"/>
    </row>
    <row r="105" ht="15.75" customHeight="1">
      <c r="A105" s="115"/>
      <c r="B105" s="157">
        <v>0.6</v>
      </c>
      <c r="C105" s="158" t="s">
        <v>151</v>
      </c>
      <c r="D105" s="118"/>
      <c r="E105" s="26"/>
      <c r="F105" s="159">
        <f t="shared" si="1"/>
        <v>37.2</v>
      </c>
      <c r="G105" s="160">
        <v>2.0</v>
      </c>
      <c r="H105" s="150"/>
      <c r="I105" s="150"/>
    </row>
    <row r="106" ht="15.75" customHeight="1">
      <c r="A106" s="119"/>
      <c r="B106" s="161">
        <v>0.7</v>
      </c>
      <c r="C106" s="162" t="s">
        <v>152</v>
      </c>
      <c r="D106" s="123"/>
      <c r="E106" s="30"/>
      <c r="F106" s="163">
        <f t="shared" si="1"/>
        <v>43.4</v>
      </c>
      <c r="G106" s="164">
        <v>3.0</v>
      </c>
      <c r="H106" s="150"/>
      <c r="I106" s="150"/>
    </row>
    <row r="107" ht="15.75" customHeight="1">
      <c r="A107" s="150"/>
      <c r="B107" s="150"/>
      <c r="C107" s="150"/>
      <c r="D107" s="150"/>
      <c r="E107" s="165"/>
      <c r="F107" s="150"/>
      <c r="G107" s="150"/>
      <c r="H107" s="150"/>
      <c r="I107" s="150"/>
    </row>
    <row r="108" ht="15.75" customHeight="1">
      <c r="A108" s="150"/>
      <c r="B108" s="150"/>
      <c r="C108" s="150"/>
      <c r="D108" s="150"/>
      <c r="E108" s="165"/>
      <c r="F108" s="150"/>
      <c r="G108" s="150"/>
      <c r="H108" s="150"/>
      <c r="I108" s="150"/>
    </row>
    <row r="109" ht="71.25" customHeight="1">
      <c r="A109" s="166" t="s">
        <v>153</v>
      </c>
      <c r="B109" s="167"/>
      <c r="C109" s="127" t="s">
        <v>9</v>
      </c>
      <c r="D109" s="127" t="s">
        <v>11</v>
      </c>
      <c r="E109" s="127" t="s">
        <v>13</v>
      </c>
      <c r="F109" s="127" t="s">
        <v>15</v>
      </c>
      <c r="G109" s="127" t="s">
        <v>142</v>
      </c>
      <c r="H109" s="128" t="s">
        <v>143</v>
      </c>
      <c r="I109" s="150"/>
    </row>
    <row r="110" ht="39.0" customHeight="1">
      <c r="A110" s="168" t="s">
        <v>154</v>
      </c>
      <c r="B110" s="169"/>
      <c r="C110" s="130">
        <f>IF(E99&gt;=$F106,3,IF(E99&gt;=$F105,2,IF(E99&gt;=$F104,1,0)))</f>
        <v>3</v>
      </c>
      <c r="D110" s="130">
        <f t="shared" ref="D110:H110" si="2">$C110</f>
        <v>3</v>
      </c>
      <c r="E110" s="130">
        <f t="shared" si="2"/>
        <v>3</v>
      </c>
      <c r="F110" s="130">
        <f t="shared" si="2"/>
        <v>3</v>
      </c>
      <c r="G110" s="130">
        <f t="shared" si="2"/>
        <v>3</v>
      </c>
      <c r="H110" s="130">
        <f t="shared" si="2"/>
        <v>3</v>
      </c>
      <c r="I110" s="150"/>
    </row>
    <row r="111" ht="15.75" customHeight="1">
      <c r="A111" s="150" t="s">
        <v>155</v>
      </c>
      <c r="B111" s="150"/>
      <c r="C111" s="150"/>
      <c r="D111" s="150"/>
      <c r="E111" s="165"/>
      <c r="F111" s="150"/>
      <c r="G111" s="150"/>
      <c r="H111" s="150"/>
      <c r="I111" s="150"/>
    </row>
    <row r="112" ht="15.75" customHeight="1">
      <c r="A112" s="150"/>
      <c r="B112" s="150"/>
      <c r="C112" s="150"/>
      <c r="D112" s="150"/>
      <c r="E112" s="165"/>
      <c r="F112" s="150"/>
      <c r="G112" s="150"/>
      <c r="H112" s="150"/>
      <c r="I112" s="150"/>
    </row>
    <row r="113" ht="15.75" customHeight="1">
      <c r="E113" s="17"/>
    </row>
    <row r="114" ht="15.75" customHeight="1">
      <c r="E114" s="17"/>
    </row>
    <row r="115" ht="15.75" customHeight="1">
      <c r="E115" s="17"/>
    </row>
    <row r="116" ht="15.75" customHeight="1">
      <c r="E116" s="17"/>
    </row>
    <row r="117" ht="15.75" customHeight="1">
      <c r="E117" s="17"/>
    </row>
    <row r="118" ht="15.75" customHeight="1">
      <c r="E118" s="17"/>
    </row>
    <row r="119" ht="15.75" customHeight="1">
      <c r="E119" s="17"/>
    </row>
    <row r="120" ht="15.75" customHeight="1">
      <c r="E120" s="17"/>
    </row>
    <row r="121" ht="15.75" customHeight="1">
      <c r="E121" s="17"/>
    </row>
    <row r="122" ht="15.75" customHeight="1">
      <c r="E122" s="17"/>
    </row>
    <row r="123" ht="15.75" customHeight="1">
      <c r="E123" s="17"/>
    </row>
    <row r="124" ht="15.75" customHeight="1">
      <c r="E124" s="17"/>
    </row>
    <row r="125" ht="15.75" customHeight="1">
      <c r="E125" s="17"/>
    </row>
    <row r="126" ht="15.75" customHeight="1">
      <c r="E126" s="17"/>
    </row>
    <row r="127" ht="15.75" customHeight="1">
      <c r="E127" s="17"/>
    </row>
    <row r="128" ht="15.75" customHeight="1">
      <c r="E128" s="17"/>
    </row>
    <row r="129" ht="15.75" customHeight="1">
      <c r="E129" s="17"/>
    </row>
    <row r="130" ht="15.75" customHeight="1">
      <c r="E130" s="17"/>
    </row>
    <row r="131" ht="15.75" customHeight="1">
      <c r="E131" s="17"/>
    </row>
    <row r="132" ht="15.75" customHeight="1">
      <c r="E132" s="17"/>
    </row>
    <row r="133" ht="15.75" customHeight="1">
      <c r="E133" s="17"/>
    </row>
    <row r="134" ht="15.75" customHeight="1">
      <c r="E134" s="17"/>
    </row>
    <row r="135" ht="15.75" customHeight="1">
      <c r="E135" s="17"/>
    </row>
    <row r="136" ht="15.75" customHeight="1">
      <c r="E136" s="17"/>
    </row>
    <row r="137" ht="15.75" customHeight="1">
      <c r="E137" s="17"/>
    </row>
    <row r="138" ht="15.75" customHeight="1">
      <c r="E138" s="17"/>
    </row>
    <row r="139" ht="15.75" customHeight="1">
      <c r="E139" s="17"/>
    </row>
    <row r="140" ht="15.75" customHeight="1">
      <c r="E140" s="17"/>
    </row>
    <row r="141" ht="15.75" customHeight="1">
      <c r="E141" s="17"/>
    </row>
    <row r="142" ht="15.75" customHeight="1">
      <c r="E142" s="17"/>
    </row>
    <row r="143" ht="15.75" customHeight="1">
      <c r="E143" s="17"/>
    </row>
    <row r="144" ht="15.75" customHeight="1">
      <c r="E144" s="17"/>
    </row>
    <row r="145" ht="15.75" customHeight="1">
      <c r="E145" s="17"/>
    </row>
    <row r="146" ht="15.75" customHeight="1">
      <c r="E146" s="17"/>
    </row>
    <row r="147" ht="15.75" customHeight="1">
      <c r="E147" s="17"/>
    </row>
    <row r="148" ht="15.75" customHeight="1">
      <c r="E148" s="17"/>
    </row>
    <row r="149" ht="15.75" customHeight="1">
      <c r="E149" s="17"/>
    </row>
    <row r="150" ht="15.75" customHeight="1">
      <c r="E150" s="17"/>
    </row>
    <row r="151" ht="15.75" customHeight="1">
      <c r="E151" s="17"/>
    </row>
    <row r="152" ht="15.75" customHeight="1">
      <c r="E152" s="17"/>
    </row>
    <row r="153" ht="15.75" customHeight="1">
      <c r="E153" s="17"/>
    </row>
    <row r="154" ht="15.75" customHeight="1">
      <c r="E154" s="17"/>
    </row>
    <row r="155" ht="15.75" customHeight="1">
      <c r="E155" s="17"/>
    </row>
    <row r="156" ht="15.75" customHeight="1">
      <c r="E156" s="17"/>
    </row>
    <row r="157" ht="15.75" customHeight="1">
      <c r="E157" s="17"/>
    </row>
    <row r="158" ht="15.75" customHeight="1">
      <c r="E158" s="17"/>
    </row>
    <row r="159" ht="15.75" customHeight="1">
      <c r="E159" s="17"/>
    </row>
    <row r="160" ht="15.75" customHeight="1">
      <c r="E160" s="17"/>
    </row>
    <row r="161" ht="15.75" customHeight="1">
      <c r="E161" s="17"/>
    </row>
    <row r="162" ht="15.75" customHeight="1">
      <c r="E162" s="17"/>
    </row>
    <row r="163" ht="15.75" customHeight="1">
      <c r="E163" s="17"/>
    </row>
    <row r="164" ht="15.75" customHeight="1">
      <c r="E164" s="17"/>
    </row>
    <row r="165" ht="15.75" customHeight="1">
      <c r="E165" s="17"/>
    </row>
    <row r="166" ht="15.75" customHeight="1">
      <c r="E166" s="17"/>
    </row>
    <row r="167" ht="15.75" customHeight="1">
      <c r="E167" s="17"/>
    </row>
    <row r="168" ht="15.75" customHeight="1">
      <c r="E168" s="17"/>
    </row>
    <row r="169" ht="15.75" customHeight="1">
      <c r="E169" s="17"/>
    </row>
    <row r="170" ht="15.75" customHeight="1">
      <c r="E170" s="17"/>
    </row>
    <row r="171" ht="15.75" customHeight="1">
      <c r="E171" s="17"/>
    </row>
    <row r="172" ht="15.75" customHeight="1">
      <c r="E172" s="17"/>
    </row>
    <row r="173" ht="15.75" customHeight="1">
      <c r="E173" s="17"/>
    </row>
    <row r="174" ht="15.75" customHeight="1">
      <c r="E174" s="17"/>
    </row>
    <row r="175" ht="15.75" customHeight="1">
      <c r="E175" s="17"/>
    </row>
    <row r="176" ht="15.75" customHeight="1">
      <c r="E176" s="17"/>
    </row>
    <row r="177" ht="15.75" customHeight="1">
      <c r="E177" s="17"/>
    </row>
    <row r="178" ht="15.75" customHeight="1">
      <c r="E178" s="17"/>
    </row>
    <row r="179" ht="15.75" customHeight="1">
      <c r="E179" s="17"/>
    </row>
    <row r="180" ht="15.75" customHeight="1">
      <c r="E180" s="17"/>
    </row>
    <row r="181" ht="15.75" customHeight="1">
      <c r="E181" s="17"/>
    </row>
    <row r="182" ht="15.75" customHeight="1">
      <c r="E182" s="17"/>
    </row>
    <row r="183" ht="15.75" customHeight="1">
      <c r="E183" s="17"/>
    </row>
    <row r="184" ht="15.75" customHeight="1">
      <c r="E184" s="17"/>
    </row>
    <row r="185" ht="15.75" customHeight="1">
      <c r="E185" s="17"/>
    </row>
    <row r="186" ht="15.75" customHeight="1">
      <c r="E186" s="17"/>
    </row>
    <row r="187" ht="15.75" customHeight="1">
      <c r="E187" s="17"/>
    </row>
    <row r="188" ht="15.75" customHeight="1">
      <c r="E188" s="17"/>
    </row>
    <row r="189" ht="15.75" customHeight="1">
      <c r="E189" s="17"/>
    </row>
    <row r="190" ht="15.75" customHeight="1">
      <c r="E190" s="17"/>
    </row>
    <row r="191" ht="15.75" customHeight="1">
      <c r="E191" s="17"/>
    </row>
    <row r="192" ht="15.75" customHeight="1">
      <c r="E192" s="17"/>
    </row>
    <row r="193" ht="15.75" customHeight="1">
      <c r="E193" s="17"/>
    </row>
    <row r="194" ht="15.75" customHeight="1">
      <c r="E194" s="17"/>
    </row>
    <row r="195" ht="15.75" customHeight="1">
      <c r="E195" s="17"/>
    </row>
    <row r="196" ht="15.75" customHeight="1">
      <c r="E196" s="17"/>
    </row>
    <row r="197" ht="15.75" customHeight="1">
      <c r="E197" s="17"/>
    </row>
    <row r="198" ht="15.75" customHeight="1">
      <c r="E198" s="17"/>
    </row>
    <row r="199" ht="15.75" customHeight="1">
      <c r="E199" s="17"/>
    </row>
    <row r="200" ht="15.75" customHeight="1">
      <c r="E200" s="17"/>
    </row>
    <row r="201" ht="15.75" customHeight="1">
      <c r="E201" s="17"/>
    </row>
    <row r="202" ht="15.75" customHeight="1">
      <c r="E202" s="17"/>
    </row>
    <row r="203" ht="15.75" customHeight="1">
      <c r="E203" s="17"/>
    </row>
    <row r="204" ht="15.75" customHeight="1">
      <c r="E204" s="17"/>
    </row>
    <row r="205" ht="15.75" customHeight="1">
      <c r="E205" s="17"/>
    </row>
    <row r="206" ht="15.75" customHeight="1">
      <c r="E206" s="17"/>
    </row>
    <row r="207" ht="15.75" customHeight="1">
      <c r="E207" s="17"/>
    </row>
    <row r="208" ht="15.75" customHeight="1">
      <c r="E208" s="17"/>
    </row>
    <row r="209" ht="15.75" customHeight="1">
      <c r="E209" s="17"/>
    </row>
    <row r="210" ht="15.75" customHeight="1">
      <c r="E210" s="17"/>
    </row>
    <row r="211" ht="15.75" customHeight="1">
      <c r="E211" s="17"/>
    </row>
    <row r="212" ht="15.75" customHeight="1">
      <c r="E212" s="17"/>
    </row>
    <row r="213" ht="15.75" customHeight="1">
      <c r="E213" s="17"/>
    </row>
    <row r="214" ht="15.75" customHeight="1">
      <c r="E214" s="17"/>
    </row>
    <row r="215" ht="15.75" customHeight="1">
      <c r="E215" s="17"/>
    </row>
    <row r="216" ht="15.75" customHeight="1">
      <c r="E216" s="17"/>
    </row>
    <row r="217" ht="15.75" customHeight="1">
      <c r="E217" s="17"/>
    </row>
    <row r="218" ht="15.75" customHeight="1">
      <c r="E218" s="17"/>
    </row>
    <row r="219" ht="15.75" customHeight="1">
      <c r="E219" s="17"/>
    </row>
    <row r="220" ht="15.75" customHeight="1">
      <c r="E220" s="17"/>
    </row>
    <row r="221" ht="15.75" customHeight="1">
      <c r="E221" s="17"/>
    </row>
    <row r="222" ht="15.75" customHeight="1">
      <c r="E222" s="17"/>
    </row>
    <row r="223" ht="15.75" customHeight="1">
      <c r="E223" s="17"/>
    </row>
    <row r="224" ht="15.75" customHeight="1">
      <c r="E224" s="17"/>
    </row>
    <row r="225" ht="15.75" customHeight="1">
      <c r="E225" s="17"/>
    </row>
    <row r="226" ht="15.75" customHeight="1">
      <c r="E226" s="17"/>
    </row>
    <row r="227" ht="15.75" customHeight="1">
      <c r="E227" s="17"/>
    </row>
    <row r="228" ht="15.75" customHeight="1">
      <c r="E228" s="17"/>
    </row>
    <row r="229" ht="15.75" customHeight="1">
      <c r="E229" s="17"/>
    </row>
    <row r="230" ht="15.75" customHeight="1">
      <c r="E230" s="17"/>
    </row>
    <row r="231" ht="15.75" customHeight="1">
      <c r="E231" s="17"/>
    </row>
    <row r="232" ht="15.75" customHeight="1">
      <c r="E232" s="17"/>
    </row>
    <row r="233" ht="15.75" customHeight="1">
      <c r="E233" s="17"/>
    </row>
    <row r="234" ht="15.75" customHeight="1">
      <c r="E234" s="17"/>
    </row>
    <row r="235" ht="15.75" customHeight="1">
      <c r="E235" s="17"/>
    </row>
    <row r="236" ht="15.75" customHeight="1">
      <c r="E236" s="17"/>
    </row>
    <row r="237" ht="15.75" customHeight="1">
      <c r="E237" s="17"/>
    </row>
    <row r="238" ht="15.75" customHeight="1">
      <c r="E238" s="17"/>
    </row>
    <row r="239" ht="15.75" customHeight="1">
      <c r="E239" s="17"/>
    </row>
    <row r="240" ht="15.75" customHeight="1">
      <c r="E240" s="17"/>
    </row>
    <row r="241" ht="15.75" customHeight="1">
      <c r="E241" s="17"/>
    </row>
    <row r="242" ht="15.75" customHeight="1">
      <c r="E242" s="17"/>
    </row>
    <row r="243" ht="15.75" customHeight="1">
      <c r="E243" s="17"/>
    </row>
    <row r="244" ht="15.75" customHeight="1">
      <c r="E244" s="17"/>
    </row>
    <row r="245" ht="15.75" customHeight="1">
      <c r="E245" s="17"/>
    </row>
    <row r="246" ht="15.75" customHeight="1">
      <c r="E246" s="17"/>
    </row>
    <row r="247" ht="15.75" customHeight="1">
      <c r="E247" s="17"/>
    </row>
    <row r="248" ht="15.75" customHeight="1">
      <c r="E248" s="17"/>
    </row>
    <row r="249" ht="15.75" customHeight="1">
      <c r="E249" s="17"/>
    </row>
    <row r="250" ht="15.75" customHeight="1">
      <c r="E250" s="17"/>
    </row>
    <row r="251" ht="15.75" customHeight="1">
      <c r="E251" s="17"/>
    </row>
    <row r="252" ht="15.75" customHeight="1">
      <c r="E252" s="17"/>
    </row>
    <row r="253" ht="15.75" customHeight="1">
      <c r="E253" s="17"/>
    </row>
    <row r="254" ht="15.75" customHeight="1">
      <c r="E254" s="17"/>
    </row>
    <row r="255" ht="15.75" customHeight="1">
      <c r="E255" s="17"/>
    </row>
    <row r="256" ht="15.75" customHeight="1">
      <c r="E256" s="17"/>
    </row>
    <row r="257" ht="15.75" customHeight="1">
      <c r="E257" s="17"/>
    </row>
    <row r="258" ht="15.75" customHeight="1">
      <c r="E258" s="17"/>
    </row>
    <row r="259" ht="15.75" customHeight="1">
      <c r="E259" s="17"/>
    </row>
    <row r="260" ht="15.75" customHeight="1">
      <c r="E260" s="17"/>
    </row>
    <row r="261" ht="15.75" customHeight="1">
      <c r="E261" s="17"/>
    </row>
    <row r="262" ht="15.75" customHeight="1">
      <c r="E262" s="17"/>
    </row>
    <row r="263" ht="15.75" customHeight="1">
      <c r="E263" s="17"/>
    </row>
    <row r="264" ht="15.75" customHeight="1">
      <c r="E264" s="17"/>
    </row>
    <row r="265" ht="15.75" customHeight="1">
      <c r="E265" s="17"/>
    </row>
    <row r="266" ht="15.75" customHeight="1">
      <c r="E266" s="17"/>
    </row>
    <row r="267" ht="15.75" customHeight="1">
      <c r="E267" s="17"/>
    </row>
    <row r="268" ht="15.75" customHeight="1">
      <c r="E268" s="17"/>
    </row>
    <row r="269" ht="15.75" customHeight="1">
      <c r="E269" s="17"/>
    </row>
    <row r="270" ht="15.75" customHeight="1">
      <c r="E270" s="17"/>
    </row>
    <row r="271" ht="15.75" customHeight="1">
      <c r="E271" s="17"/>
    </row>
    <row r="272" ht="15.75" customHeight="1">
      <c r="E272" s="17"/>
    </row>
    <row r="273" ht="15.75" customHeight="1">
      <c r="E273" s="17"/>
    </row>
    <row r="274" ht="15.75" customHeight="1">
      <c r="E274" s="17"/>
    </row>
    <row r="275" ht="15.75" customHeight="1">
      <c r="E275" s="17"/>
    </row>
    <row r="276" ht="15.75" customHeight="1">
      <c r="E276" s="17"/>
    </row>
    <row r="277" ht="15.75" customHeight="1">
      <c r="E277" s="17"/>
    </row>
    <row r="278" ht="15.75" customHeight="1">
      <c r="E278" s="17"/>
    </row>
    <row r="279" ht="15.75" customHeight="1">
      <c r="E279" s="17"/>
    </row>
    <row r="280" ht="15.75" customHeight="1">
      <c r="E280" s="17"/>
    </row>
    <row r="281" ht="15.75" customHeight="1">
      <c r="E281" s="17"/>
    </row>
    <row r="282" ht="15.75" customHeight="1">
      <c r="E282" s="17"/>
    </row>
    <row r="283" ht="15.75" customHeight="1">
      <c r="E283" s="17"/>
    </row>
    <row r="284" ht="15.75" customHeight="1">
      <c r="E284" s="17"/>
    </row>
    <row r="285" ht="15.75" customHeight="1">
      <c r="E285" s="17"/>
    </row>
    <row r="286" ht="15.75" customHeight="1">
      <c r="E286" s="17"/>
    </row>
    <row r="287" ht="15.75" customHeight="1">
      <c r="E287" s="17"/>
    </row>
    <row r="288" ht="15.75" customHeight="1">
      <c r="E288" s="17"/>
    </row>
    <row r="289" ht="15.75" customHeight="1">
      <c r="E289" s="17"/>
    </row>
    <row r="290" ht="15.75" customHeight="1">
      <c r="E290" s="17"/>
    </row>
    <row r="291" ht="15.75" customHeight="1">
      <c r="E291" s="17"/>
    </row>
    <row r="292" ht="15.75" customHeight="1">
      <c r="E292" s="17"/>
    </row>
    <row r="293" ht="15.75" customHeight="1">
      <c r="E293" s="17"/>
    </row>
    <row r="294" ht="15.75" customHeight="1">
      <c r="E294" s="17"/>
    </row>
    <row r="295" ht="15.75" customHeight="1">
      <c r="E295" s="17"/>
    </row>
    <row r="296" ht="15.75" customHeight="1">
      <c r="E296" s="17"/>
    </row>
    <row r="297" ht="15.75" customHeight="1">
      <c r="E297" s="17"/>
    </row>
    <row r="298" ht="15.75" customHeight="1">
      <c r="E298" s="17"/>
    </row>
    <row r="299" ht="15.75" customHeight="1">
      <c r="E299" s="17"/>
    </row>
    <row r="300" ht="15.75" customHeight="1">
      <c r="E300" s="17"/>
    </row>
    <row r="301" ht="15.75" customHeight="1">
      <c r="E301" s="17"/>
    </row>
    <row r="302" ht="15.75" customHeight="1">
      <c r="E302" s="17"/>
    </row>
    <row r="303" ht="15.75" customHeight="1">
      <c r="E303" s="17"/>
    </row>
    <row r="304" ht="15.75" customHeight="1">
      <c r="E304" s="17"/>
    </row>
    <row r="305" ht="15.75" customHeight="1">
      <c r="E305" s="17"/>
    </row>
    <row r="306" ht="15.75" customHeight="1">
      <c r="E306" s="17"/>
    </row>
    <row r="307" ht="15.75" customHeight="1">
      <c r="E307" s="17"/>
    </row>
    <row r="308" ht="15.75" customHeight="1">
      <c r="E308" s="17"/>
    </row>
    <row r="309" ht="15.75" customHeight="1">
      <c r="E309" s="17"/>
    </row>
    <row r="310" ht="15.75" customHeight="1">
      <c r="E310" s="17"/>
    </row>
    <row r="311" ht="15.75" customHeight="1">
      <c r="E311" s="17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F1"/>
    <mergeCell ref="D4:E4"/>
    <mergeCell ref="D5:E5"/>
    <mergeCell ref="D6:E6"/>
    <mergeCell ref="D7:E7"/>
    <mergeCell ref="B9:B13"/>
    <mergeCell ref="C9:C13"/>
    <mergeCell ref="C105:D105"/>
    <mergeCell ref="C106:D106"/>
    <mergeCell ref="A109:B109"/>
    <mergeCell ref="A110:B110"/>
    <mergeCell ref="D9:D13"/>
    <mergeCell ref="E9:E12"/>
    <mergeCell ref="E97:E98"/>
    <mergeCell ref="A103:D103"/>
    <mergeCell ref="A104:A106"/>
    <mergeCell ref="C104:D104"/>
    <mergeCell ref="E104:E10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16.0"/>
    <col customWidth="1" min="4" max="4" width="43.14"/>
    <col customWidth="1" min="5" max="5" width="15.57"/>
    <col customWidth="1" min="6" max="6" width="21.29"/>
    <col customWidth="1" min="7" max="7" width="14.71"/>
    <col customWidth="1" min="8" max="8" width="8.71"/>
  </cols>
  <sheetData>
    <row r="1">
      <c r="D1" s="170" t="s">
        <v>156</v>
      </c>
      <c r="E1" s="170"/>
      <c r="F1" s="170"/>
      <c r="G1" s="170"/>
      <c r="H1" s="55"/>
    </row>
    <row r="2">
      <c r="B2" s="55"/>
      <c r="C2" s="55"/>
      <c r="E2" s="132" t="s">
        <v>157</v>
      </c>
      <c r="F2" s="55"/>
      <c r="G2" s="55"/>
    </row>
    <row r="3">
      <c r="B3" s="55"/>
      <c r="C3" s="55"/>
      <c r="D3" s="132"/>
      <c r="E3" s="17"/>
      <c r="F3" s="55"/>
      <c r="G3" s="55"/>
    </row>
    <row r="4">
      <c r="B4" s="55"/>
      <c r="C4" s="56" t="s">
        <v>1</v>
      </c>
      <c r="D4" s="57" t="str">
        <f>'CO_Attainment for Unit Tests'!C3</f>
        <v>Data Structures Using _C</v>
      </c>
      <c r="E4" s="58"/>
      <c r="F4" s="55"/>
      <c r="G4" s="55"/>
      <c r="H4" s="55"/>
    </row>
    <row r="5">
      <c r="B5" s="55"/>
      <c r="C5" s="56" t="s">
        <v>3</v>
      </c>
      <c r="D5" s="57">
        <f>'CO_Attainment for Unit Tests'!C4</f>
        <v>22317</v>
      </c>
      <c r="E5" s="58"/>
      <c r="F5" s="55"/>
      <c r="G5" s="55"/>
      <c r="H5" s="55"/>
    </row>
    <row r="6">
      <c r="B6" s="55"/>
      <c r="C6" s="56" t="s">
        <v>53</v>
      </c>
      <c r="D6" s="57" t="str">
        <f>'CO_Attainment for Unit Tests'!C5</f>
        <v>3rd SEM(CO3I SCHEME)</v>
      </c>
      <c r="E6" s="58"/>
      <c r="F6" s="55"/>
      <c r="G6" s="55"/>
      <c r="H6" s="55"/>
    </row>
    <row r="7">
      <c r="B7" s="55"/>
      <c r="C7" s="56" t="s">
        <v>158</v>
      </c>
      <c r="D7" s="57" t="str">
        <f>'CO_Attainment for Unit Tests'!C6</f>
        <v>2023-24</v>
      </c>
      <c r="E7" s="58"/>
      <c r="F7" s="55"/>
      <c r="G7" s="55"/>
      <c r="H7" s="55"/>
    </row>
    <row r="9" ht="15.75" customHeight="1">
      <c r="B9" s="134" t="s">
        <v>21</v>
      </c>
      <c r="C9" s="135" t="s">
        <v>55</v>
      </c>
      <c r="D9" s="171" t="s">
        <v>56</v>
      </c>
      <c r="E9" s="172" t="s">
        <v>159</v>
      </c>
      <c r="F9" s="173" t="s">
        <v>160</v>
      </c>
      <c r="G9" s="173" t="s">
        <v>161</v>
      </c>
    </row>
    <row r="10" ht="15.75" customHeight="1">
      <c r="B10" s="69"/>
      <c r="C10" s="69"/>
      <c r="D10" s="69"/>
      <c r="E10" s="69"/>
      <c r="F10" s="69"/>
      <c r="G10" s="69"/>
    </row>
    <row r="11" ht="15.75" customHeight="1">
      <c r="B11" s="69"/>
      <c r="C11" s="69"/>
      <c r="D11" s="69"/>
      <c r="E11" s="69"/>
      <c r="F11" s="69"/>
      <c r="G11" s="69"/>
    </row>
    <row r="12" ht="54.75" customHeight="1">
      <c r="B12" s="69"/>
      <c r="C12" s="69"/>
      <c r="D12" s="69"/>
      <c r="E12" s="73"/>
      <c r="F12" s="73"/>
      <c r="G12" s="73"/>
    </row>
    <row r="13" ht="20.25" customHeight="1">
      <c r="B13" s="73"/>
      <c r="C13" s="73"/>
      <c r="D13" s="73"/>
      <c r="E13" s="78">
        <v>10.0</v>
      </c>
      <c r="F13" s="78">
        <v>25.0</v>
      </c>
      <c r="G13" s="78">
        <v>25.0</v>
      </c>
    </row>
    <row r="14">
      <c r="B14" s="82">
        <v>1.0</v>
      </c>
      <c r="C14" s="83">
        <f>'CO_Attainment for Unit Tests'!B13</f>
        <v>2201180002</v>
      </c>
      <c r="D14" s="84" t="str">
        <f>'CO_Attainment for Unit Tests'!C13</f>
        <v>GARAD ANJALI NITIN</v>
      </c>
      <c r="E14" s="139"/>
      <c r="F14" s="139">
        <v>13.0</v>
      </c>
      <c r="G14" s="139">
        <v>19.0</v>
      </c>
    </row>
    <row r="15">
      <c r="B15" s="82">
        <v>2.0</v>
      </c>
      <c r="C15" s="83">
        <f>'CO_Attainment for Unit Tests'!B14</f>
        <v>2201180003</v>
      </c>
      <c r="D15" s="84" t="str">
        <f>'CO_Attainment for Unit Tests'!C14</f>
        <v>WALANDE GAURI DAYANAND</v>
      </c>
      <c r="E15" s="139"/>
      <c r="F15" s="139">
        <v>22.0</v>
      </c>
      <c r="G15" s="139">
        <v>21.0</v>
      </c>
    </row>
    <row r="16">
      <c r="B16" s="82">
        <v>3.0</v>
      </c>
      <c r="C16" s="83">
        <f>'CO_Attainment for Unit Tests'!B15</f>
        <v>2201180004</v>
      </c>
      <c r="D16" s="84" t="str">
        <f>'CO_Attainment for Unit Tests'!C15</f>
        <v>ZUNJURE SARTHAK BALAJI</v>
      </c>
      <c r="E16" s="139"/>
      <c r="F16" s="139">
        <v>22.0</v>
      </c>
      <c r="G16" s="139">
        <v>22.0</v>
      </c>
    </row>
    <row r="17">
      <c r="B17" s="82">
        <v>4.0</v>
      </c>
      <c r="C17" s="83">
        <f>'CO_Attainment for Unit Tests'!B16</f>
        <v>2201180005</v>
      </c>
      <c r="D17" s="84" t="str">
        <f>'CO_Attainment for Unit Tests'!C16</f>
        <v>BHANDE GAYATRI DAMODAR</v>
      </c>
      <c r="E17" s="139"/>
      <c r="F17" s="139">
        <v>24.0</v>
      </c>
      <c r="G17" s="139">
        <v>24.0</v>
      </c>
    </row>
    <row r="18">
      <c r="B18" s="82">
        <v>5.0</v>
      </c>
      <c r="C18" s="83">
        <f>'CO_Attainment for Unit Tests'!B17</f>
        <v>2201180006</v>
      </c>
      <c r="D18" s="84" t="str">
        <f>'CO_Attainment for Unit Tests'!C17</f>
        <v>MUNDHE GAYATRI PARMESHWAR</v>
      </c>
      <c r="E18" s="139"/>
      <c r="F18" s="139">
        <v>24.0</v>
      </c>
      <c r="G18" s="139">
        <v>24.0</v>
      </c>
    </row>
    <row r="19">
      <c r="B19" s="82">
        <v>6.0</v>
      </c>
      <c r="C19" s="83">
        <f>'CO_Attainment for Unit Tests'!B18</f>
        <v>2201180009</v>
      </c>
      <c r="D19" s="84" t="str">
        <f>'CO_Attainment for Unit Tests'!C18</f>
        <v>YADAV RADHA SAMADHAN</v>
      </c>
      <c r="E19" s="139"/>
      <c r="F19" s="139">
        <v>22.0</v>
      </c>
      <c r="G19" s="139">
        <v>21.0</v>
      </c>
    </row>
    <row r="20">
      <c r="B20" s="82">
        <v>7.0</v>
      </c>
      <c r="C20" s="83">
        <f>'CO_Attainment for Unit Tests'!B19</f>
        <v>2201180010</v>
      </c>
      <c r="D20" s="84" t="str">
        <f>'CO_Attainment for Unit Tests'!C19</f>
        <v>DESHMANE MANSI SIDDHESHWAR</v>
      </c>
      <c r="E20" s="139"/>
      <c r="F20" s="139">
        <v>23.0</v>
      </c>
      <c r="G20" s="139">
        <v>21.0</v>
      </c>
    </row>
    <row r="21" ht="15.75" customHeight="1">
      <c r="B21" s="82">
        <v>8.0</v>
      </c>
      <c r="C21" s="83">
        <f>'CO_Attainment for Unit Tests'!B20</f>
        <v>2201180011</v>
      </c>
      <c r="D21" s="84" t="str">
        <f>'CO_Attainment for Unit Tests'!C20</f>
        <v>GAWALGADADE POOJA ARVIND</v>
      </c>
      <c r="E21" s="139"/>
      <c r="F21" s="139">
        <v>22.0</v>
      </c>
      <c r="G21" s="139">
        <v>20.0</v>
      </c>
    </row>
    <row r="22" ht="15.75" customHeight="1">
      <c r="B22" s="82">
        <v>9.0</v>
      </c>
      <c r="C22" s="83">
        <f>'CO_Attainment for Unit Tests'!B21</f>
        <v>2201180014</v>
      </c>
      <c r="D22" s="84" t="str">
        <f>'CO_Attainment for Unit Tests'!C21</f>
        <v>JAIN TANISHA SHAILESH</v>
      </c>
      <c r="E22" s="139"/>
      <c r="F22" s="139">
        <v>19.0</v>
      </c>
      <c r="G22" s="139">
        <v>21.0</v>
      </c>
    </row>
    <row r="23" ht="15.75" customHeight="1">
      <c r="B23" s="82">
        <v>10.0</v>
      </c>
      <c r="C23" s="83">
        <f>'CO_Attainment for Unit Tests'!B22</f>
        <v>2201180050</v>
      </c>
      <c r="D23" s="84" t="str">
        <f>'CO_Attainment for Unit Tests'!C22</f>
        <v>MAINDARGE SIDDHI PRASAD</v>
      </c>
      <c r="E23" s="139"/>
      <c r="F23" s="139">
        <v>23.0</v>
      </c>
      <c r="G23" s="139">
        <v>23.0</v>
      </c>
    </row>
    <row r="24" ht="15.75" customHeight="1">
      <c r="B24" s="82">
        <v>11.0</v>
      </c>
      <c r="C24" s="83">
        <f>'CO_Attainment for Unit Tests'!B23</f>
        <v>2201180051</v>
      </c>
      <c r="D24" s="84" t="str">
        <f>'CO_Attainment for Unit Tests'!C23</f>
        <v>BHOSALE VAISHNAVI DAYANAND</v>
      </c>
      <c r="E24" s="139"/>
      <c r="F24" s="139">
        <v>22.0</v>
      </c>
      <c r="G24" s="139">
        <v>23.0</v>
      </c>
    </row>
    <row r="25" ht="15.75" customHeight="1">
      <c r="B25" s="82">
        <v>12.0</v>
      </c>
      <c r="C25" s="83">
        <f>'CO_Attainment for Unit Tests'!B24</f>
        <v>2201180052</v>
      </c>
      <c r="D25" s="84" t="str">
        <f>'CO_Attainment for Unit Tests'!C24</f>
        <v>ATTAR SANIYA VAJIR</v>
      </c>
      <c r="E25" s="139"/>
      <c r="F25" s="139">
        <v>23.0</v>
      </c>
      <c r="G25" s="139">
        <v>23.0</v>
      </c>
    </row>
    <row r="26" ht="15.75" customHeight="1">
      <c r="B26" s="82">
        <v>13.0</v>
      </c>
      <c r="C26" s="83">
        <f>'CO_Attainment for Unit Tests'!B25</f>
        <v>2201180053</v>
      </c>
      <c r="D26" s="84" t="str">
        <f>'CO_Attainment for Unit Tests'!C25</f>
        <v>NALWADE SNEHA NETAJI</v>
      </c>
      <c r="E26" s="139"/>
      <c r="F26" s="139">
        <v>24.0</v>
      </c>
      <c r="G26" s="139">
        <v>24.0</v>
      </c>
    </row>
    <row r="27" ht="15.75" customHeight="1">
      <c r="B27" s="82">
        <v>14.0</v>
      </c>
      <c r="C27" s="83">
        <f>'CO_Attainment for Unit Tests'!B26</f>
        <v>2201180055</v>
      </c>
      <c r="D27" s="84" t="str">
        <f>'CO_Attainment for Unit Tests'!C26</f>
        <v>AADHE PANKAJ RAM</v>
      </c>
      <c r="E27" s="139"/>
      <c r="F27" s="139">
        <v>21.0</v>
      </c>
      <c r="G27" s="139">
        <v>23.0</v>
      </c>
    </row>
    <row r="28" ht="15.75" customHeight="1">
      <c r="B28" s="82">
        <v>15.0</v>
      </c>
      <c r="C28" s="83">
        <f>'CO_Attainment for Unit Tests'!B27</f>
        <v>2201180056</v>
      </c>
      <c r="D28" s="84" t="str">
        <f>'CO_Attainment for Unit Tests'!C27</f>
        <v>BUDGE VISHAKHA VENKAT</v>
      </c>
      <c r="E28" s="139"/>
      <c r="F28" s="139">
        <v>22.0</v>
      </c>
      <c r="G28" s="139">
        <v>22.0</v>
      </c>
    </row>
    <row r="29" ht="15.75" customHeight="1">
      <c r="B29" s="82">
        <v>16.0</v>
      </c>
      <c r="C29" s="83">
        <f>'CO_Attainment for Unit Tests'!B28</f>
        <v>2201180058</v>
      </c>
      <c r="D29" s="84" t="str">
        <f>'CO_Attainment for Unit Tests'!C28</f>
        <v>PAWAR PRATIKSHA VITTHAL</v>
      </c>
      <c r="E29" s="139"/>
      <c r="F29" s="139">
        <v>23.0</v>
      </c>
      <c r="G29" s="139">
        <v>22.0</v>
      </c>
    </row>
    <row r="30" ht="15.75" customHeight="1">
      <c r="B30" s="82">
        <v>17.0</v>
      </c>
      <c r="C30" s="83">
        <f>'CO_Attainment for Unit Tests'!B29</f>
        <v>2201180059</v>
      </c>
      <c r="D30" s="84" t="str">
        <f>'CO_Attainment for Unit Tests'!C29</f>
        <v>WAGHMARE RAU HANMANT</v>
      </c>
      <c r="E30" s="139"/>
      <c r="F30" s="139">
        <v>23.0</v>
      </c>
      <c r="G30" s="139">
        <v>21.0</v>
      </c>
    </row>
    <row r="31" ht="15.75" customHeight="1">
      <c r="B31" s="82">
        <v>18.0</v>
      </c>
      <c r="C31" s="83">
        <f>'CO_Attainment for Unit Tests'!B30</f>
        <v>2201180060</v>
      </c>
      <c r="D31" s="84" t="str">
        <f>'CO_Attainment for Unit Tests'!C30</f>
        <v>MAHAJAN SHRUTI DILIP</v>
      </c>
      <c r="E31" s="139"/>
      <c r="F31" s="139">
        <v>22.0</v>
      </c>
      <c r="G31" s="139">
        <v>23.0</v>
      </c>
    </row>
    <row r="32" ht="15.75" customHeight="1">
      <c r="B32" s="82">
        <v>19.0</v>
      </c>
      <c r="C32" s="83">
        <f>'CO_Attainment for Unit Tests'!B31</f>
        <v>2201180061</v>
      </c>
      <c r="D32" s="84" t="str">
        <f>'CO_Attainment for Unit Tests'!C31</f>
        <v>CHANDANE GAYATRI PRASHANT</v>
      </c>
      <c r="E32" s="139"/>
      <c r="F32" s="139">
        <v>20.0</v>
      </c>
      <c r="G32" s="139">
        <v>22.0</v>
      </c>
    </row>
    <row r="33" ht="15.75" customHeight="1">
      <c r="B33" s="82">
        <v>20.0</v>
      </c>
      <c r="C33" s="83">
        <f>'CO_Attainment for Unit Tests'!B32</f>
        <v>2201180062</v>
      </c>
      <c r="D33" s="84" t="str">
        <f>'CO_Attainment for Unit Tests'!C32</f>
        <v>JOSHI SHRAVANI SHRIKANT</v>
      </c>
      <c r="E33" s="139"/>
      <c r="F33" s="139">
        <v>23.0</v>
      </c>
      <c r="G33" s="139">
        <v>24.0</v>
      </c>
    </row>
    <row r="34" ht="15.75" customHeight="1">
      <c r="B34" s="82">
        <v>21.0</v>
      </c>
      <c r="C34" s="83">
        <f>'CO_Attainment for Unit Tests'!B33</f>
        <v>2201180063</v>
      </c>
      <c r="D34" s="84" t="str">
        <f>'CO_Attainment for Unit Tests'!C33</f>
        <v>MANE ANUSHKA BALASAHEB</v>
      </c>
      <c r="E34" s="139"/>
      <c r="F34" s="139">
        <v>22.0</v>
      </c>
      <c r="G34" s="139">
        <v>24.0</v>
      </c>
    </row>
    <row r="35" ht="15.75" customHeight="1">
      <c r="B35" s="82">
        <v>22.0</v>
      </c>
      <c r="C35" s="83">
        <f>'CO_Attainment for Unit Tests'!B34</f>
        <v>2201180064</v>
      </c>
      <c r="D35" s="84" t="str">
        <f>'CO_Attainment for Unit Tests'!C34</f>
        <v>GADEKAR MAHESH BALAJI</v>
      </c>
      <c r="E35" s="139"/>
      <c r="F35" s="139">
        <v>22.0</v>
      </c>
      <c r="G35" s="139">
        <v>22.0</v>
      </c>
    </row>
    <row r="36" ht="15.75" customHeight="1">
      <c r="B36" s="82">
        <v>23.0</v>
      </c>
      <c r="C36" s="83">
        <f>'CO_Attainment for Unit Tests'!B35</f>
        <v>2201180065</v>
      </c>
      <c r="D36" s="84" t="str">
        <f>'CO_Attainment for Unit Tests'!C35</f>
        <v>DESHMUKH SWANANDI UDAYRAO</v>
      </c>
      <c r="E36" s="139"/>
      <c r="F36" s="139">
        <v>23.0</v>
      </c>
      <c r="G36" s="139">
        <v>24.0</v>
      </c>
    </row>
    <row r="37" ht="15.75" customHeight="1">
      <c r="B37" s="82">
        <v>24.0</v>
      </c>
      <c r="C37" s="83">
        <f>'CO_Attainment for Unit Tests'!B36</f>
        <v>2201180148</v>
      </c>
      <c r="D37" s="84" t="str">
        <f>'CO_Attainment for Unit Tests'!C36</f>
        <v>LAGDIVE SHIVAM NITIN</v>
      </c>
      <c r="E37" s="139"/>
      <c r="F37" s="139">
        <v>22.0</v>
      </c>
      <c r="G37" s="139">
        <v>23.0</v>
      </c>
    </row>
    <row r="38" ht="15.75" customHeight="1">
      <c r="B38" s="82">
        <v>25.0</v>
      </c>
      <c r="C38" s="83">
        <f>'CO_Attainment for Unit Tests'!B37</f>
        <v>2201180227</v>
      </c>
      <c r="D38" s="84" t="str">
        <f>'CO_Attainment for Unit Tests'!C37</f>
        <v>SARPHALE POOJA SADASHIV</v>
      </c>
      <c r="E38" s="139"/>
      <c r="F38" s="139">
        <v>23.0</v>
      </c>
      <c r="G38" s="139">
        <v>23.0</v>
      </c>
    </row>
    <row r="39" ht="15.75" customHeight="1">
      <c r="B39" s="82">
        <v>26.0</v>
      </c>
      <c r="C39" s="83">
        <f>'CO_Attainment for Unit Tests'!B38</f>
        <v>2201180228</v>
      </c>
      <c r="D39" s="84" t="str">
        <f>'CO_Attainment for Unit Tests'!C38</f>
        <v>WAGHMARE ABHISHEK SOMNATH</v>
      </c>
      <c r="E39" s="139"/>
      <c r="F39" s="139">
        <v>22.0</v>
      </c>
      <c r="G39" s="139">
        <v>23.0</v>
      </c>
    </row>
    <row r="40" ht="15.75" customHeight="1">
      <c r="B40" s="82">
        <v>27.0</v>
      </c>
      <c r="C40" s="83">
        <f>'CO_Attainment for Unit Tests'!B39</f>
        <v>2201180229</v>
      </c>
      <c r="D40" s="84" t="str">
        <f>'CO_Attainment for Unit Tests'!C39</f>
        <v>KAMBALE ROHINI RUPESH</v>
      </c>
      <c r="E40" s="139"/>
      <c r="F40" s="139">
        <v>22.0</v>
      </c>
      <c r="G40" s="139">
        <v>21.0</v>
      </c>
    </row>
    <row r="41" ht="15.75" customHeight="1">
      <c r="B41" s="82">
        <v>28.0</v>
      </c>
      <c r="C41" s="83">
        <f>'CO_Attainment for Unit Tests'!B40</f>
        <v>2201180230</v>
      </c>
      <c r="D41" s="84" t="str">
        <f>'CO_Attainment for Unit Tests'!C40</f>
        <v>ROCHKARI SANSKRUTI SUDHIR</v>
      </c>
      <c r="E41" s="139"/>
      <c r="F41" s="139">
        <v>16.0</v>
      </c>
      <c r="G41" s="139">
        <v>20.0</v>
      </c>
    </row>
    <row r="42" ht="15.75" customHeight="1">
      <c r="B42" s="82">
        <v>29.0</v>
      </c>
      <c r="C42" s="83">
        <f>'CO_Attainment for Unit Tests'!B41</f>
        <v>2201180232</v>
      </c>
      <c r="D42" s="84" t="str">
        <f>'CO_Attainment for Unit Tests'!C41</f>
        <v>NIMBALKAR APURVA BHUJANG</v>
      </c>
      <c r="E42" s="139"/>
      <c r="F42" s="139">
        <v>24.0</v>
      </c>
      <c r="G42" s="139">
        <v>24.0</v>
      </c>
    </row>
    <row r="43" ht="15.75" customHeight="1">
      <c r="B43" s="82">
        <v>30.0</v>
      </c>
      <c r="C43" s="83">
        <f>'CO_Attainment for Unit Tests'!B42</f>
        <v>2201180233</v>
      </c>
      <c r="D43" s="84" t="str">
        <f>'CO_Attainment for Unit Tests'!C42</f>
        <v>KSHIRSAGAR SAMARTH DATTATRAY</v>
      </c>
      <c r="E43" s="139"/>
      <c r="F43" s="139">
        <v>23.0</v>
      </c>
      <c r="G43" s="139">
        <v>22.0</v>
      </c>
    </row>
    <row r="44" ht="15.75" customHeight="1">
      <c r="B44" s="82">
        <v>31.0</v>
      </c>
      <c r="C44" s="83">
        <f>'CO_Attainment for Unit Tests'!B43</f>
        <v>2201180234</v>
      </c>
      <c r="D44" s="84" t="str">
        <f>'CO_Attainment for Unit Tests'!C43</f>
        <v>MASIHA SILVIYA SANTOSH</v>
      </c>
      <c r="E44" s="139"/>
      <c r="F44" s="139">
        <v>23.0</v>
      </c>
      <c r="G44" s="139">
        <v>23.0</v>
      </c>
    </row>
    <row r="45" ht="15.75" customHeight="1">
      <c r="B45" s="82">
        <v>32.0</v>
      </c>
      <c r="C45" s="83">
        <f>'CO_Attainment for Unit Tests'!B44</f>
        <v>2201180235</v>
      </c>
      <c r="D45" s="84" t="str">
        <f>'CO_Attainment for Unit Tests'!C44</f>
        <v>KAWADE PRIYA SHANKAR</v>
      </c>
      <c r="E45" s="139"/>
      <c r="F45" s="139">
        <v>23.0</v>
      </c>
      <c r="G45" s="139">
        <v>23.0</v>
      </c>
    </row>
    <row r="46" ht="15.75" customHeight="1">
      <c r="B46" s="82">
        <v>33.0</v>
      </c>
      <c r="C46" s="83">
        <f>'CO_Attainment for Unit Tests'!B45</f>
        <v>2201180237</v>
      </c>
      <c r="D46" s="84" t="str">
        <f>'CO_Attainment for Unit Tests'!C45</f>
        <v>PATIL PRANITA PRAVIN</v>
      </c>
      <c r="E46" s="139"/>
      <c r="F46" s="139">
        <v>23.0</v>
      </c>
      <c r="G46" s="139">
        <v>23.0</v>
      </c>
    </row>
    <row r="47" ht="15.75" customHeight="1">
      <c r="B47" s="82">
        <v>34.0</v>
      </c>
      <c r="C47" s="83">
        <f>'CO_Attainment for Unit Tests'!B46</f>
        <v>2201180238</v>
      </c>
      <c r="D47" s="84" t="str">
        <f>'CO_Attainment for Unit Tests'!C46</f>
        <v>GAVALI ROHAN DNYANDEO</v>
      </c>
      <c r="E47" s="139"/>
      <c r="F47" s="139">
        <v>18.0</v>
      </c>
      <c r="G47" s="139">
        <v>20.0</v>
      </c>
    </row>
    <row r="48" ht="15.75" customHeight="1">
      <c r="B48" s="82">
        <v>35.0</v>
      </c>
      <c r="C48" s="83">
        <f>'CO_Attainment for Unit Tests'!B47</f>
        <v>2201180241</v>
      </c>
      <c r="D48" s="84" t="str">
        <f>'CO_Attainment for Unit Tests'!C47</f>
        <v>GAIKWAD VASUDHA SANDIPAN</v>
      </c>
      <c r="E48" s="139"/>
      <c r="F48" s="139">
        <v>23.0</v>
      </c>
      <c r="G48" s="139">
        <v>22.0</v>
      </c>
    </row>
    <row r="49" ht="15.75" customHeight="1">
      <c r="B49" s="82">
        <v>36.0</v>
      </c>
      <c r="C49" s="83">
        <f>'CO_Attainment for Unit Tests'!B48</f>
        <v>2201180242</v>
      </c>
      <c r="D49" s="84" t="str">
        <f>'CO_Attainment for Unit Tests'!C48</f>
        <v>GORE SANKET NARENDRA</v>
      </c>
      <c r="E49" s="139"/>
      <c r="F49" s="139">
        <v>15.0</v>
      </c>
      <c r="G49" s="139">
        <v>20.0</v>
      </c>
    </row>
    <row r="50" ht="15.75" customHeight="1">
      <c r="B50" s="82">
        <v>37.0</v>
      </c>
      <c r="C50" s="83">
        <f>'CO_Attainment for Unit Tests'!B49</f>
        <v>2201180243</v>
      </c>
      <c r="D50" s="84" t="str">
        <f>'CO_Attainment for Unit Tests'!C49</f>
        <v>HINGANE SAKSHI SATISH</v>
      </c>
      <c r="E50" s="139"/>
      <c r="F50" s="139">
        <v>23.0</v>
      </c>
      <c r="G50" s="139">
        <v>23.0</v>
      </c>
    </row>
    <row r="51" ht="15.75" customHeight="1">
      <c r="B51" s="82">
        <v>38.0</v>
      </c>
      <c r="C51" s="83">
        <f>'CO_Attainment for Unit Tests'!B50</f>
        <v>2201180280</v>
      </c>
      <c r="D51" s="84" t="str">
        <f>'CO_Attainment for Unit Tests'!C50</f>
        <v>JADHAV SHREYAS YADAVRAO</v>
      </c>
      <c r="E51" s="139"/>
      <c r="F51" s="139">
        <v>21.0</v>
      </c>
      <c r="G51" s="139">
        <v>23.0</v>
      </c>
    </row>
    <row r="52" ht="15.75" customHeight="1">
      <c r="B52" s="82">
        <v>39.0</v>
      </c>
      <c r="C52" s="83">
        <f>'CO_Attainment for Unit Tests'!B51</f>
        <v>2201180282</v>
      </c>
      <c r="D52" s="84" t="str">
        <f>'CO_Attainment for Unit Tests'!C51</f>
        <v>WAKALE KOMAL SANTOSH</v>
      </c>
      <c r="E52" s="139"/>
      <c r="F52" s="139">
        <v>21.0</v>
      </c>
      <c r="G52" s="139">
        <v>23.0</v>
      </c>
    </row>
    <row r="53" ht="15.75" customHeight="1">
      <c r="B53" s="82">
        <v>40.0</v>
      </c>
      <c r="C53" s="83">
        <f>'CO_Attainment for Unit Tests'!B52</f>
        <v>2201180283</v>
      </c>
      <c r="D53" s="84" t="str">
        <f>'CO_Attainment for Unit Tests'!C52</f>
        <v>KALE PRANITA NAMDEV</v>
      </c>
      <c r="E53" s="139"/>
      <c r="F53" s="139">
        <v>24.0</v>
      </c>
      <c r="G53" s="139">
        <v>22.0</v>
      </c>
    </row>
    <row r="54" ht="15.75" customHeight="1">
      <c r="B54" s="82">
        <v>41.0</v>
      </c>
      <c r="C54" s="83">
        <f>'CO_Attainment for Unit Tests'!B53</f>
        <v>2201180401</v>
      </c>
      <c r="D54" s="84" t="str">
        <f>'CO_Attainment for Unit Tests'!C53</f>
        <v>KHARKE MAHESH HANUMANT</v>
      </c>
      <c r="E54" s="139"/>
      <c r="F54" s="139">
        <v>19.0</v>
      </c>
      <c r="G54" s="139">
        <v>21.0</v>
      </c>
    </row>
    <row r="55" ht="15.75" customHeight="1">
      <c r="B55" s="82">
        <v>42.0</v>
      </c>
      <c r="C55" s="83">
        <f>'CO_Attainment for Unit Tests'!B54</f>
        <v>2201180404</v>
      </c>
      <c r="D55" s="84" t="str">
        <f>'CO_Attainment for Unit Tests'!C54</f>
        <v>PARVE SHRIRAM SUDHIR</v>
      </c>
      <c r="E55" s="139"/>
      <c r="F55" s="139">
        <v>21.0</v>
      </c>
      <c r="G55" s="139">
        <v>22.0</v>
      </c>
    </row>
    <row r="56" ht="15.75" customHeight="1">
      <c r="B56" s="82">
        <v>43.0</v>
      </c>
      <c r="C56" s="83">
        <f>'CO_Attainment for Unit Tests'!B55</f>
        <v>2201180405</v>
      </c>
      <c r="D56" s="84" t="str">
        <f>'CO_Attainment for Unit Tests'!C55</f>
        <v>KOLNURE SURAJ RAJENDRA</v>
      </c>
      <c r="E56" s="139"/>
      <c r="F56" s="139">
        <v>18.0</v>
      </c>
      <c r="G56" s="139">
        <v>22.0</v>
      </c>
    </row>
    <row r="57" ht="15.75" customHeight="1">
      <c r="B57" s="82">
        <v>44.0</v>
      </c>
      <c r="C57" s="83">
        <f>'CO_Attainment for Unit Tests'!B56</f>
        <v>2201180406</v>
      </c>
      <c r="D57" s="84" t="str">
        <f>'CO_Attainment for Unit Tests'!C56</f>
        <v>KANDALE ADITYA VILAS</v>
      </c>
      <c r="E57" s="139"/>
      <c r="F57" s="139">
        <v>23.0</v>
      </c>
      <c r="G57" s="139">
        <v>23.0</v>
      </c>
    </row>
    <row r="58" ht="15.75" customHeight="1">
      <c r="B58" s="82">
        <v>45.0</v>
      </c>
      <c r="C58" s="83">
        <f>'CO_Attainment for Unit Tests'!B57</f>
        <v>2201180407</v>
      </c>
      <c r="D58" s="84" t="str">
        <f>'CO_Attainment for Unit Tests'!C57</f>
        <v>BARATE VARSHARANI DADASAHEB</v>
      </c>
      <c r="E58" s="139"/>
      <c r="F58" s="139">
        <v>24.0</v>
      </c>
      <c r="G58" s="139">
        <v>24.0</v>
      </c>
    </row>
    <row r="59" ht="15.75" customHeight="1">
      <c r="B59" s="82">
        <v>46.0</v>
      </c>
      <c r="C59" s="83">
        <f>'CO_Attainment for Unit Tests'!B58</f>
        <v>2201180408</v>
      </c>
      <c r="D59" s="84" t="str">
        <f>'CO_Attainment for Unit Tests'!C58</f>
        <v>BARATE AADITI DADASAHEB</v>
      </c>
      <c r="E59" s="139"/>
      <c r="F59" s="139">
        <v>23.0</v>
      </c>
      <c r="G59" s="139">
        <v>24.0</v>
      </c>
    </row>
    <row r="60" ht="15.75" customHeight="1">
      <c r="B60" s="82">
        <v>47.0</v>
      </c>
      <c r="C60" s="83">
        <f>'CO_Attainment for Unit Tests'!B59</f>
        <v>2201180410</v>
      </c>
      <c r="D60" s="84" t="str">
        <f>'CO_Attainment for Unit Tests'!C59</f>
        <v>THORAVE SANIKA AMBADAS</v>
      </c>
      <c r="E60" s="139"/>
      <c r="F60" s="139">
        <v>24.0</v>
      </c>
      <c r="G60" s="139">
        <v>23.0</v>
      </c>
    </row>
    <row r="61" ht="15.75" customHeight="1">
      <c r="B61" s="82">
        <v>48.0</v>
      </c>
      <c r="C61" s="83">
        <f>'CO_Attainment for Unit Tests'!B60</f>
        <v>2201180411</v>
      </c>
      <c r="D61" s="84" t="str">
        <f>'CO_Attainment for Unit Tests'!C60</f>
        <v>KULKARNI AAKANKSHA KAMLESH</v>
      </c>
      <c r="E61" s="139"/>
      <c r="F61" s="139">
        <v>24.0</v>
      </c>
      <c r="G61" s="139">
        <v>24.0</v>
      </c>
    </row>
    <row r="62" ht="15.75" customHeight="1">
      <c r="B62" s="82">
        <v>49.0</v>
      </c>
      <c r="C62" s="83">
        <f>'CO_Attainment for Unit Tests'!B61</f>
        <v>2201180412</v>
      </c>
      <c r="D62" s="84" t="str">
        <f>'CO_Attainment for Unit Tests'!C61</f>
        <v>GAIKWAD GAYATRI SURESH</v>
      </c>
      <c r="E62" s="139"/>
      <c r="F62" s="139">
        <v>22.0</v>
      </c>
      <c r="G62" s="139">
        <v>23.0</v>
      </c>
    </row>
    <row r="63" ht="15.75" customHeight="1">
      <c r="B63" s="82">
        <v>50.0</v>
      </c>
      <c r="C63" s="83">
        <f>'CO_Attainment for Unit Tests'!B62</f>
        <v>2201180413</v>
      </c>
      <c r="D63" s="84" t="str">
        <f>'CO_Attainment for Unit Tests'!C62</f>
        <v>SAROLKAR SAKSHI SHAMSUNDAR</v>
      </c>
      <c r="E63" s="139"/>
      <c r="F63" s="139">
        <v>22.0</v>
      </c>
      <c r="G63" s="139">
        <v>23.0</v>
      </c>
    </row>
    <row r="64" ht="15.75" customHeight="1">
      <c r="B64" s="82">
        <v>51.0</v>
      </c>
      <c r="C64" s="83">
        <f>'CO_Attainment for Unit Tests'!B63</f>
        <v>2201180414</v>
      </c>
      <c r="D64" s="84" t="str">
        <f>'CO_Attainment for Unit Tests'!C63</f>
        <v>JAGTAP SANKET NARAYAN</v>
      </c>
      <c r="E64" s="139"/>
      <c r="F64" s="139">
        <v>22.0</v>
      </c>
      <c r="G64" s="139">
        <v>23.0</v>
      </c>
    </row>
    <row r="65" ht="15.75" customHeight="1">
      <c r="B65" s="82">
        <v>52.0</v>
      </c>
      <c r="C65" s="83">
        <f>'CO_Attainment for Unit Tests'!B64</f>
        <v>2201180415</v>
      </c>
      <c r="D65" s="84" t="str">
        <f>'CO_Attainment for Unit Tests'!C64</f>
        <v>DHAPPADHULE VAISHNAVI SACHIN</v>
      </c>
      <c r="E65" s="139"/>
      <c r="F65" s="139">
        <v>22.0</v>
      </c>
      <c r="G65" s="139">
        <v>22.0</v>
      </c>
    </row>
    <row r="66" ht="15.75" customHeight="1">
      <c r="B66" s="82">
        <v>53.0</v>
      </c>
      <c r="C66" s="83">
        <f>'CO_Attainment for Unit Tests'!B65</f>
        <v>2201180416</v>
      </c>
      <c r="D66" s="84" t="str">
        <f>'CO_Attainment for Unit Tests'!C65</f>
        <v>WAGHMARE AMAR BABAN</v>
      </c>
      <c r="E66" s="139"/>
      <c r="F66" s="139">
        <v>21.0</v>
      </c>
      <c r="G66" s="139">
        <v>21.0</v>
      </c>
    </row>
    <row r="67" ht="15.75" customHeight="1">
      <c r="B67" s="82">
        <v>54.0</v>
      </c>
      <c r="C67" s="83">
        <f>'CO_Attainment for Unit Tests'!B66</f>
        <v>2201180417</v>
      </c>
      <c r="D67" s="84" t="str">
        <f>'CO_Attainment for Unit Tests'!C66</f>
        <v>DHEPE VAISHNAVI REVANNATH</v>
      </c>
      <c r="E67" s="139"/>
      <c r="F67" s="139">
        <v>24.0</v>
      </c>
      <c r="G67" s="139">
        <v>24.0</v>
      </c>
    </row>
    <row r="68" ht="15.75" customHeight="1">
      <c r="B68" s="82">
        <v>55.0</v>
      </c>
      <c r="C68" s="83">
        <f>'CO_Attainment for Unit Tests'!B67</f>
        <v>2201180418</v>
      </c>
      <c r="D68" s="84" t="str">
        <f>'CO_Attainment for Unit Tests'!C67</f>
        <v>BAGADE GUNMANJIRI PURUSHOTTAM</v>
      </c>
      <c r="E68" s="139"/>
      <c r="F68" s="139">
        <v>23.0</v>
      </c>
      <c r="G68" s="139">
        <v>23.0</v>
      </c>
    </row>
    <row r="69" ht="15.75" customHeight="1">
      <c r="B69" s="82">
        <v>56.0</v>
      </c>
      <c r="C69" s="83">
        <f>'CO_Attainment for Unit Tests'!B68</f>
        <v>2201180419</v>
      </c>
      <c r="D69" s="84" t="str">
        <f>'CO_Attainment for Unit Tests'!C68</f>
        <v>MULE SNEHA SANJIVAN</v>
      </c>
      <c r="E69" s="139"/>
      <c r="F69" s="139">
        <v>24.0</v>
      </c>
      <c r="G69" s="139">
        <v>24.0</v>
      </c>
    </row>
    <row r="70" ht="15.75" customHeight="1">
      <c r="B70" s="82">
        <v>57.0</v>
      </c>
      <c r="C70" s="83">
        <f>'CO_Attainment for Unit Tests'!B69</f>
        <v>23510250259</v>
      </c>
      <c r="D70" s="84" t="str">
        <f>'CO_Attainment for Unit Tests'!C69</f>
        <v>BANSODE VINAYAK BABRUWAN</v>
      </c>
      <c r="E70" s="139"/>
      <c r="F70" s="139"/>
      <c r="G70" s="139"/>
    </row>
    <row r="71" ht="15.75" customHeight="1">
      <c r="B71" s="82">
        <v>58.0</v>
      </c>
      <c r="C71" s="83">
        <f>'CO_Attainment for Unit Tests'!B70</f>
        <v>23510250260</v>
      </c>
      <c r="D71" s="84" t="str">
        <f>'CO_Attainment for Unit Tests'!C70</f>
        <v>ISHWARI ASHOK HAWALE</v>
      </c>
      <c r="E71" s="139"/>
      <c r="F71" s="139"/>
      <c r="G71" s="139"/>
    </row>
    <row r="72" ht="15.75" customHeight="1">
      <c r="B72" s="82">
        <v>59.0</v>
      </c>
      <c r="C72" s="83">
        <f>'CO_Attainment for Unit Tests'!B71</f>
        <v>23510250261</v>
      </c>
      <c r="D72" s="84" t="str">
        <f>'CO_Attainment for Unit Tests'!C71</f>
        <v>JADHAV SANJYOT SHYAM</v>
      </c>
      <c r="E72" s="139"/>
      <c r="F72" s="174">
        <v>22.0</v>
      </c>
      <c r="G72" s="174">
        <v>23.0</v>
      </c>
    </row>
    <row r="73" ht="15.75" customHeight="1">
      <c r="B73" s="82">
        <v>60.0</v>
      </c>
      <c r="C73" s="83">
        <f>'CO_Attainment for Unit Tests'!B72</f>
        <v>23510250262</v>
      </c>
      <c r="D73" s="84" t="str">
        <f>'CO_Attainment for Unit Tests'!C72</f>
        <v>KANLOD SHUBHAM GANPAT</v>
      </c>
      <c r="E73" s="139"/>
      <c r="F73" s="174">
        <v>15.0</v>
      </c>
      <c r="G73" s="174">
        <v>22.0</v>
      </c>
    </row>
    <row r="74" ht="15.75" customHeight="1">
      <c r="B74" s="82">
        <v>61.0</v>
      </c>
      <c r="C74" s="83">
        <f>'CO_Attainment for Unit Tests'!B73</f>
        <v>23510250263</v>
      </c>
      <c r="D74" s="84" t="str">
        <f>'CO_Attainment for Unit Tests'!C73</f>
        <v>PHULARI VISHVJEET UMESH</v>
      </c>
      <c r="E74" s="139"/>
      <c r="F74" s="174">
        <v>16.0</v>
      </c>
      <c r="G74" s="174">
        <v>23.0</v>
      </c>
    </row>
    <row r="75" ht="15.75" customHeight="1">
      <c r="B75" s="82">
        <v>62.0</v>
      </c>
      <c r="C75" s="83">
        <f>'CO_Attainment for Unit Tests'!B74</f>
        <v>23510250264</v>
      </c>
      <c r="D75" s="84" t="str">
        <f>'CO_Attainment for Unit Tests'!C74</f>
        <v>VHOTTE SHRUTIKA VAIJNATH</v>
      </c>
      <c r="E75" s="139"/>
      <c r="F75" s="139"/>
      <c r="G75" s="139"/>
    </row>
    <row r="76" ht="15.75" customHeight="1">
      <c r="B76" s="82">
        <v>63.0</v>
      </c>
      <c r="C76" s="82"/>
      <c r="D76" s="175"/>
      <c r="E76" s="139"/>
      <c r="F76" s="139"/>
      <c r="G76" s="139"/>
    </row>
    <row r="77" ht="15.75" customHeight="1">
      <c r="B77" s="82">
        <v>64.0</v>
      </c>
      <c r="C77" s="82"/>
      <c r="D77" s="175"/>
      <c r="E77" s="139"/>
      <c r="F77" s="139"/>
      <c r="G77" s="139"/>
    </row>
    <row r="78" ht="15.75" customHeight="1">
      <c r="B78" s="82">
        <v>65.0</v>
      </c>
      <c r="C78" s="82"/>
      <c r="D78" s="175"/>
      <c r="E78" s="139"/>
      <c r="F78" s="139"/>
      <c r="G78" s="139"/>
    </row>
    <row r="79" ht="15.75" customHeight="1">
      <c r="B79" s="82">
        <v>66.0</v>
      </c>
      <c r="C79" s="82"/>
      <c r="D79" s="175"/>
      <c r="E79" s="139"/>
      <c r="F79" s="139"/>
      <c r="G79" s="139"/>
    </row>
    <row r="80" ht="15.75" customHeight="1">
      <c r="B80" s="82">
        <v>67.0</v>
      </c>
      <c r="C80" s="82"/>
      <c r="D80" s="175"/>
      <c r="E80" s="139"/>
      <c r="F80" s="139"/>
      <c r="G80" s="139"/>
    </row>
    <row r="81" ht="15.75" customHeight="1">
      <c r="B81" s="82">
        <v>68.0</v>
      </c>
      <c r="C81" s="82"/>
      <c r="D81" s="175"/>
      <c r="E81" s="139"/>
      <c r="F81" s="139"/>
      <c r="G81" s="139"/>
    </row>
    <row r="82" ht="15.75" customHeight="1">
      <c r="B82" s="82">
        <v>69.0</v>
      </c>
      <c r="C82" s="82"/>
      <c r="D82" s="175"/>
      <c r="E82" s="139"/>
      <c r="F82" s="139"/>
      <c r="G82" s="139"/>
    </row>
    <row r="83" ht="15.75" customHeight="1">
      <c r="B83" s="82">
        <v>70.0</v>
      </c>
      <c r="C83" s="82"/>
      <c r="D83" s="175"/>
      <c r="E83" s="139"/>
      <c r="F83" s="139"/>
      <c r="G83" s="139"/>
    </row>
    <row r="84" ht="15.75" customHeight="1">
      <c r="B84" s="82">
        <v>71.0</v>
      </c>
      <c r="C84" s="82"/>
      <c r="D84" s="175"/>
      <c r="E84" s="82"/>
      <c r="F84" s="96"/>
      <c r="G84" s="96"/>
    </row>
    <row r="85" ht="15.75" customHeight="1">
      <c r="B85" s="82">
        <v>72.0</v>
      </c>
      <c r="C85" s="82"/>
      <c r="D85" s="175"/>
      <c r="E85" s="82"/>
      <c r="F85" s="96"/>
      <c r="G85" s="96"/>
    </row>
    <row r="86" ht="15.75" customHeight="1">
      <c r="B86" s="82">
        <v>73.0</v>
      </c>
      <c r="C86" s="82"/>
      <c r="D86" s="175"/>
      <c r="E86" s="82"/>
      <c r="F86" s="96"/>
      <c r="G86" s="96"/>
    </row>
    <row r="87" ht="15.75" customHeight="1">
      <c r="B87" s="82">
        <v>74.0</v>
      </c>
      <c r="C87" s="82"/>
      <c r="D87" s="175"/>
      <c r="E87" s="82"/>
      <c r="F87" s="96"/>
      <c r="G87" s="96"/>
    </row>
    <row r="88" ht="15.75" customHeight="1">
      <c r="B88" s="82">
        <v>75.0</v>
      </c>
      <c r="C88" s="82"/>
      <c r="D88" s="175"/>
      <c r="E88" s="82"/>
      <c r="F88" s="96"/>
      <c r="G88" s="96"/>
    </row>
    <row r="89" ht="15.75" customHeight="1">
      <c r="B89" s="82">
        <v>76.0</v>
      </c>
      <c r="C89" s="82"/>
      <c r="D89" s="175"/>
      <c r="E89" s="82"/>
      <c r="F89" s="96"/>
      <c r="G89" s="96"/>
    </row>
    <row r="90" ht="15.75" customHeight="1">
      <c r="B90" s="82">
        <v>77.0</v>
      </c>
      <c r="C90" s="82"/>
      <c r="D90" s="175"/>
      <c r="E90" s="82"/>
      <c r="F90" s="96"/>
      <c r="G90" s="96"/>
    </row>
    <row r="91" ht="15.75" customHeight="1">
      <c r="B91" s="82">
        <v>78.0</v>
      </c>
      <c r="C91" s="82"/>
      <c r="D91" s="175"/>
      <c r="E91" s="82"/>
      <c r="F91" s="96"/>
      <c r="G91" s="96"/>
    </row>
    <row r="92" ht="15.75" customHeight="1">
      <c r="B92" s="82">
        <v>79.0</v>
      </c>
      <c r="C92" s="82"/>
      <c r="D92" s="175"/>
      <c r="E92" s="82"/>
      <c r="F92" s="96"/>
      <c r="G92" s="96"/>
    </row>
    <row r="93" ht="15.75" customHeight="1">
      <c r="B93" s="82">
        <v>80.0</v>
      </c>
      <c r="C93" s="82"/>
      <c r="D93" s="175"/>
      <c r="E93" s="82"/>
      <c r="F93" s="96"/>
      <c r="G93" s="96"/>
    </row>
    <row r="94" ht="15.75" customHeight="1">
      <c r="B94" s="82">
        <v>81.0</v>
      </c>
      <c r="C94" s="82"/>
      <c r="D94" s="175"/>
      <c r="E94" s="82"/>
      <c r="F94" s="96"/>
      <c r="G94" s="96"/>
    </row>
    <row r="95" ht="15.75" customHeight="1">
      <c r="B95" s="82">
        <v>82.0</v>
      </c>
      <c r="C95" s="82"/>
      <c r="D95" s="175"/>
      <c r="E95" s="82"/>
      <c r="F95" s="96"/>
      <c r="G95" s="96"/>
    </row>
    <row r="96" ht="15.75" customHeight="1">
      <c r="B96" s="82">
        <v>83.0</v>
      </c>
      <c r="C96" s="82"/>
      <c r="D96" s="175"/>
      <c r="E96" s="82"/>
      <c r="F96" s="96"/>
      <c r="G96" s="96"/>
    </row>
    <row r="97" ht="30.75" customHeight="1">
      <c r="B97" s="18"/>
      <c r="C97" s="18"/>
      <c r="D97" s="176" t="s">
        <v>162</v>
      </c>
      <c r="E97" s="177">
        <f>ROUNDUP(D98*E13/100,1)</f>
        <v>6</v>
      </c>
      <c r="F97" s="177">
        <f>ROUNDUP(D98*F13/100,1)</f>
        <v>15</v>
      </c>
      <c r="G97" s="177">
        <f>ROUNDUP(D98*G13/100,1)</f>
        <v>15</v>
      </c>
    </row>
    <row r="98" ht="15.75" customHeight="1">
      <c r="D98" s="178">
        <v>60.0</v>
      </c>
      <c r="E98" s="30"/>
      <c r="F98" s="30"/>
      <c r="G98" s="30"/>
    </row>
    <row r="99" ht="15.75" customHeight="1">
      <c r="D99" s="144" t="s">
        <v>135</v>
      </c>
      <c r="E99" s="145">
        <f t="shared" ref="E99:G99" si="1">COUNTIF(E14:E96,"&gt;=" &amp;E97)</f>
        <v>0</v>
      </c>
      <c r="F99" s="145">
        <f t="shared" si="1"/>
        <v>58</v>
      </c>
      <c r="G99" s="145">
        <f t="shared" si="1"/>
        <v>59</v>
      </c>
    </row>
    <row r="100" ht="15.75" customHeight="1"/>
    <row r="101" ht="15.75" customHeight="1"/>
    <row r="102" ht="15.75" customHeight="1"/>
    <row r="103" ht="46.5" customHeight="1">
      <c r="A103" s="150"/>
      <c r="B103" s="104" t="s">
        <v>163</v>
      </c>
      <c r="C103" s="24"/>
      <c r="D103" s="25"/>
      <c r="E103" s="179" t="s">
        <v>137</v>
      </c>
      <c r="F103" s="106"/>
      <c r="G103" s="149" t="s">
        <v>138</v>
      </c>
      <c r="H103" s="150"/>
    </row>
    <row r="104" ht="15.75" customHeight="1">
      <c r="A104" s="150"/>
      <c r="B104" s="108" t="s">
        <v>139</v>
      </c>
      <c r="C104" s="151">
        <v>0.5</v>
      </c>
      <c r="D104" s="155" t="s">
        <v>152</v>
      </c>
      <c r="E104" s="154">
        <f>COUNTA(D14:D96)-COUNTIFS(D14:D96,0)</f>
        <v>62</v>
      </c>
      <c r="F104" s="180">
        <f>C104*$E104</f>
        <v>31</v>
      </c>
      <c r="G104" s="156">
        <v>1.0</v>
      </c>
      <c r="H104" s="150"/>
    </row>
    <row r="105" ht="15.75" customHeight="1">
      <c r="A105" s="150"/>
      <c r="B105" s="115"/>
      <c r="C105" s="157">
        <v>0.6</v>
      </c>
      <c r="D105" s="159" t="s">
        <v>152</v>
      </c>
      <c r="E105" s="26"/>
      <c r="F105" s="181">
        <f>C105*$E104</f>
        <v>37.2</v>
      </c>
      <c r="G105" s="160">
        <v>2.0</v>
      </c>
      <c r="H105" s="150"/>
    </row>
    <row r="106" ht="15.75" customHeight="1">
      <c r="A106" s="150"/>
      <c r="B106" s="119"/>
      <c r="C106" s="161">
        <v>0.7</v>
      </c>
      <c r="D106" s="163" t="s">
        <v>152</v>
      </c>
      <c r="E106" s="30"/>
      <c r="F106" s="182">
        <f>C106*$E104</f>
        <v>43.4</v>
      </c>
      <c r="G106" s="164">
        <v>3.0</v>
      </c>
      <c r="H106" s="150"/>
    </row>
    <row r="107" ht="15.75" customHeight="1">
      <c r="A107" s="150"/>
      <c r="B107" s="150"/>
      <c r="C107" s="150"/>
      <c r="D107" s="150"/>
      <c r="E107" s="150"/>
      <c r="F107" s="150"/>
      <c r="G107" s="150"/>
      <c r="H107" s="150"/>
    </row>
    <row r="108" ht="15.75" customHeight="1">
      <c r="A108" s="150"/>
      <c r="B108" s="150"/>
      <c r="C108" s="150"/>
      <c r="D108" s="150"/>
      <c r="E108" s="150"/>
      <c r="F108" s="150"/>
      <c r="G108" s="150"/>
      <c r="H108" s="150"/>
    </row>
    <row r="109" ht="33.0" customHeight="1">
      <c r="A109" s="23" t="s">
        <v>164</v>
      </c>
      <c r="B109" s="183"/>
      <c r="C109" s="184" t="s">
        <v>9</v>
      </c>
      <c r="D109" s="184" t="s">
        <v>11</v>
      </c>
      <c r="E109" s="184" t="s">
        <v>13</v>
      </c>
      <c r="F109" s="184" t="s">
        <v>15</v>
      </c>
      <c r="G109" s="184" t="s">
        <v>142</v>
      </c>
      <c r="H109" s="185" t="s">
        <v>143</v>
      </c>
    </row>
    <row r="110" ht="36.75" customHeight="1">
      <c r="A110" s="186" t="s">
        <v>165</v>
      </c>
      <c r="B110" s="167"/>
      <c r="C110" s="187">
        <f>IF(E99&gt;=$F106,3,IF(E99&gt;=$F105,2,IF(E99&gt;=$F104,1,0)))</f>
        <v>0</v>
      </c>
      <c r="D110" s="187">
        <f t="shared" ref="D110:H110" si="2">$C110</f>
        <v>0</v>
      </c>
      <c r="E110" s="187">
        <f t="shared" si="2"/>
        <v>0</v>
      </c>
      <c r="F110" s="187">
        <f t="shared" si="2"/>
        <v>0</v>
      </c>
      <c r="G110" s="187">
        <f t="shared" si="2"/>
        <v>0</v>
      </c>
      <c r="H110" s="188">
        <f t="shared" si="2"/>
        <v>0</v>
      </c>
    </row>
    <row r="111" ht="37.5" customHeight="1">
      <c r="A111" s="189" t="s">
        <v>166</v>
      </c>
      <c r="B111" s="58"/>
      <c r="C111" s="190">
        <f>IF(F99&gt;=$F106,3,IF(F99&gt;=$F105,2,IF(F99&gt;=$F104,1,0)))</f>
        <v>3</v>
      </c>
      <c r="D111" s="190">
        <f t="shared" ref="D111:H111" si="3">$C111</f>
        <v>3</v>
      </c>
      <c r="E111" s="190">
        <f t="shared" si="3"/>
        <v>3</v>
      </c>
      <c r="F111" s="190">
        <f t="shared" si="3"/>
        <v>3</v>
      </c>
      <c r="G111" s="190">
        <f t="shared" si="3"/>
        <v>3</v>
      </c>
      <c r="H111" s="191">
        <f t="shared" si="3"/>
        <v>3</v>
      </c>
    </row>
    <row r="112" ht="31.5" customHeight="1">
      <c r="A112" s="192" t="s">
        <v>167</v>
      </c>
      <c r="B112" s="169"/>
      <c r="C112" s="130">
        <f>IF(G99&gt;=$F106,3,IF(G99&gt;=$F105,2,IF(G99&gt;=$F104,1,0)))</f>
        <v>3</v>
      </c>
      <c r="D112" s="130">
        <f t="shared" ref="D112:H112" si="4">$C112</f>
        <v>3</v>
      </c>
      <c r="E112" s="130">
        <f t="shared" si="4"/>
        <v>3</v>
      </c>
      <c r="F112" s="130">
        <f t="shared" si="4"/>
        <v>3</v>
      </c>
      <c r="G112" s="130">
        <f t="shared" si="4"/>
        <v>3</v>
      </c>
      <c r="H112" s="193">
        <f t="shared" si="4"/>
        <v>3</v>
      </c>
    </row>
    <row r="113" ht="15.75" customHeight="1">
      <c r="B113" s="18"/>
    </row>
    <row r="114" ht="15.75" customHeight="1">
      <c r="C114" s="18"/>
    </row>
    <row r="115" ht="15.75" customHeight="1">
      <c r="C115" s="18"/>
    </row>
    <row r="116" ht="15.75" customHeight="1"/>
    <row r="117" ht="15.75" customHeight="1"/>
    <row r="118" ht="15.75" customHeight="1"/>
    <row r="119" ht="15.75" customHeight="1">
      <c r="G119" s="17"/>
    </row>
    <row r="120" ht="15.75" customHeight="1">
      <c r="G120" s="17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4:E4"/>
    <mergeCell ref="D5:E5"/>
    <mergeCell ref="D6:E6"/>
    <mergeCell ref="D7:E7"/>
    <mergeCell ref="B9:B13"/>
    <mergeCell ref="C9:C13"/>
    <mergeCell ref="D9:D13"/>
    <mergeCell ref="E97:E98"/>
    <mergeCell ref="E104:E106"/>
    <mergeCell ref="A109:B109"/>
    <mergeCell ref="A110:B110"/>
    <mergeCell ref="A111:B111"/>
    <mergeCell ref="A112:B112"/>
    <mergeCell ref="E9:E12"/>
    <mergeCell ref="F9:F12"/>
    <mergeCell ref="G9:G12"/>
    <mergeCell ref="F97:F98"/>
    <mergeCell ref="G97:G98"/>
    <mergeCell ref="B103:D103"/>
    <mergeCell ref="B104:B106"/>
  </mergeCells>
  <printOptions/>
  <pageMargins bottom="0.75" footer="0.0" header="0.0" left="0.7" right="0.7" top="0.75"/>
  <pageSetup scal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86"/>
    <col customWidth="1" min="4" max="4" width="43.86"/>
    <col customWidth="1" min="5" max="5" width="19.14"/>
    <col customWidth="1" min="6" max="7" width="8.71"/>
  </cols>
  <sheetData>
    <row r="1">
      <c r="C1" s="170" t="s">
        <v>168</v>
      </c>
      <c r="E1" s="170"/>
      <c r="F1" s="55"/>
    </row>
    <row r="2">
      <c r="B2" s="55"/>
      <c r="C2" s="55"/>
      <c r="E2" s="55"/>
    </row>
    <row r="3">
      <c r="B3" s="55"/>
      <c r="C3" s="55"/>
      <c r="D3" s="132"/>
      <c r="E3" s="55"/>
    </row>
    <row r="4">
      <c r="B4" s="55"/>
      <c r="C4" s="56" t="s">
        <v>1</v>
      </c>
      <c r="D4" s="194" t="str">
        <f>'CO_attain_SLA_FA-PR_SA-PR'!D4</f>
        <v>Data Structures Using _C</v>
      </c>
      <c r="E4" s="55"/>
      <c r="F4" s="55"/>
    </row>
    <row r="5">
      <c r="B5" s="55"/>
      <c r="C5" s="56" t="s">
        <v>3</v>
      </c>
      <c r="D5" s="194">
        <f>'CO_attain_SLA_FA-PR_SA-PR'!D5</f>
        <v>22317</v>
      </c>
      <c r="E5" s="55"/>
      <c r="F5" s="55"/>
    </row>
    <row r="6">
      <c r="B6" s="55"/>
      <c r="C6" s="56" t="s">
        <v>53</v>
      </c>
      <c r="D6" s="194" t="str">
        <f>'CO_attain_SLA_FA-PR_SA-PR'!D6</f>
        <v>3rd SEM(CO3I SCHEME)</v>
      </c>
      <c r="E6" s="55"/>
      <c r="F6" s="55"/>
    </row>
    <row r="7">
      <c r="B7" s="55"/>
      <c r="C7" s="56" t="s">
        <v>158</v>
      </c>
      <c r="D7" s="194" t="str">
        <f>'CO_attain_SLA_FA-PR_SA-PR'!D7</f>
        <v>2023-24</v>
      </c>
      <c r="E7" s="55"/>
      <c r="F7" s="55"/>
    </row>
    <row r="8">
      <c r="B8" s="55"/>
      <c r="C8" s="56"/>
      <c r="D8" s="195"/>
      <c r="E8" s="55"/>
      <c r="F8" s="55"/>
    </row>
    <row r="9">
      <c r="B9" s="196" t="s">
        <v>169</v>
      </c>
    </row>
    <row r="10" ht="15.75" customHeight="1">
      <c r="B10" s="197" t="s">
        <v>21</v>
      </c>
      <c r="C10" s="198" t="s">
        <v>170</v>
      </c>
      <c r="D10" s="199" t="s">
        <v>56</v>
      </c>
      <c r="E10" s="198" t="s">
        <v>171</v>
      </c>
    </row>
    <row r="11">
      <c r="B11" s="26"/>
      <c r="C11" s="26"/>
      <c r="D11" s="26"/>
      <c r="E11" s="26"/>
    </row>
    <row r="12">
      <c r="B12" s="26"/>
      <c r="C12" s="26"/>
      <c r="D12" s="26"/>
      <c r="E12" s="26"/>
    </row>
    <row r="13">
      <c r="B13" s="26"/>
      <c r="C13" s="26"/>
      <c r="D13" s="26"/>
      <c r="E13" s="200"/>
    </row>
    <row r="14">
      <c r="B14" s="30"/>
      <c r="C14" s="30"/>
      <c r="D14" s="30"/>
      <c r="E14" s="201">
        <v>5.0</v>
      </c>
    </row>
    <row r="15">
      <c r="B15" s="202">
        <v>1.0</v>
      </c>
      <c r="C15" s="202">
        <f>'CO_attainment for FA-TH ESE'!C14</f>
        <v>2201180002</v>
      </c>
      <c r="D15" s="202" t="str">
        <f>'CO_attainment for FA-TH ESE'!D14</f>
        <v>GARAD ANJALI NITIN</v>
      </c>
      <c r="E15" s="202">
        <v>0.0</v>
      </c>
    </row>
    <row r="16" hidden="1">
      <c r="B16" s="203"/>
      <c r="C16" s="203" t="str">
        <f>'CO_attainment for FA-TH ESE'!#REF!</f>
        <v>#ERROR!</v>
      </c>
      <c r="D16" s="203" t="str">
        <f>'CO_attainment for FA-TH ESE'!#REF!</f>
        <v>#ERROR!</v>
      </c>
      <c r="E16" s="204"/>
    </row>
    <row r="17">
      <c r="B17" s="203">
        <v>2.0</v>
      </c>
      <c r="C17" s="203" t="str">
        <f>'CO_attainment for FA-TH ESE'!#REF!</f>
        <v>#ERROR!</v>
      </c>
      <c r="D17" s="203" t="str">
        <f>'CO_attainment for FA-TH ESE'!#REF!</f>
        <v>#ERROR!</v>
      </c>
      <c r="E17" s="203"/>
    </row>
    <row r="18" hidden="1">
      <c r="B18" s="203"/>
      <c r="C18" s="203" t="str">
        <f>'CO_attainment for FA-TH ESE'!#REF!</f>
        <v>#ERROR!</v>
      </c>
      <c r="D18" s="203" t="str">
        <f>'CO_attainment for FA-TH ESE'!#REF!</f>
        <v>#ERROR!</v>
      </c>
      <c r="E18" s="203"/>
    </row>
    <row r="19">
      <c r="B19" s="203">
        <v>3.0</v>
      </c>
      <c r="C19" s="203" t="str">
        <f>'CO_attainment for FA-TH ESE'!#REF!</f>
        <v>#ERROR!</v>
      </c>
      <c r="D19" s="203" t="str">
        <f>'CO_attainment for FA-TH ESE'!#REF!</f>
        <v>#ERROR!</v>
      </c>
      <c r="E19" s="203"/>
    </row>
    <row r="20" hidden="1">
      <c r="B20" s="203"/>
      <c r="C20" s="203" t="str">
        <f>'CO_attainment for FA-TH ESE'!#REF!</f>
        <v>#ERROR!</v>
      </c>
      <c r="D20" s="203" t="str">
        <f>'CO_attainment for FA-TH ESE'!#REF!</f>
        <v>#ERROR!</v>
      </c>
      <c r="E20" s="204"/>
    </row>
    <row r="21" ht="15.75" hidden="1" customHeight="1">
      <c r="B21" s="203"/>
      <c r="C21" s="203" t="str">
        <f>'CO_attainment for FA-TH ESE'!#REF!</f>
        <v>#ERROR!</v>
      </c>
      <c r="D21" s="203" t="str">
        <f>'CO_attainment for FA-TH ESE'!#REF!</f>
        <v>#ERROR!</v>
      </c>
      <c r="E21" s="204"/>
    </row>
    <row r="22" ht="15.75" customHeight="1">
      <c r="B22" s="203">
        <v>4.0</v>
      </c>
      <c r="C22" s="203" t="str">
        <f>'CO_attainment for FA-TH ESE'!#REF!</f>
        <v>#ERROR!</v>
      </c>
      <c r="D22" s="203" t="str">
        <f>'CO_attainment for FA-TH ESE'!#REF!</f>
        <v>#ERROR!</v>
      </c>
      <c r="E22" s="203"/>
    </row>
    <row r="23" ht="15.75" hidden="1" customHeight="1">
      <c r="B23" s="203"/>
      <c r="C23" s="203" t="str">
        <f>'CO_attainment for FA-TH ESE'!#REF!</f>
        <v>#ERROR!</v>
      </c>
      <c r="D23" s="203" t="str">
        <f>'CO_attainment for FA-TH ESE'!#REF!</f>
        <v>#ERROR!</v>
      </c>
      <c r="E23" s="204"/>
    </row>
    <row r="24" ht="15.75" hidden="1" customHeight="1">
      <c r="B24" s="203"/>
      <c r="C24" s="203" t="str">
        <f>'CO_attainment for FA-TH ESE'!#REF!</f>
        <v>#ERROR!</v>
      </c>
      <c r="D24" s="203" t="str">
        <f>'CO_attainment for FA-TH ESE'!#REF!</f>
        <v>#ERROR!</v>
      </c>
      <c r="E24" s="204"/>
    </row>
    <row r="25" ht="15.75" hidden="1" customHeight="1">
      <c r="B25" s="203"/>
      <c r="C25" s="203" t="str">
        <f>'CO_attainment for FA-TH ESE'!#REF!</f>
        <v>#ERROR!</v>
      </c>
      <c r="D25" s="203" t="str">
        <f>'CO_attainment for FA-TH ESE'!#REF!</f>
        <v>#ERROR!</v>
      </c>
      <c r="E25" s="203"/>
    </row>
    <row r="26" ht="15.75" hidden="1" customHeight="1">
      <c r="B26" s="203"/>
      <c r="C26" s="203" t="str">
        <f>'CO_attainment for FA-TH ESE'!#REF!</f>
        <v>#ERROR!</v>
      </c>
      <c r="D26" s="203" t="str">
        <f>'CO_attainment for FA-TH ESE'!#REF!</f>
        <v>#ERROR!</v>
      </c>
      <c r="E26" s="203"/>
    </row>
    <row r="27" ht="15.75" hidden="1" customHeight="1">
      <c r="B27" s="203"/>
      <c r="C27" s="203" t="str">
        <f>'CO_attainment for FA-TH ESE'!#REF!</f>
        <v>#ERROR!</v>
      </c>
      <c r="D27" s="203" t="str">
        <f>'CO_attainment for FA-TH ESE'!#REF!</f>
        <v>#ERROR!</v>
      </c>
      <c r="E27" s="203"/>
    </row>
    <row r="28" ht="15.75" hidden="1" customHeight="1">
      <c r="B28" s="203"/>
      <c r="C28" s="203" t="str">
        <f>'CO_attainment for FA-TH ESE'!#REF!</f>
        <v>#ERROR!</v>
      </c>
      <c r="D28" s="203" t="str">
        <f>'CO_attainment for FA-TH ESE'!#REF!</f>
        <v>#ERROR!</v>
      </c>
      <c r="E28" s="203"/>
    </row>
    <row r="29" ht="15.75" hidden="1" customHeight="1">
      <c r="B29" s="203"/>
      <c r="C29" s="203" t="str">
        <f>'CO_attainment for FA-TH ESE'!#REF!</f>
        <v>#ERROR!</v>
      </c>
      <c r="D29" s="203" t="str">
        <f>'CO_attainment for FA-TH ESE'!#REF!</f>
        <v>#ERROR!</v>
      </c>
      <c r="E29" s="203"/>
    </row>
    <row r="30" ht="15.75" hidden="1" customHeight="1">
      <c r="B30" s="203"/>
      <c r="C30" s="203" t="str">
        <f>'CO_attainment for FA-TH ESE'!#REF!</f>
        <v>#ERROR!</v>
      </c>
      <c r="D30" s="203" t="str">
        <f>'CO_attainment for FA-TH ESE'!#REF!</f>
        <v>#ERROR!</v>
      </c>
      <c r="E30" s="203"/>
    </row>
    <row r="31" ht="15.75" customHeight="1">
      <c r="B31" s="203">
        <v>5.0</v>
      </c>
      <c r="C31" s="203" t="str">
        <f>'CO_attainment for FA-TH ESE'!#REF!</f>
        <v>#ERROR!</v>
      </c>
      <c r="D31" s="203" t="str">
        <f>'CO_attainment for FA-TH ESE'!#REF!</f>
        <v>#ERROR!</v>
      </c>
      <c r="E31" s="203"/>
    </row>
    <row r="32" ht="15.75" hidden="1" customHeight="1">
      <c r="B32" s="203"/>
      <c r="C32" s="203" t="str">
        <f>'CO_attainment for FA-TH ESE'!#REF!</f>
        <v>#ERROR!</v>
      </c>
      <c r="D32" s="203" t="str">
        <f>'CO_attainment for FA-TH ESE'!#REF!</f>
        <v>#ERROR!</v>
      </c>
      <c r="E32" s="203"/>
    </row>
    <row r="33" ht="15.75" hidden="1" customHeight="1">
      <c r="B33" s="203"/>
      <c r="C33" s="203" t="str">
        <f>'CO_attainment for FA-TH ESE'!#REF!</f>
        <v>#ERROR!</v>
      </c>
      <c r="D33" s="203" t="str">
        <f>'CO_attainment for FA-TH ESE'!#REF!</f>
        <v>#ERROR!</v>
      </c>
      <c r="E33" s="203"/>
    </row>
    <row r="34" ht="15.75" hidden="1" customHeight="1">
      <c r="B34" s="203"/>
      <c r="C34" s="203" t="str">
        <f>'CO_attainment for FA-TH ESE'!#REF!</f>
        <v>#ERROR!</v>
      </c>
      <c r="D34" s="203" t="str">
        <f>'CO_attainment for FA-TH ESE'!#REF!</f>
        <v>#ERROR!</v>
      </c>
      <c r="E34" s="203"/>
    </row>
    <row r="35" ht="15.75" hidden="1" customHeight="1">
      <c r="B35" s="203"/>
      <c r="C35" s="203" t="str">
        <f>'CO_attainment for FA-TH ESE'!#REF!</f>
        <v>#ERROR!</v>
      </c>
      <c r="D35" s="203" t="str">
        <f>'CO_attainment for FA-TH ESE'!#REF!</f>
        <v>#ERROR!</v>
      </c>
      <c r="E35" s="203"/>
    </row>
    <row r="36" ht="15.75" hidden="1" customHeight="1">
      <c r="B36" s="203"/>
      <c r="C36" s="203" t="str">
        <f>'CO_attainment for FA-TH ESE'!#REF!</f>
        <v>#ERROR!</v>
      </c>
      <c r="D36" s="203" t="str">
        <f>'CO_attainment for FA-TH ESE'!#REF!</f>
        <v>#ERROR!</v>
      </c>
      <c r="E36" s="203"/>
    </row>
    <row r="37" ht="15.75" hidden="1" customHeight="1">
      <c r="B37" s="203"/>
      <c r="C37" s="203" t="str">
        <f>'CO_attainment for FA-TH ESE'!#REF!</f>
        <v>#ERROR!</v>
      </c>
      <c r="D37" s="203" t="str">
        <f>'CO_attainment for FA-TH ESE'!#REF!</f>
        <v>#ERROR!</v>
      </c>
      <c r="E37" s="203"/>
    </row>
    <row r="38" ht="15.75" customHeight="1">
      <c r="B38" s="203">
        <v>6.0</v>
      </c>
      <c r="C38" s="203" t="str">
        <f>'CO_attainment for FA-TH ESE'!#REF!</f>
        <v>#ERROR!</v>
      </c>
      <c r="D38" s="203" t="str">
        <f>'CO_attainment for FA-TH ESE'!#REF!</f>
        <v>#ERROR!</v>
      </c>
      <c r="E38" s="203"/>
    </row>
    <row r="39" ht="15.75" hidden="1" customHeight="1">
      <c r="B39" s="203"/>
      <c r="C39" s="203" t="str">
        <f>'CO_attainment for FA-TH ESE'!#REF!</f>
        <v>#ERROR!</v>
      </c>
      <c r="D39" s="203" t="str">
        <f>'CO_attainment for FA-TH ESE'!#REF!</f>
        <v>#ERROR!</v>
      </c>
      <c r="E39" s="203"/>
    </row>
    <row r="40" ht="15.75" hidden="1" customHeight="1">
      <c r="B40" s="203"/>
      <c r="C40" s="203" t="str">
        <f>'CO_attainment for FA-TH ESE'!#REF!</f>
        <v>#ERROR!</v>
      </c>
      <c r="D40" s="203" t="str">
        <f>'CO_attainment for FA-TH ESE'!#REF!</f>
        <v>#ERROR!</v>
      </c>
      <c r="E40" s="203"/>
    </row>
    <row r="41" ht="15.75" hidden="1" customHeight="1">
      <c r="B41" s="203"/>
      <c r="C41" s="203" t="str">
        <f>'CO_attainment for FA-TH ESE'!#REF!</f>
        <v>#ERROR!</v>
      </c>
      <c r="D41" s="203" t="str">
        <f>'CO_attainment for FA-TH ESE'!#REF!</f>
        <v>#ERROR!</v>
      </c>
      <c r="E41" s="203"/>
    </row>
    <row r="42" ht="15.75" hidden="1" customHeight="1">
      <c r="B42" s="203"/>
      <c r="C42" s="203" t="str">
        <f>'CO_attainment for FA-TH ESE'!#REF!</f>
        <v>#ERROR!</v>
      </c>
      <c r="D42" s="203" t="str">
        <f>'CO_attainment for FA-TH ESE'!#REF!</f>
        <v>#ERROR!</v>
      </c>
      <c r="E42" s="203"/>
    </row>
    <row r="43" ht="15.75" hidden="1" customHeight="1">
      <c r="B43" s="203"/>
      <c r="C43" s="203" t="str">
        <f>'CO_attainment for FA-TH ESE'!#REF!</f>
        <v>#ERROR!</v>
      </c>
      <c r="D43" s="203" t="str">
        <f>'CO_attainment for FA-TH ESE'!#REF!</f>
        <v>#ERROR!</v>
      </c>
      <c r="E43" s="203"/>
    </row>
    <row r="44" ht="15.75" hidden="1" customHeight="1">
      <c r="B44" s="203"/>
      <c r="C44" s="203" t="str">
        <f>'CO_attainment for FA-TH ESE'!#REF!</f>
        <v>#ERROR!</v>
      </c>
      <c r="D44" s="203" t="str">
        <f>'CO_attainment for FA-TH ESE'!#REF!</f>
        <v>#ERROR!</v>
      </c>
      <c r="E44" s="203"/>
    </row>
    <row r="45" ht="15.75" hidden="1" customHeight="1">
      <c r="B45" s="203"/>
      <c r="C45" s="203" t="str">
        <f>'CO_attainment for FA-TH ESE'!#REF!</f>
        <v>#ERROR!</v>
      </c>
      <c r="D45" s="203" t="str">
        <f>'CO_attainment for FA-TH ESE'!#REF!</f>
        <v>#ERROR!</v>
      </c>
      <c r="E45" s="203"/>
    </row>
    <row r="46" ht="15.75" hidden="1" customHeight="1">
      <c r="B46" s="203"/>
      <c r="C46" s="203" t="str">
        <f>'CO_attainment for FA-TH ESE'!#REF!</f>
        <v>#ERROR!</v>
      </c>
      <c r="D46" s="203" t="str">
        <f>'CO_attainment for FA-TH ESE'!#REF!</f>
        <v>#ERROR!</v>
      </c>
      <c r="E46" s="203"/>
    </row>
    <row r="47" ht="15.75" hidden="1" customHeight="1">
      <c r="B47" s="203"/>
      <c r="C47" s="203" t="str">
        <f>'CO_attainment for FA-TH ESE'!#REF!</f>
        <v>#ERROR!</v>
      </c>
      <c r="D47" s="203" t="str">
        <f>'CO_attainment for FA-TH ESE'!#REF!</f>
        <v>#ERROR!</v>
      </c>
      <c r="E47" s="203"/>
    </row>
    <row r="48" ht="15.75" hidden="1" customHeight="1">
      <c r="B48" s="203"/>
      <c r="C48" s="203" t="str">
        <f>'CO_attainment for FA-TH ESE'!#REF!</f>
        <v>#ERROR!</v>
      </c>
      <c r="D48" s="203" t="str">
        <f>'CO_attainment for FA-TH ESE'!#REF!</f>
        <v>#ERROR!</v>
      </c>
      <c r="E48" s="203"/>
    </row>
    <row r="49" ht="15.75" hidden="1" customHeight="1">
      <c r="B49" s="203"/>
      <c r="C49" s="203" t="str">
        <f>'CO_attainment for FA-TH ESE'!#REF!</f>
        <v>#ERROR!</v>
      </c>
      <c r="D49" s="203" t="str">
        <f>'CO_attainment for FA-TH ESE'!#REF!</f>
        <v>#ERROR!</v>
      </c>
      <c r="E49" s="203"/>
    </row>
    <row r="50" ht="15.75" hidden="1" customHeight="1">
      <c r="B50" s="203"/>
      <c r="C50" s="203" t="str">
        <f>'CO_attainment for FA-TH ESE'!#REF!</f>
        <v>#ERROR!</v>
      </c>
      <c r="D50" s="203" t="str">
        <f>'CO_attainment for FA-TH ESE'!#REF!</f>
        <v>#ERROR!</v>
      </c>
      <c r="E50" s="203"/>
    </row>
    <row r="51" ht="15.75" hidden="1" customHeight="1">
      <c r="B51" s="203"/>
      <c r="C51" s="203" t="str">
        <f>'CO_attainment for FA-TH ESE'!#REF!</f>
        <v>#ERROR!</v>
      </c>
      <c r="D51" s="203" t="str">
        <f>'CO_attainment for FA-TH ESE'!#REF!</f>
        <v>#ERROR!</v>
      </c>
      <c r="E51" s="203"/>
    </row>
    <row r="52" ht="15.75" hidden="1" customHeight="1">
      <c r="B52" s="203"/>
      <c r="C52" s="203" t="str">
        <f>'CO_attainment for FA-TH ESE'!#REF!</f>
        <v>#ERROR!</v>
      </c>
      <c r="D52" s="203" t="str">
        <f>'CO_attainment for FA-TH ESE'!#REF!</f>
        <v>#ERROR!</v>
      </c>
      <c r="E52" s="203"/>
    </row>
    <row r="53" ht="15.75" hidden="1" customHeight="1">
      <c r="B53" s="203"/>
      <c r="C53" s="203" t="str">
        <f>'CO_attainment for FA-TH ESE'!#REF!</f>
        <v>#ERROR!</v>
      </c>
      <c r="D53" s="203" t="str">
        <f>'CO_attainment for FA-TH ESE'!#REF!</f>
        <v>#ERROR!</v>
      </c>
      <c r="E53" s="203"/>
    </row>
    <row r="54" ht="15.75" hidden="1" customHeight="1">
      <c r="B54" s="203"/>
      <c r="C54" s="203" t="str">
        <f>'CO_attainment for FA-TH ESE'!#REF!</f>
        <v>#ERROR!</v>
      </c>
      <c r="D54" s="203" t="str">
        <f>'CO_attainment for FA-TH ESE'!#REF!</f>
        <v>#ERROR!</v>
      </c>
      <c r="E54" s="203"/>
    </row>
    <row r="55" ht="15.75" hidden="1" customHeight="1">
      <c r="B55" s="203"/>
      <c r="C55" s="203" t="str">
        <f>'CO_attainment for FA-TH ESE'!#REF!</f>
        <v>#ERROR!</v>
      </c>
      <c r="D55" s="203" t="str">
        <f>'CO_attainment for FA-TH ESE'!#REF!</f>
        <v>#ERROR!</v>
      </c>
      <c r="E55" s="203"/>
    </row>
    <row r="56" ht="15.75" hidden="1" customHeight="1">
      <c r="B56" s="203"/>
      <c r="C56" s="203" t="str">
        <f>'CO_attainment for FA-TH ESE'!#REF!</f>
        <v>#ERROR!</v>
      </c>
      <c r="D56" s="203" t="str">
        <f>'CO_attainment for FA-TH ESE'!#REF!</f>
        <v>#ERROR!</v>
      </c>
      <c r="E56" s="203"/>
    </row>
    <row r="57" ht="15.75" hidden="1" customHeight="1">
      <c r="B57" s="203"/>
      <c r="C57" s="203" t="str">
        <f>'CO_attainment for FA-TH ESE'!#REF!</f>
        <v>#ERROR!</v>
      </c>
      <c r="D57" s="203" t="str">
        <f>'CO_attainment for FA-TH ESE'!#REF!</f>
        <v>#ERROR!</v>
      </c>
      <c r="E57" s="203"/>
    </row>
    <row r="58" ht="15.75" hidden="1" customHeight="1">
      <c r="B58" s="203"/>
      <c r="C58" s="203" t="str">
        <f>'CO_attainment for FA-TH ESE'!#REF!</f>
        <v>#ERROR!</v>
      </c>
      <c r="D58" s="203" t="str">
        <f>'CO_attainment for FA-TH ESE'!#REF!</f>
        <v>#ERROR!</v>
      </c>
      <c r="E58" s="203"/>
    </row>
    <row r="59" ht="15.75" hidden="1" customHeight="1">
      <c r="B59" s="203"/>
      <c r="C59" s="203" t="str">
        <f>'CO_attainment for FA-TH ESE'!#REF!</f>
        <v>#ERROR!</v>
      </c>
      <c r="D59" s="203" t="str">
        <f>'CO_attainment for FA-TH ESE'!#REF!</f>
        <v>#ERROR!</v>
      </c>
      <c r="E59" s="203"/>
    </row>
    <row r="60" ht="15.75" hidden="1" customHeight="1">
      <c r="B60" s="203"/>
      <c r="C60" s="203" t="str">
        <f>'CO_attainment for FA-TH ESE'!#REF!</f>
        <v>#ERROR!</v>
      </c>
      <c r="D60" s="203" t="str">
        <f>'CO_attainment for FA-TH ESE'!#REF!</f>
        <v>#ERROR!</v>
      </c>
      <c r="E60" s="203"/>
    </row>
    <row r="61" ht="15.75" hidden="1" customHeight="1">
      <c r="B61" s="203"/>
      <c r="C61" s="203" t="str">
        <f>'CO_attainment for FA-TH ESE'!#REF!</f>
        <v>#ERROR!</v>
      </c>
      <c r="D61" s="203" t="str">
        <f>'CO_attainment for FA-TH ESE'!#REF!</f>
        <v>#ERROR!</v>
      </c>
      <c r="E61" s="203"/>
    </row>
    <row r="62" ht="15.75" hidden="1" customHeight="1">
      <c r="B62" s="203"/>
      <c r="C62" s="203" t="str">
        <f>'CO_attainment for FA-TH ESE'!#REF!</f>
        <v>#ERROR!</v>
      </c>
      <c r="D62" s="203" t="str">
        <f>'CO_attainment for FA-TH ESE'!#REF!</f>
        <v>#ERROR!</v>
      </c>
      <c r="E62" s="203"/>
    </row>
    <row r="63" ht="15.75" hidden="1" customHeight="1">
      <c r="B63" s="203"/>
      <c r="C63" s="203" t="str">
        <f>'CO_attainment for FA-TH ESE'!#REF!</f>
        <v>#ERROR!</v>
      </c>
      <c r="D63" s="203" t="str">
        <f>'CO_attainment for FA-TH ESE'!#REF!</f>
        <v>#ERROR!</v>
      </c>
      <c r="E63" s="203"/>
    </row>
    <row r="64" ht="15.75" customHeight="1">
      <c r="B64" s="203">
        <v>7.0</v>
      </c>
      <c r="C64" s="203" t="str">
        <f>'CO_attainment for FA-TH ESE'!#REF!</f>
        <v>#ERROR!</v>
      </c>
      <c r="D64" s="203" t="str">
        <f>'CO_attainment for FA-TH ESE'!#REF!</f>
        <v>#ERROR!</v>
      </c>
      <c r="E64" s="203"/>
    </row>
    <row r="65" ht="15.75" hidden="1" customHeight="1">
      <c r="B65" s="203"/>
      <c r="C65" s="203" t="str">
        <f>'CO_attainment for FA-TH ESE'!#REF!</f>
        <v>#ERROR!</v>
      </c>
      <c r="D65" s="203" t="str">
        <f>'CO_attainment for FA-TH ESE'!#REF!</f>
        <v>#ERROR!</v>
      </c>
      <c r="E65" s="203"/>
    </row>
    <row r="66" ht="15.75" hidden="1" customHeight="1">
      <c r="B66" s="203"/>
      <c r="C66" s="203" t="str">
        <f>'CO_attainment for FA-TH ESE'!#REF!</f>
        <v>#ERROR!</v>
      </c>
      <c r="D66" s="203" t="str">
        <f>'CO_attainment for FA-TH ESE'!#REF!</f>
        <v>#ERROR!</v>
      </c>
      <c r="E66" s="203"/>
    </row>
    <row r="67" ht="15.75" hidden="1" customHeight="1">
      <c r="B67" s="203"/>
      <c r="C67" s="203" t="str">
        <f>'CO_attainment for FA-TH ESE'!#REF!</f>
        <v>#ERROR!</v>
      </c>
      <c r="D67" s="203" t="str">
        <f>'CO_attainment for FA-TH ESE'!#REF!</f>
        <v>#ERROR!</v>
      </c>
      <c r="E67" s="203"/>
    </row>
    <row r="68" ht="15.75" customHeight="1">
      <c r="B68" s="203">
        <v>8.0</v>
      </c>
      <c r="C68" s="203" t="str">
        <f>'CO_attainment for FA-TH ESE'!#REF!</f>
        <v>#ERROR!</v>
      </c>
      <c r="D68" s="203" t="str">
        <f>'CO_attainment for FA-TH ESE'!#REF!</f>
        <v>#ERROR!</v>
      </c>
      <c r="E68" s="203"/>
    </row>
    <row r="69" ht="15.75" hidden="1" customHeight="1">
      <c r="B69" s="203"/>
      <c r="C69" s="203" t="str">
        <f>'CO_attainment for FA-TH ESE'!#REF!</f>
        <v>#ERROR!</v>
      </c>
      <c r="D69" s="203" t="str">
        <f>'CO_attainment for FA-TH ESE'!#REF!</f>
        <v>#ERROR!</v>
      </c>
      <c r="E69" s="203"/>
    </row>
    <row r="70" ht="15.75" hidden="1" customHeight="1">
      <c r="B70" s="203"/>
      <c r="C70" s="203" t="str">
        <f>'CO_attainment for FA-TH ESE'!#REF!</f>
        <v>#ERROR!</v>
      </c>
      <c r="D70" s="203" t="str">
        <f>'CO_attainment for FA-TH ESE'!#REF!</f>
        <v>#ERROR!</v>
      </c>
      <c r="E70" s="203"/>
    </row>
    <row r="71" ht="15.75" customHeight="1">
      <c r="B71" s="203">
        <v>9.0</v>
      </c>
      <c r="C71" s="203" t="str">
        <f>'CO_attainment for FA-TH ESE'!#REF!</f>
        <v>#ERROR!</v>
      </c>
      <c r="D71" s="203" t="str">
        <f>'CO_attainment for FA-TH ESE'!#REF!</f>
        <v>#ERROR!</v>
      </c>
      <c r="E71" s="203"/>
    </row>
    <row r="72" ht="15.75" hidden="1" customHeight="1">
      <c r="B72" s="203"/>
      <c r="C72" s="203" t="str">
        <f>'CO_attainment for FA-TH ESE'!#REF!</f>
        <v>#ERROR!</v>
      </c>
      <c r="D72" s="203" t="str">
        <f>'CO_attainment for FA-TH ESE'!#REF!</f>
        <v>#ERROR!</v>
      </c>
      <c r="E72" s="203"/>
    </row>
    <row r="73" ht="15.75" customHeight="1">
      <c r="B73" s="203"/>
      <c r="C73" s="203"/>
      <c r="D73" s="203"/>
      <c r="E73" s="203"/>
    </row>
    <row r="74" ht="15.75" customHeight="1">
      <c r="B74" s="203"/>
      <c r="C74" s="203"/>
      <c r="D74" s="203"/>
      <c r="E74" s="203"/>
    </row>
    <row r="75" ht="15.75" customHeight="1">
      <c r="B75" s="203"/>
      <c r="C75" s="203"/>
      <c r="D75" s="203"/>
      <c r="E75" s="203"/>
    </row>
    <row r="76" ht="15.75" customHeight="1">
      <c r="B76" s="203"/>
      <c r="C76" s="203"/>
      <c r="D76" s="203"/>
      <c r="E76" s="203"/>
    </row>
    <row r="77" ht="15.75" customHeight="1">
      <c r="B77" s="203"/>
      <c r="C77" s="203"/>
      <c r="D77" s="203"/>
      <c r="E77" s="203"/>
    </row>
    <row r="78" ht="15.75" customHeight="1">
      <c r="B78" s="203"/>
      <c r="C78" s="203"/>
      <c r="D78" s="203"/>
      <c r="E78" s="203"/>
    </row>
    <row r="79" ht="15.75" customHeight="1">
      <c r="B79" s="203"/>
      <c r="C79" s="205"/>
      <c r="D79" s="205"/>
      <c r="E79" s="205"/>
    </row>
    <row r="80" ht="15.75" customHeight="1">
      <c r="D80" s="206" t="s">
        <v>172</v>
      </c>
      <c r="E80" s="207">
        <f>ROUNDUP(AVERAGE(E15:E79),1)</f>
        <v>0</v>
      </c>
    </row>
    <row r="81" ht="15.75" customHeight="1">
      <c r="D81" s="206" t="s">
        <v>173</v>
      </c>
      <c r="E81" s="207">
        <f>(E80/5)*100</f>
        <v>0</v>
      </c>
    </row>
    <row r="82" ht="15.75" customHeight="1">
      <c r="A82" s="18" t="s">
        <v>174</v>
      </c>
      <c r="D82" s="195"/>
      <c r="E82" s="47"/>
    </row>
    <row r="83" ht="15.75" customHeight="1">
      <c r="A83" s="18" t="s">
        <v>175</v>
      </c>
      <c r="D83" s="195"/>
      <c r="E83" s="47"/>
    </row>
    <row r="84" ht="15.75" customHeight="1"/>
    <row r="85" ht="42.75" customHeight="1">
      <c r="A85" s="208" t="s">
        <v>176</v>
      </c>
      <c r="B85" s="24"/>
      <c r="C85" s="24"/>
      <c r="D85" s="25"/>
      <c r="E85" s="209" t="s">
        <v>138</v>
      </c>
    </row>
    <row r="86" ht="15.75" customHeight="1">
      <c r="A86" s="210" t="s">
        <v>139</v>
      </c>
      <c r="B86" s="211" t="s">
        <v>177</v>
      </c>
      <c r="C86" s="212"/>
      <c r="D86" s="153"/>
      <c r="E86" s="213">
        <v>1.0</v>
      </c>
    </row>
    <row r="87" ht="15.75" customHeight="1">
      <c r="A87" s="115"/>
      <c r="B87" s="214" t="s">
        <v>178</v>
      </c>
      <c r="C87" s="215"/>
      <c r="D87" s="118"/>
      <c r="E87" s="216">
        <v>2.0</v>
      </c>
    </row>
    <row r="88" ht="15.75" customHeight="1">
      <c r="A88" s="119"/>
      <c r="B88" s="217" t="s">
        <v>179</v>
      </c>
      <c r="C88" s="218"/>
      <c r="D88" s="123"/>
      <c r="E88" s="219">
        <v>3.0</v>
      </c>
    </row>
    <row r="89" ht="15.75" customHeight="1"/>
    <row r="90" ht="30.75" customHeight="1">
      <c r="A90" s="220" t="s">
        <v>164</v>
      </c>
      <c r="B90" s="183"/>
      <c r="C90" s="221" t="s">
        <v>9</v>
      </c>
      <c r="D90" s="221" t="s">
        <v>11</v>
      </c>
      <c r="E90" s="221" t="s">
        <v>13</v>
      </c>
      <c r="F90" s="221" t="s">
        <v>142</v>
      </c>
      <c r="G90" s="222" t="s">
        <v>143</v>
      </c>
    </row>
    <row r="91" ht="30.0" customHeight="1">
      <c r="A91" s="223" t="s">
        <v>180</v>
      </c>
      <c r="B91" s="167"/>
      <c r="C91" s="224">
        <f>IF(E81&gt;=80,3,IF(E81&gt;=65,2,IF(E81&gt;=40,1,0)))</f>
        <v>0</v>
      </c>
      <c r="D91" s="224">
        <f t="shared" ref="D91:G91" si="1">$C91</f>
        <v>0</v>
      </c>
      <c r="E91" s="224">
        <f t="shared" si="1"/>
        <v>0</v>
      </c>
      <c r="F91" s="224">
        <f t="shared" si="1"/>
        <v>0</v>
      </c>
      <c r="G91" s="225">
        <f t="shared" si="1"/>
        <v>0</v>
      </c>
    </row>
    <row r="92" ht="15.0" customHeight="1">
      <c r="A92" s="18" t="s">
        <v>181</v>
      </c>
      <c r="E92" s="17"/>
    </row>
    <row r="93" ht="12.0" customHeight="1">
      <c r="B93" s="18" t="s">
        <v>182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87:D87"/>
    <mergeCell ref="B88:D88"/>
    <mergeCell ref="A90:B90"/>
    <mergeCell ref="A91:B91"/>
    <mergeCell ref="B10:B14"/>
    <mergeCell ref="C10:C14"/>
    <mergeCell ref="D10:D14"/>
    <mergeCell ref="E10:E13"/>
    <mergeCell ref="A85:D85"/>
    <mergeCell ref="A86:A88"/>
    <mergeCell ref="B86:D8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31.14"/>
    <col customWidth="1" min="5" max="5" width="11.43"/>
    <col customWidth="1" min="6" max="16" width="8.71"/>
  </cols>
  <sheetData>
    <row r="1">
      <c r="F1" s="226" t="s">
        <v>183</v>
      </c>
      <c r="G1" s="226"/>
      <c r="H1" s="226"/>
      <c r="I1" s="3"/>
    </row>
    <row r="4">
      <c r="B4" s="17"/>
      <c r="C4" s="19" t="s">
        <v>184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>
      <c r="B5" s="17"/>
      <c r="C5" s="19" t="s">
        <v>185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B6" s="20" t="s">
        <v>21</v>
      </c>
      <c r="C6" s="21" t="s">
        <v>22</v>
      </c>
      <c r="D6" s="22"/>
      <c r="E6" s="23" t="s">
        <v>23</v>
      </c>
      <c r="F6" s="24"/>
      <c r="G6" s="24"/>
      <c r="H6" s="24"/>
      <c r="I6" s="24"/>
      <c r="J6" s="24"/>
      <c r="K6" s="24"/>
      <c r="L6" s="24"/>
      <c r="M6" s="24"/>
      <c r="N6" s="25"/>
      <c r="O6" s="23" t="s">
        <v>24</v>
      </c>
      <c r="P6" s="25"/>
    </row>
    <row r="7">
      <c r="B7" s="26"/>
      <c r="C7" s="27"/>
      <c r="D7" s="28"/>
      <c r="E7" s="29" t="s">
        <v>25</v>
      </c>
      <c r="F7" s="29" t="s">
        <v>26</v>
      </c>
      <c r="G7" s="29" t="s">
        <v>27</v>
      </c>
      <c r="H7" s="29" t="s">
        <v>28</v>
      </c>
      <c r="I7" s="29" t="s">
        <v>29</v>
      </c>
      <c r="J7" s="29" t="s">
        <v>30</v>
      </c>
      <c r="K7" s="29" t="s">
        <v>31</v>
      </c>
      <c r="L7" s="29" t="s">
        <v>186</v>
      </c>
      <c r="M7" s="29" t="s">
        <v>187</v>
      </c>
      <c r="N7" s="29" t="s">
        <v>188</v>
      </c>
      <c r="O7" s="29" t="s">
        <v>32</v>
      </c>
      <c r="P7" s="29" t="s">
        <v>33</v>
      </c>
    </row>
    <row r="8">
      <c r="B8" s="30"/>
      <c r="C8" s="31"/>
      <c r="D8" s="32"/>
      <c r="E8" s="33" t="s">
        <v>189</v>
      </c>
      <c r="F8" s="33" t="s">
        <v>190</v>
      </c>
      <c r="G8" s="33" t="s">
        <v>191</v>
      </c>
      <c r="H8" s="33" t="s">
        <v>192</v>
      </c>
      <c r="I8" s="33" t="s">
        <v>193</v>
      </c>
      <c r="J8" s="33" t="s">
        <v>194</v>
      </c>
      <c r="K8" s="33" t="s">
        <v>195</v>
      </c>
      <c r="L8" s="33" t="s">
        <v>196</v>
      </c>
      <c r="M8" s="33" t="s">
        <v>197</v>
      </c>
      <c r="N8" s="33" t="s">
        <v>198</v>
      </c>
      <c r="O8" s="227" t="s">
        <v>199</v>
      </c>
      <c r="P8" s="228" t="s">
        <v>200</v>
      </c>
    </row>
    <row r="9" ht="63.75" customHeight="1">
      <c r="B9" s="229">
        <v>1.0</v>
      </c>
      <c r="C9" s="35" t="s">
        <v>9</v>
      </c>
      <c r="D9" s="36" t="s">
        <v>201</v>
      </c>
      <c r="E9" s="230">
        <v>3.0</v>
      </c>
      <c r="F9" s="230">
        <v>3.0</v>
      </c>
      <c r="G9" s="230">
        <v>2.0</v>
      </c>
      <c r="H9" s="230">
        <v>2.0</v>
      </c>
      <c r="I9" s="230">
        <v>2.0</v>
      </c>
      <c r="J9" s="230">
        <v>2.0</v>
      </c>
      <c r="K9" s="230">
        <v>2.0</v>
      </c>
      <c r="L9" s="230">
        <v>2.0</v>
      </c>
      <c r="M9" s="230">
        <v>2.0</v>
      </c>
      <c r="N9" s="230">
        <v>3.0</v>
      </c>
      <c r="O9" s="230">
        <v>3.0</v>
      </c>
      <c r="P9" s="230">
        <v>2.0</v>
      </c>
    </row>
    <row r="10" ht="60.75" customHeight="1">
      <c r="B10" s="229">
        <v>2.0</v>
      </c>
      <c r="C10" s="35" t="s">
        <v>11</v>
      </c>
      <c r="D10" s="39" t="s">
        <v>202</v>
      </c>
      <c r="E10" s="230">
        <v>3.0</v>
      </c>
      <c r="F10" s="230">
        <v>3.0</v>
      </c>
      <c r="G10" s="230">
        <v>1.0</v>
      </c>
      <c r="H10" s="230">
        <v>2.0</v>
      </c>
      <c r="I10" s="230">
        <v>2.0</v>
      </c>
      <c r="J10" s="230">
        <v>2.0</v>
      </c>
      <c r="K10" s="230">
        <v>2.0</v>
      </c>
      <c r="L10" s="230">
        <v>2.0</v>
      </c>
      <c r="M10" s="230">
        <v>2.0</v>
      </c>
      <c r="N10" s="230">
        <v>1.0</v>
      </c>
      <c r="O10" s="230">
        <v>2.0</v>
      </c>
      <c r="P10" s="230">
        <v>2.0</v>
      </c>
    </row>
    <row r="11" ht="57.75" customHeight="1">
      <c r="B11" s="229">
        <v>3.0</v>
      </c>
      <c r="C11" s="35" t="s">
        <v>13</v>
      </c>
      <c r="D11" s="39" t="s">
        <v>203</v>
      </c>
      <c r="E11" s="230">
        <v>3.0</v>
      </c>
      <c r="F11" s="230">
        <v>3.0</v>
      </c>
      <c r="G11" s="230">
        <v>2.0</v>
      </c>
      <c r="H11" s="230">
        <v>2.0</v>
      </c>
      <c r="I11" s="230">
        <v>2.0</v>
      </c>
      <c r="J11" s="230">
        <v>3.0</v>
      </c>
      <c r="K11" s="230">
        <v>2.0</v>
      </c>
      <c r="L11" s="230">
        <v>3.0</v>
      </c>
      <c r="M11" s="230">
        <v>2.0</v>
      </c>
      <c r="N11" s="230">
        <v>2.0</v>
      </c>
      <c r="O11" s="230">
        <v>2.0</v>
      </c>
      <c r="P11" s="230">
        <v>2.0</v>
      </c>
    </row>
    <row r="12" ht="84.0" customHeight="1">
      <c r="B12" s="229">
        <v>4.0</v>
      </c>
      <c r="C12" s="35" t="s">
        <v>15</v>
      </c>
      <c r="D12" s="39" t="s">
        <v>204</v>
      </c>
      <c r="E12" s="230">
        <v>3.0</v>
      </c>
      <c r="F12" s="230">
        <v>3.0</v>
      </c>
      <c r="G12" s="230">
        <v>2.0</v>
      </c>
      <c r="H12" s="230">
        <v>3.0</v>
      </c>
      <c r="I12" s="230">
        <v>3.0</v>
      </c>
      <c r="J12" s="230">
        <v>2.0</v>
      </c>
      <c r="K12" s="230">
        <v>3.0</v>
      </c>
      <c r="L12" s="230">
        <v>2.0</v>
      </c>
      <c r="M12" s="230">
        <v>2.0</v>
      </c>
      <c r="N12" s="230">
        <v>3.0</v>
      </c>
      <c r="O12" s="230">
        <v>2.0</v>
      </c>
      <c r="P12" s="230">
        <v>2.0</v>
      </c>
    </row>
    <row r="13" ht="48.0" customHeight="1">
      <c r="B13" s="229">
        <v>5.0</v>
      </c>
      <c r="C13" s="35" t="s">
        <v>17</v>
      </c>
      <c r="D13" s="39" t="s">
        <v>205</v>
      </c>
      <c r="E13" s="230">
        <v>3.0</v>
      </c>
      <c r="F13" s="230">
        <v>3.0</v>
      </c>
      <c r="G13" s="230">
        <v>3.0</v>
      </c>
      <c r="H13" s="230">
        <v>3.0</v>
      </c>
      <c r="I13" s="230">
        <v>2.0</v>
      </c>
      <c r="J13" s="230">
        <v>2.0</v>
      </c>
      <c r="K13" s="230">
        <v>1.0</v>
      </c>
      <c r="L13" s="230">
        <v>3.0</v>
      </c>
      <c r="M13" s="230">
        <v>2.0</v>
      </c>
      <c r="N13" s="230">
        <v>2.0</v>
      </c>
      <c r="O13" s="230">
        <v>3.0</v>
      </c>
      <c r="P13" s="230">
        <v>3.0</v>
      </c>
    </row>
    <row r="14" ht="48.0" customHeight="1">
      <c r="B14" s="229">
        <v>6.0</v>
      </c>
      <c r="C14" s="35" t="s">
        <v>206</v>
      </c>
      <c r="D14" s="39" t="s">
        <v>207</v>
      </c>
      <c r="E14" s="230">
        <v>3.0</v>
      </c>
      <c r="F14" s="230">
        <v>3.0</v>
      </c>
      <c r="G14" s="230">
        <v>2.0</v>
      </c>
      <c r="H14" s="230">
        <v>2.0</v>
      </c>
      <c r="I14" s="230">
        <v>1.0</v>
      </c>
      <c r="J14" s="230">
        <v>2.0</v>
      </c>
      <c r="K14" s="230">
        <v>1.0</v>
      </c>
      <c r="L14" s="230">
        <v>1.0</v>
      </c>
      <c r="M14" s="230">
        <v>2.0</v>
      </c>
      <c r="N14" s="230">
        <v>1.0</v>
      </c>
      <c r="O14" s="230">
        <v>2.0</v>
      </c>
      <c r="P14" s="230">
        <v>2.0</v>
      </c>
    </row>
    <row r="15">
      <c r="B15" s="231" t="s">
        <v>208</v>
      </c>
      <c r="C15" s="24"/>
      <c r="D15" s="25"/>
      <c r="E15" s="232">
        <f t="shared" ref="E15:P15" si="1">ROUNDUP(AVERAGE(E9:E14),2)</f>
        <v>3</v>
      </c>
      <c r="F15" s="232">
        <f t="shared" si="1"/>
        <v>3</v>
      </c>
      <c r="G15" s="232">
        <f t="shared" si="1"/>
        <v>2</v>
      </c>
      <c r="H15" s="232">
        <f t="shared" si="1"/>
        <v>2.34</v>
      </c>
      <c r="I15" s="232">
        <f t="shared" si="1"/>
        <v>2</v>
      </c>
      <c r="J15" s="232">
        <f t="shared" si="1"/>
        <v>2.17</v>
      </c>
      <c r="K15" s="232">
        <f t="shared" si="1"/>
        <v>1.84</v>
      </c>
      <c r="L15" s="232">
        <f t="shared" si="1"/>
        <v>2.17</v>
      </c>
      <c r="M15" s="232">
        <f t="shared" si="1"/>
        <v>2</v>
      </c>
      <c r="N15" s="232">
        <f t="shared" si="1"/>
        <v>2</v>
      </c>
      <c r="O15" s="232">
        <f t="shared" si="1"/>
        <v>2.34</v>
      </c>
      <c r="P15" s="232">
        <f t="shared" si="1"/>
        <v>2.17</v>
      </c>
    </row>
    <row r="16">
      <c r="B16" s="233" t="s">
        <v>209</v>
      </c>
      <c r="C16" s="24"/>
      <c r="D16" s="25"/>
      <c r="E16" s="234">
        <f t="shared" ref="E16:P16" si="2">ROUNDUP((E15*2.66)/3,2)</f>
        <v>2.66</v>
      </c>
      <c r="F16" s="234">
        <f t="shared" si="2"/>
        <v>2.66</v>
      </c>
      <c r="G16" s="234">
        <f t="shared" si="2"/>
        <v>1.78</v>
      </c>
      <c r="H16" s="234">
        <f t="shared" si="2"/>
        <v>2.08</v>
      </c>
      <c r="I16" s="234">
        <f t="shared" si="2"/>
        <v>1.78</v>
      </c>
      <c r="J16" s="234">
        <f t="shared" si="2"/>
        <v>1.93</v>
      </c>
      <c r="K16" s="234">
        <f t="shared" si="2"/>
        <v>1.64</v>
      </c>
      <c r="L16" s="234">
        <f t="shared" si="2"/>
        <v>1.93</v>
      </c>
      <c r="M16" s="234">
        <f t="shared" si="2"/>
        <v>1.78</v>
      </c>
      <c r="N16" s="234">
        <f t="shared" si="2"/>
        <v>1.78</v>
      </c>
      <c r="O16" s="234">
        <f t="shared" si="2"/>
        <v>2.08</v>
      </c>
      <c r="P16" s="234">
        <f t="shared" si="2"/>
        <v>1.93</v>
      </c>
    </row>
    <row r="17">
      <c r="B17" s="233" t="s">
        <v>210</v>
      </c>
      <c r="C17" s="24"/>
      <c r="D17" s="25"/>
      <c r="E17" s="234">
        <f t="shared" ref="E17:P17" si="3">ROUNDUP((E16/3)*100,2)</f>
        <v>88.67</v>
      </c>
      <c r="F17" s="234">
        <f t="shared" si="3"/>
        <v>88.67</v>
      </c>
      <c r="G17" s="234">
        <f t="shared" si="3"/>
        <v>59.34</v>
      </c>
      <c r="H17" s="234">
        <f t="shared" si="3"/>
        <v>69.34</v>
      </c>
      <c r="I17" s="234">
        <f t="shared" si="3"/>
        <v>59.34</v>
      </c>
      <c r="J17" s="234">
        <f t="shared" si="3"/>
        <v>64.34</v>
      </c>
      <c r="K17" s="234">
        <f t="shared" si="3"/>
        <v>54.67</v>
      </c>
      <c r="L17" s="234">
        <f t="shared" si="3"/>
        <v>64.34</v>
      </c>
      <c r="M17" s="234">
        <f t="shared" si="3"/>
        <v>59.34</v>
      </c>
      <c r="N17" s="234">
        <f t="shared" si="3"/>
        <v>59.34</v>
      </c>
      <c r="O17" s="234">
        <f t="shared" si="3"/>
        <v>69.34</v>
      </c>
      <c r="P17" s="234">
        <f t="shared" si="3"/>
        <v>64.34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6:B8"/>
    <mergeCell ref="C6:D8"/>
    <mergeCell ref="E6:N6"/>
    <mergeCell ref="O6:P6"/>
    <mergeCell ref="B15:D15"/>
    <mergeCell ref="B16:D16"/>
    <mergeCell ref="B17:D1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.14"/>
    <col customWidth="1" min="3" max="3" width="19.0"/>
    <col customWidth="1" min="4" max="4" width="26.86"/>
    <col customWidth="1" min="5" max="5" width="9.71"/>
    <col customWidth="1" min="6" max="6" width="7.14"/>
    <col customWidth="1" min="7" max="7" width="6.57"/>
    <col customWidth="1" min="8" max="8" width="10.29"/>
    <col customWidth="1" min="9" max="9" width="13.71"/>
    <col customWidth="1" min="10" max="10" width="10.71"/>
    <col customWidth="1" min="11" max="26" width="9.14"/>
  </cols>
  <sheetData>
    <row r="1">
      <c r="A1" s="17"/>
      <c r="B1" s="17"/>
      <c r="C1" s="17"/>
      <c r="D1" s="17"/>
      <c r="E1" s="235" t="s">
        <v>211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55"/>
      <c r="C3" s="56" t="s">
        <v>1</v>
      </c>
      <c r="D3" s="194" t="str">
        <f>'CO_attainment for Indirect'!D4</f>
        <v>Data Structures Using _C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55"/>
      <c r="C4" s="56" t="s">
        <v>3</v>
      </c>
      <c r="D4" s="194">
        <f>'CO_attainment for Indirect'!D5</f>
        <v>22317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55"/>
      <c r="C5" s="56" t="s">
        <v>53</v>
      </c>
      <c r="D5" s="194" t="str">
        <f>'CO_attainment for Indirect'!D6</f>
        <v>3rd SEM(CO3I SCHEME)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55"/>
      <c r="C6" s="56" t="s">
        <v>158</v>
      </c>
      <c r="D6" s="194" t="str">
        <f>'CO_attain_SLA_FA-PR_SA-PR'!D7</f>
        <v>2023-24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236" t="s">
        <v>212</v>
      </c>
      <c r="D8" s="24"/>
      <c r="E8" s="24"/>
      <c r="F8" s="24"/>
      <c r="G8" s="24"/>
      <c r="H8" s="24"/>
      <c r="I8" s="24"/>
      <c r="J8" s="25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237" t="s">
        <v>213</v>
      </c>
      <c r="D9" s="24"/>
      <c r="E9" s="24"/>
      <c r="F9" s="24"/>
      <c r="G9" s="24"/>
      <c r="H9" s="25"/>
      <c r="I9" s="238" t="s">
        <v>214</v>
      </c>
      <c r="J9" s="22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239" t="s">
        <v>215</v>
      </c>
      <c r="D10" s="240" t="s">
        <v>216</v>
      </c>
      <c r="E10" s="241"/>
      <c r="F10" s="241"/>
      <c r="G10" s="32"/>
      <c r="H10" s="242" t="s">
        <v>217</v>
      </c>
      <c r="I10" s="31"/>
      <c r="J10" s="32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45.75" customHeight="1">
      <c r="A11" s="17"/>
      <c r="B11" s="17"/>
      <c r="C11" s="30"/>
      <c r="D11" s="243" t="s">
        <v>218</v>
      </c>
      <c r="E11" s="244" t="s">
        <v>219</v>
      </c>
      <c r="F11" s="244" t="s">
        <v>220</v>
      </c>
      <c r="G11" s="245" t="s">
        <v>161</v>
      </c>
      <c r="H11" s="246" t="s">
        <v>221</v>
      </c>
      <c r="I11" s="247" t="s">
        <v>222</v>
      </c>
      <c r="J11" s="25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248" t="s">
        <v>9</v>
      </c>
      <c r="D12" s="249">
        <f>'CO_Attainment for Unit Tests'!D109</f>
        <v>0</v>
      </c>
      <c r="E12" s="250">
        <f>'CO_attain_SLA_FA-PR_SA-PR'!C111</f>
        <v>3</v>
      </c>
      <c r="F12" s="250">
        <f>'CO_attain_SLA_FA-PR_SA-PR'!C110</f>
        <v>0</v>
      </c>
      <c r="G12" s="250">
        <f>'CO_attain_SLA_FA-PR_SA-PR'!C112</f>
        <v>3</v>
      </c>
      <c r="H12" s="251">
        <f>'CO_attainment for FA-TH ESE'!C110</f>
        <v>3</v>
      </c>
      <c r="I12" s="252">
        <f>'CO_attainment for Indirect'!C91</f>
        <v>0</v>
      </c>
      <c r="J12" s="153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253" t="s">
        <v>11</v>
      </c>
      <c r="D13" s="254">
        <f>'CO_Attainment for Unit Tests'!E109</f>
        <v>0</v>
      </c>
      <c r="E13" s="255">
        <f t="shared" ref="E13:E17" si="1">$E12</f>
        <v>3</v>
      </c>
      <c r="F13" s="255">
        <f t="shared" ref="F13:F17" si="2">$F12</f>
        <v>0</v>
      </c>
      <c r="G13" s="255">
        <f t="shared" ref="G13:G17" si="3">$G12</f>
        <v>3</v>
      </c>
      <c r="H13" s="256">
        <f t="shared" ref="H13:H17" si="4">$H12</f>
        <v>3</v>
      </c>
      <c r="I13" s="257">
        <f t="shared" ref="I13:I17" si="5">$I12</f>
        <v>0</v>
      </c>
      <c r="J13" s="118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253" t="s">
        <v>13</v>
      </c>
      <c r="D14" s="254">
        <f>'CO_Attainment for Unit Tests'!F109</f>
        <v>0</v>
      </c>
      <c r="E14" s="255">
        <f t="shared" si="1"/>
        <v>3</v>
      </c>
      <c r="F14" s="255">
        <f t="shared" si="2"/>
        <v>0</v>
      </c>
      <c r="G14" s="255">
        <f t="shared" si="3"/>
        <v>3</v>
      </c>
      <c r="H14" s="256">
        <f t="shared" si="4"/>
        <v>3</v>
      </c>
      <c r="I14" s="257">
        <f t="shared" si="5"/>
        <v>0</v>
      </c>
      <c r="J14" s="118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253" t="s">
        <v>15</v>
      </c>
      <c r="D15" s="254">
        <f>'CO_Attainment for Unit Tests'!G109</f>
        <v>0</v>
      </c>
      <c r="E15" s="255">
        <f t="shared" si="1"/>
        <v>3</v>
      </c>
      <c r="F15" s="255">
        <f t="shared" si="2"/>
        <v>0</v>
      </c>
      <c r="G15" s="255">
        <f t="shared" si="3"/>
        <v>3</v>
      </c>
      <c r="H15" s="256">
        <f t="shared" si="4"/>
        <v>3</v>
      </c>
      <c r="I15" s="257">
        <f t="shared" si="5"/>
        <v>0</v>
      </c>
      <c r="J15" s="118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253" t="s">
        <v>17</v>
      </c>
      <c r="D16" s="254">
        <f>'CO_Attainment for Unit Tests'!H109</f>
        <v>0</v>
      </c>
      <c r="E16" s="255">
        <f t="shared" si="1"/>
        <v>3</v>
      </c>
      <c r="F16" s="255">
        <f t="shared" si="2"/>
        <v>0</v>
      </c>
      <c r="G16" s="255">
        <f t="shared" si="3"/>
        <v>3</v>
      </c>
      <c r="H16" s="256">
        <f t="shared" si="4"/>
        <v>3</v>
      </c>
      <c r="I16" s="257">
        <f t="shared" si="5"/>
        <v>0</v>
      </c>
      <c r="J16" s="118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258" t="s">
        <v>206</v>
      </c>
      <c r="D17" s="259">
        <f>'CO_Attainment for Unit Tests'!I109</f>
        <v>0</v>
      </c>
      <c r="E17" s="260">
        <f t="shared" si="1"/>
        <v>3</v>
      </c>
      <c r="F17" s="260">
        <f t="shared" si="2"/>
        <v>0</v>
      </c>
      <c r="G17" s="260">
        <f t="shared" si="3"/>
        <v>3</v>
      </c>
      <c r="H17" s="261">
        <f t="shared" si="4"/>
        <v>3</v>
      </c>
      <c r="I17" s="257">
        <f t="shared" si="5"/>
        <v>0</v>
      </c>
      <c r="J17" s="118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248" t="s">
        <v>223</v>
      </c>
      <c r="D18" s="249">
        <f t="shared" ref="D18:I18" si="6">ROUND(AVERAGE(D12:D17),2)</f>
        <v>0</v>
      </c>
      <c r="E18" s="250">
        <f t="shared" si="6"/>
        <v>3</v>
      </c>
      <c r="F18" s="250">
        <f t="shared" si="6"/>
        <v>0</v>
      </c>
      <c r="G18" s="250">
        <f t="shared" si="6"/>
        <v>3</v>
      </c>
      <c r="H18" s="251">
        <f t="shared" si="6"/>
        <v>3</v>
      </c>
      <c r="I18" s="252">
        <f t="shared" si="6"/>
        <v>0</v>
      </c>
      <c r="J18" s="153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7.0" customHeight="1">
      <c r="A19" s="17"/>
      <c r="B19" s="17"/>
      <c r="C19" s="262" t="s">
        <v>224</v>
      </c>
      <c r="D19" s="263">
        <v>10.0</v>
      </c>
      <c r="E19" s="263">
        <v>10.0</v>
      </c>
      <c r="F19" s="263">
        <v>10.0</v>
      </c>
      <c r="G19" s="263">
        <v>10.0</v>
      </c>
      <c r="H19" s="263">
        <v>60.0</v>
      </c>
      <c r="I19" s="264">
        <v>100.0</v>
      </c>
      <c r="J19" s="58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1.5" customHeight="1">
      <c r="A20" s="17"/>
      <c r="B20" s="17"/>
      <c r="C20" s="265" t="s">
        <v>225</v>
      </c>
      <c r="D20" s="259">
        <f t="shared" ref="D20:I20" si="7">D18*D19/100</f>
        <v>0</v>
      </c>
      <c r="E20" s="259">
        <f t="shared" si="7"/>
        <v>0.3</v>
      </c>
      <c r="F20" s="259">
        <f t="shared" si="7"/>
        <v>0</v>
      </c>
      <c r="G20" s="259">
        <f t="shared" si="7"/>
        <v>0.3</v>
      </c>
      <c r="H20" s="259">
        <f t="shared" si="7"/>
        <v>1.8</v>
      </c>
      <c r="I20" s="266">
        <f t="shared" si="7"/>
        <v>0</v>
      </c>
      <c r="J20" s="123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48.0" customHeight="1">
      <c r="A21" s="17"/>
      <c r="B21" s="17"/>
      <c r="C21" s="267" t="s">
        <v>226</v>
      </c>
      <c r="D21" s="24"/>
      <c r="E21" s="24"/>
      <c r="F21" s="24"/>
      <c r="G21" s="25"/>
      <c r="H21" s="268">
        <f>SUM(D20:H20)</f>
        <v>2.4</v>
      </c>
      <c r="I21" s="269" t="s">
        <v>227</v>
      </c>
      <c r="J21" s="268">
        <f>I20</f>
        <v>0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2.5" customHeight="1">
      <c r="A22" s="17"/>
      <c r="B22" s="17"/>
      <c r="C22" s="267" t="s">
        <v>228</v>
      </c>
      <c r="D22" s="24"/>
      <c r="E22" s="24"/>
      <c r="F22" s="24"/>
      <c r="G22" s="25"/>
      <c r="H22" s="270">
        <v>0.8</v>
      </c>
      <c r="I22" s="271" t="s">
        <v>229</v>
      </c>
      <c r="J22" s="270">
        <v>0.2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45.0" customHeight="1">
      <c r="A23" s="17"/>
      <c r="B23" s="17"/>
      <c r="C23" s="267" t="s">
        <v>230</v>
      </c>
      <c r="D23" s="24"/>
      <c r="E23" s="24"/>
      <c r="F23" s="24"/>
      <c r="G23" s="25"/>
      <c r="H23" s="268">
        <f>0.8*H21</f>
        <v>1.92</v>
      </c>
      <c r="I23" s="269" t="s">
        <v>231</v>
      </c>
      <c r="J23" s="271">
        <f>0.2*J21</f>
        <v>0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5.5" customHeight="1">
      <c r="A24" s="17"/>
      <c r="B24" s="17"/>
      <c r="C24" s="272" t="s">
        <v>232</v>
      </c>
      <c r="D24" s="24"/>
      <c r="E24" s="24"/>
      <c r="F24" s="24"/>
      <c r="G24" s="24"/>
      <c r="H24" s="25"/>
      <c r="I24" s="273">
        <f>ROUNDUP(H23+J23,2)</f>
        <v>1.92</v>
      </c>
      <c r="J24" s="274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 t="s">
        <v>233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 t="s">
        <v>234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60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48.0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48.0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48.0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48.0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48.0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48.0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8:J8"/>
    <mergeCell ref="C9:H9"/>
    <mergeCell ref="I9:J10"/>
    <mergeCell ref="C10:C11"/>
    <mergeCell ref="D10:G10"/>
    <mergeCell ref="I11:J11"/>
    <mergeCell ref="I12:J12"/>
    <mergeCell ref="I20:J20"/>
    <mergeCell ref="C21:G21"/>
    <mergeCell ref="C22:G22"/>
    <mergeCell ref="C23:G23"/>
    <mergeCell ref="C24:H24"/>
    <mergeCell ref="I13:J13"/>
    <mergeCell ref="I14:J14"/>
    <mergeCell ref="I15:J15"/>
    <mergeCell ref="I16:J16"/>
    <mergeCell ref="I17:J17"/>
    <mergeCell ref="I18:J18"/>
    <mergeCell ref="I19:J19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7.14"/>
    <col customWidth="1" min="3" max="3" width="19.0"/>
    <col customWidth="1" min="4" max="4" width="26.86"/>
    <col customWidth="1" min="5" max="5" width="10.29"/>
    <col customWidth="1" min="6" max="6" width="7.29"/>
    <col customWidth="1" min="7" max="7" width="9.71"/>
    <col customWidth="1" min="8" max="8" width="12.71"/>
    <col customWidth="1" min="9" max="9" width="11.71"/>
    <col customWidth="1" min="10" max="10" width="14.14"/>
    <col customWidth="1" min="11" max="11" width="7.86"/>
    <col customWidth="1" min="12" max="26" width="9.14"/>
  </cols>
  <sheetData>
    <row r="1">
      <c r="A1" s="17"/>
      <c r="B1" s="17"/>
      <c r="C1" s="17"/>
      <c r="D1" s="17"/>
      <c r="E1" s="235" t="s">
        <v>211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55"/>
      <c r="C3" s="56" t="s">
        <v>1</v>
      </c>
      <c r="D3" s="190" t="str">
        <f>'CO_attainment for Indirect'!D4</f>
        <v>Data Structures Using _C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55"/>
      <c r="C4" s="56" t="s">
        <v>3</v>
      </c>
      <c r="D4" s="190">
        <f>'CO_attainment for Indirect'!D5</f>
        <v>22317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55"/>
      <c r="C5" s="56" t="s">
        <v>53</v>
      </c>
      <c r="D5" s="190" t="str">
        <f>'CO_attainment for Indirect'!D6</f>
        <v>3rd SEM(CO3I SCHEME)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55"/>
      <c r="C6" s="56" t="s">
        <v>158</v>
      </c>
      <c r="D6" s="190" t="str">
        <f>'CO_attain_SLA_FA-PR_SA-PR'!D7</f>
        <v>2023-24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55"/>
      <c r="C7" s="56"/>
      <c r="D7" s="195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55"/>
      <c r="C8" s="275" t="s">
        <v>235</v>
      </c>
      <c r="D8" s="276"/>
      <c r="E8" s="277" t="s">
        <v>236</v>
      </c>
      <c r="F8" s="212"/>
      <c r="G8" s="167"/>
      <c r="H8" s="278" t="s">
        <v>160</v>
      </c>
      <c r="I8" s="278" t="s">
        <v>161</v>
      </c>
      <c r="J8" s="278" t="s">
        <v>237</v>
      </c>
      <c r="K8" s="279" t="s">
        <v>238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55"/>
      <c r="C9" s="31"/>
      <c r="D9" s="280"/>
      <c r="E9" s="281" t="s">
        <v>239</v>
      </c>
      <c r="F9" s="281" t="s">
        <v>240</v>
      </c>
      <c r="G9" s="281" t="s">
        <v>241</v>
      </c>
      <c r="H9" s="281" t="s">
        <v>219</v>
      </c>
      <c r="I9" s="281" t="s">
        <v>242</v>
      </c>
      <c r="J9" s="282" t="s">
        <v>221</v>
      </c>
      <c r="K9" s="283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9.5" customHeight="1">
      <c r="A10" s="17"/>
      <c r="B10" s="55"/>
      <c r="C10" s="284" t="s">
        <v>243</v>
      </c>
      <c r="D10" s="167"/>
      <c r="E10" s="285">
        <v>20.0</v>
      </c>
      <c r="F10" s="167"/>
      <c r="G10" s="286">
        <v>10.0</v>
      </c>
      <c r="H10" s="286">
        <v>25.0</v>
      </c>
      <c r="I10" s="286">
        <v>25.0</v>
      </c>
      <c r="J10" s="286">
        <v>70.0</v>
      </c>
      <c r="K10" s="251">
        <f t="shared" ref="K10:K11" si="2">SUM(E10:J10)</f>
        <v>150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7.25" customHeight="1">
      <c r="A11" s="17"/>
      <c r="B11" s="55"/>
      <c r="C11" s="287" t="s">
        <v>244</v>
      </c>
      <c r="D11" s="169"/>
      <c r="E11" s="288">
        <f>(E10/$K10)*100</f>
        <v>13.33333333</v>
      </c>
      <c r="F11" s="169"/>
      <c r="G11" s="289">
        <f t="shared" ref="G11:J11" si="1">(G10/$K10)*100</f>
        <v>6.666666667</v>
      </c>
      <c r="H11" s="289">
        <f t="shared" si="1"/>
        <v>16.66666667</v>
      </c>
      <c r="I11" s="289">
        <f t="shared" si="1"/>
        <v>16.66666667</v>
      </c>
      <c r="J11" s="289">
        <f t="shared" si="1"/>
        <v>46.66666667</v>
      </c>
      <c r="K11" s="290">
        <f t="shared" si="2"/>
        <v>100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55"/>
      <c r="C12" s="56"/>
      <c r="D12" s="195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55"/>
      <c r="C13" s="56"/>
      <c r="D13" s="195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291" t="s">
        <v>212</v>
      </c>
      <c r="D15" s="24"/>
      <c r="E15" s="24"/>
      <c r="F15" s="24"/>
      <c r="G15" s="24"/>
      <c r="H15" s="24"/>
      <c r="I15" s="24"/>
      <c r="J15" s="25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292" t="s">
        <v>213</v>
      </c>
      <c r="D16" s="24"/>
      <c r="E16" s="24"/>
      <c r="F16" s="24"/>
      <c r="G16" s="24"/>
      <c r="H16" s="25"/>
      <c r="I16" s="293"/>
      <c r="J16" s="22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294" t="s">
        <v>245</v>
      </c>
      <c r="D17" s="295"/>
      <c r="E17" s="296" t="s">
        <v>216</v>
      </c>
      <c r="F17" s="297"/>
      <c r="G17" s="298"/>
      <c r="H17" s="299" t="s">
        <v>217</v>
      </c>
      <c r="I17" s="31"/>
      <c r="J17" s="32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45.75" customHeight="1">
      <c r="A18" s="17"/>
      <c r="B18" s="17"/>
      <c r="C18" s="30"/>
      <c r="D18" s="300" t="s">
        <v>218</v>
      </c>
      <c r="E18" s="301" t="s">
        <v>219</v>
      </c>
      <c r="F18" s="301" t="s">
        <v>220</v>
      </c>
      <c r="G18" s="302" t="s">
        <v>161</v>
      </c>
      <c r="H18" s="303" t="s">
        <v>221</v>
      </c>
      <c r="I18" s="304"/>
      <c r="J18" s="25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305" t="s">
        <v>9</v>
      </c>
      <c r="D19" s="306">
        <f>'CO_Attainment for Unit Tests'!D109</f>
        <v>0</v>
      </c>
      <c r="E19" s="278">
        <f>'CO_attain_SLA_FA-PR_SA-PR'!C111</f>
        <v>3</v>
      </c>
      <c r="F19" s="278">
        <f>'CO_attain_SLA_FA-PR_SA-PR'!C110</f>
        <v>0</v>
      </c>
      <c r="G19" s="278">
        <f>'CO_attain_SLA_FA-PR_SA-PR'!C112</f>
        <v>3</v>
      </c>
      <c r="H19" s="307">
        <f>'CO_attainment for FA-TH ESE'!C110</f>
        <v>3</v>
      </c>
      <c r="I19" s="308"/>
      <c r="J19" s="153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309" t="s">
        <v>11</v>
      </c>
      <c r="D20" s="310">
        <f>'CO_Attainment for Unit Tests'!E109</f>
        <v>0</v>
      </c>
      <c r="E20" s="311">
        <f t="shared" ref="E20:E24" si="3">$E19</f>
        <v>3</v>
      </c>
      <c r="F20" s="311">
        <f t="shared" ref="F20:F24" si="4">$F19</f>
        <v>0</v>
      </c>
      <c r="G20" s="311">
        <f t="shared" ref="G20:G24" si="5">$G19</f>
        <v>3</v>
      </c>
      <c r="H20" s="312">
        <f t="shared" ref="H20:H24" si="6">$H19</f>
        <v>3</v>
      </c>
      <c r="I20" s="313"/>
      <c r="J20" s="118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/>
      <c r="B21" s="17"/>
      <c r="C21" s="309" t="s">
        <v>13</v>
      </c>
      <c r="D21" s="310">
        <f>'CO_Attainment for Unit Tests'!F109</f>
        <v>0</v>
      </c>
      <c r="E21" s="311">
        <f t="shared" si="3"/>
        <v>3</v>
      </c>
      <c r="F21" s="311">
        <f t="shared" si="4"/>
        <v>0</v>
      </c>
      <c r="G21" s="311">
        <f t="shared" si="5"/>
        <v>3</v>
      </c>
      <c r="H21" s="312">
        <f t="shared" si="6"/>
        <v>3</v>
      </c>
      <c r="I21" s="313"/>
      <c r="J21" s="118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7"/>
      <c r="C22" s="309" t="s">
        <v>15</v>
      </c>
      <c r="D22" s="310">
        <f>'CO_Attainment for Unit Tests'!G109</f>
        <v>0</v>
      </c>
      <c r="E22" s="311">
        <f t="shared" si="3"/>
        <v>3</v>
      </c>
      <c r="F22" s="311">
        <f t="shared" si="4"/>
        <v>0</v>
      </c>
      <c r="G22" s="311">
        <f t="shared" si="5"/>
        <v>3</v>
      </c>
      <c r="H22" s="312">
        <f t="shared" si="6"/>
        <v>3</v>
      </c>
      <c r="I22" s="313"/>
      <c r="J22" s="118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17"/>
      <c r="C23" s="309" t="s">
        <v>17</v>
      </c>
      <c r="D23" s="310">
        <f>'CO_Attainment for Unit Tests'!H109</f>
        <v>0</v>
      </c>
      <c r="E23" s="311">
        <f t="shared" si="3"/>
        <v>3</v>
      </c>
      <c r="F23" s="311">
        <f t="shared" si="4"/>
        <v>0</v>
      </c>
      <c r="G23" s="311">
        <f t="shared" si="5"/>
        <v>3</v>
      </c>
      <c r="H23" s="312">
        <f t="shared" si="6"/>
        <v>3</v>
      </c>
      <c r="I23" s="313"/>
      <c r="J23" s="118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17"/>
      <c r="C24" s="314" t="s">
        <v>206</v>
      </c>
      <c r="D24" s="315">
        <f>'CO_Attainment for Unit Tests'!I109</f>
        <v>0</v>
      </c>
      <c r="E24" s="282">
        <f t="shared" si="3"/>
        <v>3</v>
      </c>
      <c r="F24" s="282">
        <f t="shared" si="4"/>
        <v>0</v>
      </c>
      <c r="G24" s="282">
        <f t="shared" si="5"/>
        <v>3</v>
      </c>
      <c r="H24" s="316">
        <f t="shared" si="6"/>
        <v>3</v>
      </c>
      <c r="I24" s="313"/>
      <c r="J24" s="118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305" t="s">
        <v>223</v>
      </c>
      <c r="D25" s="306">
        <f t="shared" ref="D25:H25" si="7">ROUND(AVERAGE(D19:D24),2)</f>
        <v>0</v>
      </c>
      <c r="E25" s="278">
        <f t="shared" si="7"/>
        <v>3</v>
      </c>
      <c r="F25" s="278">
        <f t="shared" si="7"/>
        <v>0</v>
      </c>
      <c r="G25" s="278">
        <f t="shared" si="7"/>
        <v>3</v>
      </c>
      <c r="H25" s="307">
        <f t="shared" si="7"/>
        <v>3</v>
      </c>
      <c r="I25" s="308"/>
      <c r="J25" s="153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317" t="s">
        <v>224</v>
      </c>
      <c r="D26" s="318">
        <f>E11</f>
        <v>13.33333333</v>
      </c>
      <c r="E26" s="318">
        <f>H11</f>
        <v>16.66666667</v>
      </c>
      <c r="F26" s="318">
        <f>G11</f>
        <v>6.666666667</v>
      </c>
      <c r="G26" s="318">
        <f t="shared" ref="G26:H26" si="8">I11</f>
        <v>16.66666667</v>
      </c>
      <c r="H26" s="318">
        <f t="shared" si="8"/>
        <v>46.66666667</v>
      </c>
      <c r="I26" s="319"/>
      <c r="J26" s="118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320" t="s">
        <v>225</v>
      </c>
      <c r="D27" s="321">
        <f t="shared" ref="D27:H27" si="9">D25*D26/100</f>
        <v>0</v>
      </c>
      <c r="E27" s="321">
        <f t="shared" si="9"/>
        <v>0.5</v>
      </c>
      <c r="F27" s="321">
        <f t="shared" si="9"/>
        <v>0</v>
      </c>
      <c r="G27" s="321">
        <f t="shared" si="9"/>
        <v>0.5</v>
      </c>
      <c r="H27" s="321">
        <f t="shared" si="9"/>
        <v>1.4</v>
      </c>
      <c r="I27" s="322"/>
      <c r="J27" s="123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30.0" customHeight="1">
      <c r="A28" s="17"/>
      <c r="B28" s="17"/>
      <c r="C28" s="323" t="s">
        <v>226</v>
      </c>
      <c r="D28" s="24"/>
      <c r="E28" s="24"/>
      <c r="F28" s="24"/>
      <c r="G28" s="25"/>
      <c r="H28" s="324">
        <f>SUM(D27:H27)</f>
        <v>2.4</v>
      </c>
      <c r="I28" s="325"/>
      <c r="J28" s="32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323" t="s">
        <v>228</v>
      </c>
      <c r="D29" s="24"/>
      <c r="E29" s="24"/>
      <c r="F29" s="24"/>
      <c r="G29" s="25"/>
      <c r="H29" s="327">
        <v>1.0</v>
      </c>
      <c r="I29" s="328"/>
      <c r="J29" s="32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62.25" customHeight="1">
      <c r="A30" s="17"/>
      <c r="B30" s="17"/>
      <c r="C30" s="323" t="s">
        <v>230</v>
      </c>
      <c r="D30" s="24"/>
      <c r="E30" s="24"/>
      <c r="F30" s="24"/>
      <c r="G30" s="25"/>
      <c r="H30" s="324">
        <f>H29*H28</f>
        <v>2.4</v>
      </c>
      <c r="I30" s="325"/>
      <c r="J30" s="328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25.5" customHeight="1">
      <c r="A31" s="17"/>
      <c r="B31" s="17"/>
      <c r="C31" s="329" t="s">
        <v>232</v>
      </c>
      <c r="D31" s="24"/>
      <c r="E31" s="24"/>
      <c r="F31" s="24"/>
      <c r="G31" s="24"/>
      <c r="H31" s="25"/>
      <c r="I31" s="330">
        <f>H30+J30</f>
        <v>2.4</v>
      </c>
      <c r="J31" s="331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47" t="s">
        <v>46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332" t="s">
        <v>47</v>
      </c>
      <c r="I35" s="7"/>
      <c r="J35" s="7"/>
      <c r="K35" s="18"/>
      <c r="L35" s="18"/>
      <c r="M35" s="18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60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48.0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48.0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48.0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48.0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48.0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48.0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C8:D9"/>
    <mergeCell ref="E8:G8"/>
    <mergeCell ref="K8:K9"/>
    <mergeCell ref="C10:D10"/>
    <mergeCell ref="E10:F10"/>
    <mergeCell ref="C11:D11"/>
    <mergeCell ref="E11:F11"/>
    <mergeCell ref="C15:J15"/>
    <mergeCell ref="C16:H16"/>
    <mergeCell ref="I16:J17"/>
    <mergeCell ref="C17:C18"/>
    <mergeCell ref="I18:J18"/>
    <mergeCell ref="I19:J19"/>
    <mergeCell ref="I20:J20"/>
    <mergeCell ref="C28:G28"/>
    <mergeCell ref="C29:G29"/>
    <mergeCell ref="C30:G30"/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</mergeCells>
  <printOptions/>
  <pageMargins bottom="0.75" footer="0.0" header="0.0" left="0.7" right="0.7" top="0.75"/>
  <pageSetup orientation="landscape"/>
  <colBreaks count="1" manualBreakCount="1">
    <brk id="12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0"/>
    <col customWidth="1" min="3" max="3" width="13.29"/>
    <col customWidth="1" min="4" max="4" width="37.86"/>
    <col customWidth="1" min="5" max="5" width="17.71"/>
    <col customWidth="1" min="6" max="7" width="11.71"/>
    <col customWidth="1" min="8" max="8" width="13.57"/>
    <col customWidth="1" min="9" max="9" width="16.43"/>
    <col customWidth="1" min="10" max="13" width="11.71"/>
    <col customWidth="1" min="14" max="25" width="9.14"/>
  </cols>
  <sheetData>
    <row r="1">
      <c r="A1" s="18"/>
      <c r="B1" s="18"/>
      <c r="C1" s="18"/>
      <c r="D1" s="18"/>
      <c r="E1" s="226" t="s">
        <v>246</v>
      </c>
      <c r="F1" s="226"/>
      <c r="G1" s="226"/>
      <c r="H1" s="3"/>
      <c r="I1" s="3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18"/>
      <c r="B2" s="18"/>
      <c r="C2" s="56" t="s">
        <v>1</v>
      </c>
      <c r="D2" s="57" t="str">
        <f>'Overall CO attainment'!D3</f>
        <v>Data Structures Using _C</v>
      </c>
      <c r="E2" s="5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18"/>
      <c r="B3" s="18"/>
      <c r="C3" s="56" t="s">
        <v>3</v>
      </c>
      <c r="D3" s="57">
        <f>'Overall CO attainment'!D4</f>
        <v>22317</v>
      </c>
      <c r="E3" s="5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>
      <c r="A4" s="18"/>
      <c r="B4" s="18"/>
      <c r="C4" s="56" t="s">
        <v>4</v>
      </c>
      <c r="D4" s="57" t="str">
        <f>'Overall CO attainment'!D5</f>
        <v>3rd SEM(CO3I SCHEME)</v>
      </c>
      <c r="E4" s="5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18"/>
      <c r="B5" s="18"/>
      <c r="C5" s="56" t="s">
        <v>158</v>
      </c>
      <c r="D5" s="57" t="str">
        <f>'Overall CO attainment'!D6</f>
        <v>2023-24</v>
      </c>
      <c r="E5" s="5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>
      <c r="A6" s="18"/>
      <c r="B6" s="18"/>
      <c r="C6" s="18"/>
      <c r="D6" s="150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>
      <c r="A7" s="18"/>
      <c r="B7" s="16"/>
      <c r="C7" s="17"/>
      <c r="D7" s="18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  <c r="Q7" s="18"/>
      <c r="R7" s="18"/>
      <c r="S7" s="18"/>
      <c r="T7" s="18"/>
      <c r="U7" s="18"/>
      <c r="V7" s="18"/>
      <c r="W7" s="18"/>
      <c r="X7" s="18"/>
      <c r="Y7" s="18"/>
    </row>
    <row r="8">
      <c r="A8" s="18"/>
      <c r="B8" s="19" t="s">
        <v>247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18"/>
      <c r="B9" s="20" t="s">
        <v>21</v>
      </c>
      <c r="C9" s="21" t="s">
        <v>22</v>
      </c>
      <c r="D9" s="22"/>
      <c r="E9" s="23" t="s">
        <v>23</v>
      </c>
      <c r="F9" s="24"/>
      <c r="G9" s="24"/>
      <c r="H9" s="24"/>
      <c r="I9" s="24"/>
      <c r="J9" s="24"/>
      <c r="K9" s="25"/>
      <c r="L9" s="23" t="s">
        <v>24</v>
      </c>
      <c r="M9" s="25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15.75" customHeight="1">
      <c r="A10" s="18"/>
      <c r="B10" s="26"/>
      <c r="C10" s="27"/>
      <c r="D10" s="28"/>
      <c r="E10" s="29" t="s">
        <v>25</v>
      </c>
      <c r="F10" s="29" t="s">
        <v>26</v>
      </c>
      <c r="G10" s="29" t="s">
        <v>27</v>
      </c>
      <c r="H10" s="29" t="s">
        <v>28</v>
      </c>
      <c r="I10" s="29" t="s">
        <v>29</v>
      </c>
      <c r="J10" s="29" t="s">
        <v>30</v>
      </c>
      <c r="K10" s="29" t="s">
        <v>31</v>
      </c>
      <c r="L10" s="29" t="s">
        <v>32</v>
      </c>
      <c r="M10" s="29" t="s">
        <v>33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119.25" customHeight="1">
      <c r="A11" s="18"/>
      <c r="B11" s="30"/>
      <c r="C11" s="31"/>
      <c r="D11" s="32"/>
      <c r="E11" s="33" t="s">
        <v>34</v>
      </c>
      <c r="F11" s="33" t="s">
        <v>35</v>
      </c>
      <c r="G11" s="33" t="s">
        <v>36</v>
      </c>
      <c r="H11" s="33" t="s">
        <v>37</v>
      </c>
      <c r="I11" s="33" t="s">
        <v>38</v>
      </c>
      <c r="J11" s="33" t="s">
        <v>39</v>
      </c>
      <c r="K11" s="33" t="s">
        <v>40</v>
      </c>
      <c r="L11" s="33" t="s">
        <v>41</v>
      </c>
      <c r="M11" s="33" t="s">
        <v>42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40.5" customHeight="1">
      <c r="A12" s="18"/>
      <c r="B12" s="34">
        <f>'PO Set Target attain level'!B20</f>
        <v>1</v>
      </c>
      <c r="C12" s="35" t="str">
        <f>'PO Set Target attain level'!C20</f>
        <v>CO1</v>
      </c>
      <c r="D12" s="36" t="str">
        <f>'PO Set Target attain level'!D20</f>
        <v>Perform basic operations on arrays</v>
      </c>
      <c r="E12" s="333" t="str">
        <f>'PO Set Target attain level'!E20</f>
        <v/>
      </c>
      <c r="F12" s="333" t="str">
        <f>'PO Set Target attain level'!F20</f>
        <v/>
      </c>
      <c r="G12" s="333" t="str">
        <f>'PO Set Target attain level'!G20</f>
        <v/>
      </c>
      <c r="H12" s="333" t="str">
        <f>'PO Set Target attain level'!H20</f>
        <v/>
      </c>
      <c r="I12" s="333" t="str">
        <f>'PO Set Target attain level'!I20</f>
        <v/>
      </c>
      <c r="J12" s="333" t="str">
        <f>'PO Set Target attain level'!J20</f>
        <v/>
      </c>
      <c r="K12" s="333" t="str">
        <f>'PO Set Target attain level'!K20</f>
        <v/>
      </c>
      <c r="L12" s="333" t="str">
        <f>'PO Set Target attain level'!L20</f>
        <v/>
      </c>
      <c r="M12" s="333" t="str">
        <f>'PO Set Target attain level'!M20</f>
        <v/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40.5" customHeight="1">
      <c r="A13" s="18"/>
      <c r="B13" s="34">
        <f>'PO Set Target attain level'!B21</f>
        <v>2</v>
      </c>
      <c r="C13" s="35" t="str">
        <f>'PO Set Target attain level'!C21</f>
        <v>CO2</v>
      </c>
      <c r="D13" s="39" t="str">
        <f>'PO Set Target attain level'!D21</f>
        <v> Apply different searching and sorting techniques.</v>
      </c>
      <c r="E13" s="333" t="str">
        <f>'PO Set Target attain level'!E21</f>
        <v/>
      </c>
      <c r="F13" s="333" t="str">
        <f>'PO Set Target attain level'!F21</f>
        <v/>
      </c>
      <c r="G13" s="333" t="str">
        <f>'PO Set Target attain level'!G21</f>
        <v/>
      </c>
      <c r="H13" s="333" t="str">
        <f>'PO Set Target attain level'!H21</f>
        <v/>
      </c>
      <c r="I13" s="333" t="str">
        <f>'PO Set Target attain level'!I21</f>
        <v/>
      </c>
      <c r="J13" s="333" t="str">
        <f>'PO Set Target attain level'!J21</f>
        <v/>
      </c>
      <c r="K13" s="333" t="str">
        <f>'PO Set Target attain level'!K21</f>
        <v/>
      </c>
      <c r="L13" s="333" t="str">
        <f>'PO Set Target attain level'!L21</f>
        <v/>
      </c>
      <c r="M13" s="333" t="str">
        <f>'PO Set Target attain level'!M21</f>
        <v/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40.5" customHeight="1">
      <c r="A14" s="18"/>
      <c r="B14" s="34">
        <f>'PO Set Target attain level'!B22</f>
        <v>3</v>
      </c>
      <c r="C14" s="35" t="str">
        <f>'PO Set Target attain level'!C22</f>
        <v>CO3</v>
      </c>
      <c r="D14" s="39" t="str">
        <f>'PO Set Target attain level'!D22</f>
        <v>Implement basic operations on stack and queue using array representation</v>
      </c>
      <c r="E14" s="333" t="str">
        <f>'PO Set Target attain level'!E22</f>
        <v/>
      </c>
      <c r="F14" s="333" t="str">
        <f>'PO Set Target attain level'!F22</f>
        <v/>
      </c>
      <c r="G14" s="333" t="str">
        <f>'PO Set Target attain level'!G22</f>
        <v/>
      </c>
      <c r="H14" s="333" t="str">
        <f>'PO Set Target attain level'!H22</f>
        <v/>
      </c>
      <c r="I14" s="333" t="str">
        <f>'PO Set Target attain level'!I22</f>
        <v/>
      </c>
      <c r="J14" s="333" t="str">
        <f>'PO Set Target attain level'!J22</f>
        <v/>
      </c>
      <c r="K14" s="333" t="str">
        <f>'PO Set Target attain level'!K22</f>
        <v/>
      </c>
      <c r="L14" s="333" t="str">
        <f>'PO Set Target attain level'!L22</f>
        <v/>
      </c>
      <c r="M14" s="333" t="str">
        <f>'PO Set Target attain level'!M22</f>
        <v/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40.5" customHeight="1">
      <c r="A15" s="18"/>
      <c r="B15" s="34">
        <f>'PO Set Target attain level'!B23</f>
        <v>4</v>
      </c>
      <c r="C15" s="35" t="str">
        <f>'PO Set Target attain level'!C23</f>
        <v>CO4</v>
      </c>
      <c r="D15" s="39" t="str">
        <f>'PO Set Target attain level'!D23</f>
        <v> Implement basic operations on Linked List</v>
      </c>
      <c r="E15" s="333" t="str">
        <f>'PO Set Target attain level'!E23</f>
        <v/>
      </c>
      <c r="F15" s="333" t="str">
        <f>'PO Set Target attain level'!F23</f>
        <v/>
      </c>
      <c r="G15" s="333" t="str">
        <f>'PO Set Target attain level'!G23</f>
        <v/>
      </c>
      <c r="H15" s="333" t="str">
        <f>'PO Set Target attain level'!H23</f>
        <v/>
      </c>
      <c r="I15" s="333" t="str">
        <f>'PO Set Target attain level'!I23</f>
        <v/>
      </c>
      <c r="J15" s="333" t="str">
        <f>'PO Set Target attain level'!J23</f>
        <v/>
      </c>
      <c r="K15" s="333" t="str">
        <f>'PO Set Target attain level'!K23</f>
        <v/>
      </c>
      <c r="L15" s="333" t="str">
        <f>'PO Set Target attain level'!L23</f>
        <v/>
      </c>
      <c r="M15" s="333" t="str">
        <f>'PO Set Target attain level'!M23</f>
        <v/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40.5" customHeight="1">
      <c r="A16" s="18"/>
      <c r="B16" s="34">
        <f>'PO Set Target attain level'!B24</f>
        <v>5</v>
      </c>
      <c r="C16" s="35" t="str">
        <f>'PO Set Target attain level'!C24</f>
        <v>CO5</v>
      </c>
      <c r="D16" s="39" t="str">
        <f>'PO Set Target attain level'!D24</f>
        <v>Implement program to create and traverse tree to solve problems</v>
      </c>
      <c r="E16" s="333"/>
      <c r="F16" s="333" t="str">
        <f>'PO Set Target attain level'!F24</f>
        <v/>
      </c>
      <c r="G16" s="333" t="str">
        <f>'PO Set Target attain level'!G24</f>
        <v/>
      </c>
      <c r="H16" s="333" t="str">
        <f>'PO Set Target attain level'!H24</f>
        <v/>
      </c>
      <c r="I16" s="333" t="str">
        <f>'PO Set Target attain level'!I24</f>
        <v/>
      </c>
      <c r="J16" s="333" t="str">
        <f>'PO Set Target attain level'!J24</f>
        <v/>
      </c>
      <c r="K16" s="333" t="str">
        <f>'PO Set Target attain level'!K24</f>
        <v/>
      </c>
      <c r="L16" s="333" t="str">
        <f>'PO Set Target attain level'!L24</f>
        <v/>
      </c>
      <c r="M16" s="333" t="str">
        <f>'PO Set Target attain level'!M24</f>
        <v/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33.75" customHeight="1">
      <c r="A17" s="18"/>
      <c r="B17" s="43" t="s">
        <v>248</v>
      </c>
      <c r="C17" s="24"/>
      <c r="D17" s="25"/>
      <c r="E17" s="35">
        <f t="shared" ref="E17:M17" si="1">IFERROR(AVERAGE(E12:E16),0)</f>
        <v>0</v>
      </c>
      <c r="F17" s="35">
        <f t="shared" si="1"/>
        <v>0</v>
      </c>
      <c r="G17" s="35">
        <f t="shared" si="1"/>
        <v>0</v>
      </c>
      <c r="H17" s="35">
        <f t="shared" si="1"/>
        <v>0</v>
      </c>
      <c r="I17" s="35">
        <f t="shared" si="1"/>
        <v>0</v>
      </c>
      <c r="J17" s="35">
        <f t="shared" si="1"/>
        <v>0</v>
      </c>
      <c r="K17" s="35">
        <f t="shared" si="1"/>
        <v>0</v>
      </c>
      <c r="L17" s="35">
        <f t="shared" si="1"/>
        <v>0</v>
      </c>
      <c r="M17" s="35">
        <f t="shared" si="1"/>
        <v>0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28.5" customHeight="1">
      <c r="A18" s="18"/>
      <c r="B18" s="44" t="s">
        <v>249</v>
      </c>
      <c r="C18" s="24"/>
      <c r="D18" s="25"/>
      <c r="E18" s="334">
        <f>E17*'Overall CO attainment'!I31/3</f>
        <v>0</v>
      </c>
      <c r="F18" s="334">
        <f>F17*'Overall CO attainment'!I31/3</f>
        <v>0</v>
      </c>
      <c r="G18" s="334">
        <f>G17*'Overall CO attainment'!I31/3</f>
        <v>0</v>
      </c>
      <c r="H18" s="334">
        <f>H17*'Overall CO attainment'!I31/3</f>
        <v>0</v>
      </c>
      <c r="I18" s="334">
        <f>I17*'Overall CO attainment'!I31/3</f>
        <v>0</v>
      </c>
      <c r="J18" s="334">
        <f>J17*'Overall CO attainment'!I31/3</f>
        <v>0</v>
      </c>
      <c r="K18" s="334">
        <f>K17*'Overall CO attainment'!I31/3</f>
        <v>0</v>
      </c>
      <c r="L18" s="334">
        <f>L17*'Overall CO attainment'!I31/3</f>
        <v>0</v>
      </c>
      <c r="M18" s="334">
        <f>M17*'Overall CO attainment'!I31/3</f>
        <v>0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15.75" hidden="1" customHeight="1">
      <c r="A19" s="18"/>
      <c r="B19" s="233" t="s">
        <v>210</v>
      </c>
      <c r="C19" s="24"/>
      <c r="D19" s="25"/>
      <c r="E19" s="234">
        <f t="shared" ref="E19:M19" si="2">ROUNDUP((E18/3)*100,2)</f>
        <v>0</v>
      </c>
      <c r="F19" s="234">
        <f t="shared" si="2"/>
        <v>0</v>
      </c>
      <c r="G19" s="234">
        <f t="shared" si="2"/>
        <v>0</v>
      </c>
      <c r="H19" s="234">
        <f t="shared" si="2"/>
        <v>0</v>
      </c>
      <c r="I19" s="234">
        <f t="shared" si="2"/>
        <v>0</v>
      </c>
      <c r="J19" s="234">
        <f t="shared" si="2"/>
        <v>0</v>
      </c>
      <c r="K19" s="234">
        <f t="shared" si="2"/>
        <v>0</v>
      </c>
      <c r="L19" s="234">
        <f t="shared" si="2"/>
        <v>0</v>
      </c>
      <c r="M19" s="234">
        <f t="shared" si="2"/>
        <v>0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15.75" customHeight="1">
      <c r="A21" s="18"/>
      <c r="B21" s="18"/>
      <c r="C21" s="18"/>
      <c r="D21" s="18"/>
      <c r="E21" s="335"/>
      <c r="F21" s="335"/>
      <c r="G21" s="335"/>
      <c r="H21" s="335"/>
      <c r="I21" s="335"/>
      <c r="J21" s="335"/>
      <c r="K21" s="335"/>
      <c r="L21" s="335"/>
      <c r="M21" s="335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47" t="s">
        <v>46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49" t="s">
        <v>47</v>
      </c>
      <c r="K23" s="7"/>
      <c r="L23" s="7"/>
      <c r="M23" s="7"/>
      <c r="N23" s="48"/>
      <c r="O23" s="4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15.75" customHeight="1">
      <c r="A30" s="18"/>
      <c r="B30" s="18"/>
      <c r="C30" s="18"/>
      <c r="D30" s="18"/>
      <c r="E30" s="18"/>
      <c r="F30" s="18"/>
      <c r="G30" s="18"/>
      <c r="H30" s="17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ht="15.75" customHeight="1">
      <c r="A31" s="18"/>
      <c r="B31" s="18"/>
      <c r="C31" s="18"/>
      <c r="D31" s="18"/>
      <c r="E31" s="18"/>
      <c r="F31" s="18"/>
      <c r="G31" s="18"/>
      <c r="H31" s="17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9:D11"/>
    <mergeCell ref="B17:D17"/>
    <mergeCell ref="B18:D18"/>
    <mergeCell ref="B19:D19"/>
    <mergeCell ref="J22:M22"/>
    <mergeCell ref="J23:M23"/>
    <mergeCell ref="D2:E2"/>
    <mergeCell ref="D3:E3"/>
    <mergeCell ref="D4:E4"/>
    <mergeCell ref="D5:E5"/>
    <mergeCell ref="B9:B11"/>
    <mergeCell ref="E9:K9"/>
    <mergeCell ref="L9:M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2019-05-31T18:42:57Z</dcterms:created>
  <dc:creator>hp</dc:creator>
</cp:coreProperties>
</file>