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23 UT1 DSU 22317" sheetId="1" r:id="rId5"/>
  </sheets>
  <definedNames/>
  <calcPr/>
</workbook>
</file>

<file path=xl/sharedStrings.xml><?xml version="1.0" encoding="utf-8"?>
<sst xmlns="http://schemas.openxmlformats.org/spreadsheetml/2006/main" count="166" uniqueCount="160">
  <si>
    <t xml:space="preserve">GOVERNMENT POLYTECHNIC, OSMANABAD                           </t>
  </si>
  <si>
    <t>COMPUTER ENGINEERING DEPARTMENT : CO WISE MARKS OBTAINED BY STUDENTS  UNIT TEST 1 : DATED 04/09/2023</t>
  </si>
  <si>
    <t xml:space="preserve">Academic Year : - 2023-24                                                                                                                                                           Name of Faculty :- Mr. A. D. Ambure      </t>
  </si>
  <si>
    <t>Subject &amp; Code: -DSU (22317)                                                        Course &amp; Code :-CO3I                                                                                       Semester:- THIRD</t>
  </si>
  <si>
    <t xml:space="preserve">Question 1 - (MAX MARKS - 2*5=10) </t>
  </si>
  <si>
    <t xml:space="preserve">Question 2 - ( MAX MARKS - 4* 4 = 16)                        </t>
  </si>
  <si>
    <t>Timestamp</t>
  </si>
  <si>
    <t>Email Address</t>
  </si>
  <si>
    <t xml:space="preserve">Roll No. </t>
  </si>
  <si>
    <t xml:space="preserve">Enrollment No. </t>
  </si>
  <si>
    <t xml:space="preserve">Full Name </t>
  </si>
  <si>
    <r>
      <rPr>
        <rFont val="Verdana"/>
        <b/>
        <color theme="1"/>
        <sz val="10.0"/>
      </rPr>
      <t xml:space="preserve">Q1-A </t>
    </r>
    <r>
      <rPr>
        <rFont val="Verdana"/>
        <color theme="1"/>
        <sz val="10.0"/>
      </rPr>
      <t>(</t>
    </r>
    <r>
      <rPr>
        <rFont val="Verdana"/>
        <i/>
        <color theme="1"/>
        <sz val="10.0"/>
      </rPr>
      <t xml:space="preserve">ENTER MARKS OBTAINED </t>
    </r>
    <r>
      <rPr>
        <rFont val="Verdana"/>
        <color theme="1"/>
        <sz val="10.0"/>
      </rPr>
      <t>)</t>
    </r>
  </si>
  <si>
    <r>
      <rPr>
        <rFont val="Verdana"/>
        <b/>
        <color theme="1"/>
        <sz val="10.0"/>
      </rPr>
      <t xml:space="preserve">Q1-B </t>
    </r>
    <r>
      <rPr>
        <rFont val="Verdana"/>
        <color theme="1"/>
        <sz val="10.0"/>
      </rPr>
      <t>(</t>
    </r>
    <r>
      <rPr>
        <rFont val="Verdana"/>
        <i/>
        <color theme="1"/>
        <sz val="10.0"/>
      </rPr>
      <t xml:space="preserve">ENTER MARKS OBTAINED </t>
    </r>
    <r>
      <rPr>
        <rFont val="Verdana"/>
        <color theme="1"/>
        <sz val="10.0"/>
      </rPr>
      <t>)</t>
    </r>
  </si>
  <si>
    <r>
      <rPr>
        <rFont val="Verdana"/>
        <b/>
        <color theme="1"/>
        <sz val="10.0"/>
      </rPr>
      <t xml:space="preserve">Q1-C </t>
    </r>
    <r>
      <rPr>
        <rFont val="Verdana"/>
        <color theme="1"/>
        <sz val="10.0"/>
      </rPr>
      <t>(</t>
    </r>
    <r>
      <rPr>
        <rFont val="Verdana"/>
        <i/>
        <color theme="1"/>
        <sz val="10.0"/>
      </rPr>
      <t xml:space="preserve">ENTER MARKS OBTAINED </t>
    </r>
    <r>
      <rPr>
        <rFont val="Verdana"/>
        <color theme="1"/>
        <sz val="10.0"/>
      </rPr>
      <t>)</t>
    </r>
  </si>
  <si>
    <r>
      <rPr>
        <rFont val="Verdana"/>
        <b/>
        <color theme="1"/>
        <sz val="10.0"/>
      </rPr>
      <t xml:space="preserve">Q1-D </t>
    </r>
    <r>
      <rPr>
        <rFont val="Verdana"/>
        <color theme="1"/>
        <sz val="10.0"/>
      </rPr>
      <t>(</t>
    </r>
    <r>
      <rPr>
        <rFont val="Verdana"/>
        <i/>
        <color theme="1"/>
        <sz val="10.0"/>
      </rPr>
      <t xml:space="preserve">ENTER MARKS OBTAINED </t>
    </r>
    <r>
      <rPr>
        <rFont val="Verdana"/>
        <color theme="1"/>
        <sz val="10.0"/>
      </rPr>
      <t>)</t>
    </r>
  </si>
  <si>
    <r>
      <rPr>
        <rFont val="Verdana"/>
        <b/>
        <color theme="1"/>
        <sz val="10.0"/>
      </rPr>
      <t xml:space="preserve">Q1-E </t>
    </r>
    <r>
      <rPr>
        <rFont val="Verdana"/>
        <color theme="1"/>
        <sz val="10.0"/>
      </rPr>
      <t>(</t>
    </r>
    <r>
      <rPr>
        <rFont val="Verdana"/>
        <i/>
        <color theme="1"/>
        <sz val="10.0"/>
      </rPr>
      <t xml:space="preserve">ENTER MARKS OBTAINED </t>
    </r>
    <r>
      <rPr>
        <rFont val="Verdana"/>
        <color theme="1"/>
        <sz val="10.0"/>
      </rPr>
      <t>)</t>
    </r>
  </si>
  <si>
    <r>
      <rPr>
        <rFont val="Verdana"/>
        <b/>
        <color theme="1"/>
        <sz val="10.0"/>
      </rPr>
      <t xml:space="preserve">Q1-F </t>
    </r>
    <r>
      <rPr>
        <rFont val="Verdana"/>
        <color theme="1"/>
        <sz val="10.0"/>
      </rPr>
      <t>(</t>
    </r>
    <r>
      <rPr>
        <rFont val="Verdana"/>
        <i/>
        <color theme="1"/>
        <sz val="10.0"/>
      </rPr>
      <t xml:space="preserve">ENTER MARKS OBTAINED </t>
    </r>
    <r>
      <rPr>
        <rFont val="Verdana"/>
        <color theme="1"/>
        <sz val="10.0"/>
      </rPr>
      <t>)</t>
    </r>
  </si>
  <si>
    <r>
      <rPr>
        <rFont val="Verdana"/>
        <b/>
        <color theme="1"/>
        <sz val="10.0"/>
      </rPr>
      <t xml:space="preserve">Q2-A </t>
    </r>
    <r>
      <rPr>
        <rFont val="Verdana"/>
        <color theme="1"/>
        <sz val="10.0"/>
      </rPr>
      <t>(</t>
    </r>
    <r>
      <rPr>
        <rFont val="Verdana"/>
        <i/>
        <color theme="1"/>
        <sz val="10.0"/>
      </rPr>
      <t xml:space="preserve">ENTER MARKS OBTAINED </t>
    </r>
    <r>
      <rPr>
        <rFont val="Verdana"/>
        <color theme="1"/>
        <sz val="10.0"/>
      </rPr>
      <t>)</t>
    </r>
  </si>
  <si>
    <r>
      <rPr>
        <rFont val="Verdana"/>
        <b/>
        <color theme="1"/>
        <sz val="10.0"/>
      </rPr>
      <t xml:space="preserve">Q2-B </t>
    </r>
    <r>
      <rPr>
        <rFont val="Verdana"/>
        <color theme="1"/>
        <sz val="10.0"/>
      </rPr>
      <t>(</t>
    </r>
    <r>
      <rPr>
        <rFont val="Verdana"/>
        <i/>
        <color theme="1"/>
        <sz val="10.0"/>
      </rPr>
      <t xml:space="preserve">ENTER MARKS OBTAINED </t>
    </r>
    <r>
      <rPr>
        <rFont val="Verdana"/>
        <color theme="1"/>
        <sz val="10.0"/>
      </rPr>
      <t>)</t>
    </r>
  </si>
  <si>
    <r>
      <rPr>
        <rFont val="Verdana"/>
        <b/>
        <color theme="1"/>
        <sz val="10.0"/>
      </rPr>
      <t xml:space="preserve">Q2-C </t>
    </r>
    <r>
      <rPr>
        <rFont val="Verdana"/>
        <color theme="1"/>
        <sz val="10.0"/>
      </rPr>
      <t>(</t>
    </r>
    <r>
      <rPr>
        <rFont val="Verdana"/>
        <i/>
        <color theme="1"/>
        <sz val="10.0"/>
      </rPr>
      <t xml:space="preserve">ENTER MARKS OBTAINED </t>
    </r>
    <r>
      <rPr>
        <rFont val="Verdana"/>
        <color theme="1"/>
        <sz val="10.0"/>
      </rPr>
      <t>)</t>
    </r>
  </si>
  <si>
    <r>
      <rPr>
        <rFont val="Verdana"/>
        <b/>
        <color theme="1"/>
        <sz val="10.0"/>
      </rPr>
      <t xml:space="preserve">Q2-D </t>
    </r>
    <r>
      <rPr>
        <rFont val="Verdana"/>
        <color theme="1"/>
        <sz val="10.0"/>
      </rPr>
      <t>(</t>
    </r>
    <r>
      <rPr>
        <rFont val="Verdana"/>
        <i/>
        <color theme="1"/>
        <sz val="10.0"/>
      </rPr>
      <t xml:space="preserve">ENTER MARKS OBTAINED </t>
    </r>
    <r>
      <rPr>
        <rFont val="Verdana"/>
        <color theme="1"/>
        <sz val="10.0"/>
      </rPr>
      <t>)</t>
    </r>
  </si>
  <si>
    <t>Total Marks Out of 20</t>
  </si>
  <si>
    <t>Total Marks Out of 26</t>
  </si>
  <si>
    <t>Marks obtained by student</t>
  </si>
  <si>
    <t>garadanjali573@gmail.com</t>
  </si>
  <si>
    <t xml:space="preserve">Garad Anjali Nitin </t>
  </si>
  <si>
    <t>gauriwalande67@gmail.com</t>
  </si>
  <si>
    <t xml:space="preserve">Walande Gauri Dayanand </t>
  </si>
  <si>
    <t>sarthakzunjure259@gmail.com</t>
  </si>
  <si>
    <t xml:space="preserve">Sarthak Zunjure </t>
  </si>
  <si>
    <t>damodarrawan@gmail.com</t>
  </si>
  <si>
    <t xml:space="preserve">Bhande Gayatri Damodar </t>
  </si>
  <si>
    <t>mundhegayatri2006@gmail.com</t>
  </si>
  <si>
    <t xml:space="preserve">Mundhe Gayatri Parmeshwar </t>
  </si>
  <si>
    <t>yradha122@gmail.com</t>
  </si>
  <si>
    <t xml:space="preserve">Radha Samadhan Yadav </t>
  </si>
  <si>
    <t>mansideshmane10@gmail.com</t>
  </si>
  <si>
    <t xml:space="preserve">Deshmane Mansi Siddheshwar </t>
  </si>
  <si>
    <t>gawalgadadepooja@gmail.com</t>
  </si>
  <si>
    <t xml:space="preserve">Gawalgadade pooja arvind </t>
  </si>
  <si>
    <t>jaintanu2473@gmail.com</t>
  </si>
  <si>
    <t xml:space="preserve">Jain Tanisha Shailesh </t>
  </si>
  <si>
    <t>siddhimaindarge17@gmail.com</t>
  </si>
  <si>
    <t xml:space="preserve">Maindarge Siddhi Prasad </t>
  </si>
  <si>
    <t>vaishnavibhosale853@gmail.com</t>
  </si>
  <si>
    <t xml:space="preserve">Bhosale vaishnavi dayanand </t>
  </si>
  <si>
    <t>saniyaattar2306@gmail.com</t>
  </si>
  <si>
    <t xml:space="preserve">Attar Saniya Vajir </t>
  </si>
  <si>
    <t>snehanalwade89@gmail.com</t>
  </si>
  <si>
    <t>Nalwade Sneha Netaji</t>
  </si>
  <si>
    <t>pankajadhe12@gmail.com</t>
  </si>
  <si>
    <t>Pankaj ram aadhe</t>
  </si>
  <si>
    <t>budgevishakha088@gmail.com</t>
  </si>
  <si>
    <t>Budge vishakha venkat</t>
  </si>
  <si>
    <t>pawarpratiksha553@gmail.com</t>
  </si>
  <si>
    <t xml:space="preserve">Pawar Pratiksha Vitthal </t>
  </si>
  <si>
    <t>rauwaghmare15@gmail.com</t>
  </si>
  <si>
    <t xml:space="preserve">Waghmare Rau Hanmant </t>
  </si>
  <si>
    <t>shrutimahajan866@gmail.com</t>
  </si>
  <si>
    <t>Shruti Dilip Mahajan</t>
  </si>
  <si>
    <t>gayatrichandane2006@gmail.com</t>
  </si>
  <si>
    <t>Gayatri Prashant Chandane</t>
  </si>
  <si>
    <t>shravanishrikantjoshi2006@gmail.com</t>
  </si>
  <si>
    <t xml:space="preserve">Joshi shravani shrikant </t>
  </si>
  <si>
    <t>anushkabmane95@gmail.com</t>
  </si>
  <si>
    <t xml:space="preserve">Mane Anushka Balasaheb </t>
  </si>
  <si>
    <t>maheshgadekar406@gmail.com</t>
  </si>
  <si>
    <t xml:space="preserve">Mahesh Balaji Gadekar </t>
  </si>
  <si>
    <t>swanandi1802@gmail.com</t>
  </si>
  <si>
    <t xml:space="preserve">Swanandi Deshmukh </t>
  </si>
  <si>
    <t>shivamlagdive6@gmail.com</t>
  </si>
  <si>
    <t xml:space="preserve">Lagdive Shivam Nitin </t>
  </si>
  <si>
    <t>poojasarphale2712@gmail.com</t>
  </si>
  <si>
    <t xml:space="preserve">Pooja Sadashiv Sarphale </t>
  </si>
  <si>
    <t>abhishekwaghmare701@gmail.com</t>
  </si>
  <si>
    <t xml:space="preserve">Abhishek Somnath Waghmare </t>
  </si>
  <si>
    <t>rohinikbale242@gmail.com</t>
  </si>
  <si>
    <t xml:space="preserve">Kamble Rohini Rupesh </t>
  </si>
  <si>
    <t>sanskrutisudhirrochkari@gmail.com</t>
  </si>
  <si>
    <t xml:space="preserve">Sanskruti Sudhir Rochkari </t>
  </si>
  <si>
    <t>apurvanimbalkar542@gmail.com</t>
  </si>
  <si>
    <t>Nimbalkar Apurva Bhujang</t>
  </si>
  <si>
    <t>samarthkshirsagar381@gmail.com</t>
  </si>
  <si>
    <t xml:space="preserve">Kshirsagar samarth Dattatray </t>
  </si>
  <si>
    <t>masihasilveya@gmail.com</t>
  </si>
  <si>
    <t>Masiha Silveya Santosh</t>
  </si>
  <si>
    <t>priyakawade09@gmail.com</t>
  </si>
  <si>
    <t>Kawade Priya Shankar</t>
  </si>
  <si>
    <t>patilpranita825@gmail.com</t>
  </si>
  <si>
    <t xml:space="preserve">Patil Pranita Pravin </t>
  </si>
  <si>
    <t>rohangavali1167@gmail.com</t>
  </si>
  <si>
    <t>Rohan dnyandeo gavali</t>
  </si>
  <si>
    <t>gaikwadvasudha96@gmail.com</t>
  </si>
  <si>
    <t>Vasudha sandipan Gaikwad</t>
  </si>
  <si>
    <t xml:space="preserve">Sanket Narendra Gore </t>
  </si>
  <si>
    <t>hinganesakshi8@gmail.com</t>
  </si>
  <si>
    <t xml:space="preserve">Hingane sakshi Satish </t>
  </si>
  <si>
    <t>shreyasjadhav1302@gmail.com</t>
  </si>
  <si>
    <t xml:space="preserve">Shreyas Yadavrao jadhav </t>
  </si>
  <si>
    <t>komalwakale751@gamil.com</t>
  </si>
  <si>
    <t xml:space="preserve">Komal Santosh Wakale </t>
  </si>
  <si>
    <t>kalepranita2004@gmail.com</t>
  </si>
  <si>
    <t xml:space="preserve">Kale Pranita Namdev </t>
  </si>
  <si>
    <t>Mahesh Hanumant Kharke</t>
  </si>
  <si>
    <t>Shriram Parve</t>
  </si>
  <si>
    <t>surajkolnure@gmail.com</t>
  </si>
  <si>
    <t>Suraj Rajendra Kolnure</t>
  </si>
  <si>
    <t>adityakandle937@gmail.com</t>
  </si>
  <si>
    <t>Kandle Aditya Vilas</t>
  </si>
  <si>
    <t>baratevarsharani@gmail.com</t>
  </si>
  <si>
    <t xml:space="preserve">Barate Varsharani Dadasaheb </t>
  </si>
  <si>
    <t xml:space="preserve">Barate Aaditi Dadasaheb </t>
  </si>
  <si>
    <t>sanikathorave887@gmail.com</t>
  </si>
  <si>
    <t xml:space="preserve">Thorave Sanika Ambadas </t>
  </si>
  <si>
    <t>aakankshakulkarni2006@gmail.com</t>
  </si>
  <si>
    <t xml:space="preserve">Aakanksha kamlesh Kulkarni </t>
  </si>
  <si>
    <t>gaikwadgayatri2007@gmail.com</t>
  </si>
  <si>
    <t xml:space="preserve">Gaikwad Gayatri Suresh </t>
  </si>
  <si>
    <t>sakshisarolkar@gmail.com</t>
  </si>
  <si>
    <t xml:space="preserve">Sakshi Shamsundar sarolkar </t>
  </si>
  <si>
    <t>sanketjagtap506@gmail.com</t>
  </si>
  <si>
    <t>Sanket Narayan Jagtap</t>
  </si>
  <si>
    <t>dhappadhulevaishnavi961@gmail.com</t>
  </si>
  <si>
    <t>Dhappadhule vaishnavi sachin</t>
  </si>
  <si>
    <t>wbaban706@gmail.com</t>
  </si>
  <si>
    <t>Waghmare amar baban</t>
  </si>
  <si>
    <t>dhepeaditya2@gmail.com</t>
  </si>
  <si>
    <t xml:space="preserve">Dhepe Vaishnavi Revannath </t>
  </si>
  <si>
    <t>gunmanjiribagade12@gmail.com</t>
  </si>
  <si>
    <t>Gunmanjiri Purushottam Bagade</t>
  </si>
  <si>
    <t>Sneha Mule</t>
  </si>
  <si>
    <t>pranavkamble7774@gmail.com</t>
  </si>
  <si>
    <t xml:space="preserve">Pranav kamble </t>
  </si>
  <si>
    <t>rathodujjwla@gmail.com</t>
  </si>
  <si>
    <t xml:space="preserve">Rathod ujjwala vinod </t>
  </si>
  <si>
    <t xml:space="preserve">Chavan Pooja balasaheb </t>
  </si>
  <si>
    <t>viveknahane@gmail.com</t>
  </si>
  <si>
    <t xml:space="preserve">Nahane Vivek kakasaheb </t>
  </si>
  <si>
    <t>SOMVANSHI MADHAV SHRIRANG</t>
  </si>
  <si>
    <t>SWAMI KEDAR RACHAPPA</t>
  </si>
  <si>
    <t>kaleaditya744@gmail.com</t>
  </si>
  <si>
    <t>Aditya Suresh kale</t>
  </si>
  <si>
    <t>bansodevinayak2004@gmail.com</t>
  </si>
  <si>
    <t>DSD2310948</t>
  </si>
  <si>
    <t>Bansode Vinayak Babruwan</t>
  </si>
  <si>
    <t>DSD23118671</t>
  </si>
  <si>
    <t>ISHWARI ASHOK HAWALE</t>
  </si>
  <si>
    <t>sanjyotjadhav05@gmail.com</t>
  </si>
  <si>
    <t>DSD2310094</t>
  </si>
  <si>
    <t xml:space="preserve">Jadhav sanjyot shyam </t>
  </si>
  <si>
    <t>shubhamkanlod15@gmail.com</t>
  </si>
  <si>
    <t>DSD2314736</t>
  </si>
  <si>
    <t>Shubham ganpat kanlod</t>
  </si>
  <si>
    <t>kishanphulari900@gmail.com</t>
  </si>
  <si>
    <t>DSD23150162</t>
  </si>
  <si>
    <t>Vishwajeet Umesh phulari</t>
  </si>
  <si>
    <t>DSD23121428</t>
  </si>
  <si>
    <t>POUL RADHA SANJAY</t>
  </si>
  <si>
    <t>DSD23115395</t>
  </si>
  <si>
    <t>VHOTTE SHRUTIKA VAIJNATH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</si>
</sst>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yy h:mm:ss"/>
  </numFmts>
  <fonts count="13">
    <font>
      <sz val="10.0"/>
      <color rgb="FF000000"/>
      <name val="Arial"/>
      <scheme val="minor"/>
    </font>
    <font>
      <b/>
      <sz val="15.0"/>
      <color theme="1"/>
      <name val="Verdana"/>
    </font>
    <font/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Verdana"/>
    </font>
    <font>
      <sz val="12.0"/>
      <color theme="1"/>
      <name val="Verdana"/>
    </font>
    <font>
      <b/>
      <sz val="12.0"/>
      <color theme="1"/>
      <name val="Verdana"/>
    </font>
    <font>
      <sz val="11.0"/>
      <color theme="1"/>
      <name val="Verdana"/>
    </font>
    <font>
      <b/>
      <sz val="11.0"/>
      <color theme="1"/>
      <name val="Verdana"/>
    </font>
    <font>
      <b/>
      <sz val="10.0"/>
      <color theme="1"/>
      <name val="Verdana"/>
    </font>
    <font>
      <color theme="1"/>
      <name val="Verdana"/>
    </font>
    <font>
      <b/>
      <color theme="1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0" fillId="0" fontId="4" numFmtId="0" xfId="0" applyFont="1"/>
    <xf borderId="1" fillId="3" fontId="5" numFmtId="164" xfId="0" applyAlignment="1" applyBorder="1" applyFill="1" applyFont="1" applyNumberFormat="1">
      <alignment horizontal="center" shrinkToFit="0" vertical="center" wrapText="1"/>
    </xf>
    <xf borderId="1" fillId="4" fontId="5" numFmtId="164" xfId="0" applyAlignment="1" applyBorder="1" applyFill="1" applyFont="1" applyNumberFormat="1">
      <alignment horizontal="center" shrinkToFit="0" vertical="center" wrapText="1"/>
    </xf>
    <xf borderId="0" fillId="0" fontId="5" numFmtId="0" xfId="0" applyFont="1"/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3" fontId="5" numFmtId="164" xfId="0" applyAlignment="1" applyBorder="1" applyFont="1" applyNumberFormat="1">
      <alignment horizontal="center" shrinkToFit="0" vertical="center" wrapText="1"/>
    </xf>
    <xf borderId="4" fillId="4" fontId="5" numFmtId="164" xfId="0" applyAlignment="1" applyBorder="1" applyFont="1" applyNumberFormat="1">
      <alignment horizontal="center" shrinkToFit="0" vertical="center" wrapText="1"/>
    </xf>
    <xf borderId="4" fillId="3" fontId="8" numFmtId="164" xfId="0" applyAlignment="1" applyBorder="1" applyFont="1" applyNumberFormat="1">
      <alignment horizontal="center" shrinkToFit="0" vertical="center" wrapText="1"/>
    </xf>
    <xf borderId="4" fillId="4" fontId="8" numFmtId="164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1" numFmtId="165" xfId="0" applyAlignment="1" applyBorder="1" applyFont="1" applyNumberFormat="1">
      <alignment horizontal="center" readingOrder="0"/>
    </xf>
    <xf borderId="4" fillId="0" fontId="11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/>
    </xf>
    <xf borderId="4" fillId="6" fontId="9" numFmtId="0" xfId="0" applyAlignment="1" applyBorder="1" applyFill="1" applyFont="1">
      <alignment horizontal="center" readingOrder="0"/>
    </xf>
    <xf borderId="4" fillId="6" fontId="12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8.88"/>
    <col customWidth="1" min="2" max="2" width="31.63"/>
    <col customWidth="1" min="3" max="3" width="9.38"/>
    <col customWidth="1" min="4" max="4" width="16.75"/>
    <col customWidth="1" min="5" max="5" width="35.25"/>
    <col customWidth="1" min="6" max="14" width="8.38"/>
    <col customWidth="1" min="15" max="15" width="11.63"/>
    <col customWidth="1" min="16" max="16" width="7.75"/>
    <col customWidth="1" min="17" max="17" width="7.63"/>
    <col customWidth="1" min="18" max="18" width="8.75"/>
    <col customWidth="1" min="19" max="19" width="7.88"/>
    <col customWidth="1" min="20" max="20" width="8.63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3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28.5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</row>
    <row r="4" ht="36.0" customHeight="1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5" ht="31.5" customHeight="1">
      <c r="A5" s="5"/>
      <c r="B5" s="5"/>
      <c r="C5" s="6"/>
      <c r="D5" s="6"/>
      <c r="E5" s="6"/>
      <c r="F5" s="7" t="s">
        <v>4</v>
      </c>
      <c r="G5" s="2"/>
      <c r="H5" s="2"/>
      <c r="I5" s="2"/>
      <c r="J5" s="2"/>
      <c r="K5" s="3"/>
      <c r="L5" s="8" t="s">
        <v>5</v>
      </c>
      <c r="M5" s="2"/>
      <c r="N5" s="2"/>
      <c r="O5" s="3"/>
      <c r="P5" s="9"/>
      <c r="Q5" s="9"/>
      <c r="R5" s="9"/>
      <c r="S5" s="9"/>
      <c r="T5" s="9"/>
    </row>
    <row r="6" ht="90.0" customHeight="1">
      <c r="A6" s="10" t="s">
        <v>6</v>
      </c>
      <c r="B6" s="10" t="s">
        <v>7</v>
      </c>
      <c r="C6" s="11" t="s">
        <v>8</v>
      </c>
      <c r="D6" s="11" t="s">
        <v>9</v>
      </c>
      <c r="E6" s="11" t="s">
        <v>10</v>
      </c>
      <c r="F6" s="12" t="s">
        <v>11</v>
      </c>
      <c r="G6" s="12" t="s">
        <v>12</v>
      </c>
      <c r="H6" s="12" t="s">
        <v>13</v>
      </c>
      <c r="I6" s="12" t="s">
        <v>14</v>
      </c>
      <c r="J6" s="12" t="s">
        <v>15</v>
      </c>
      <c r="K6" s="12" t="s">
        <v>16</v>
      </c>
      <c r="L6" s="13" t="s">
        <v>17</v>
      </c>
      <c r="M6" s="13" t="s">
        <v>18</v>
      </c>
      <c r="N6" s="13" t="s">
        <v>19</v>
      </c>
      <c r="O6" s="13" t="s">
        <v>20</v>
      </c>
      <c r="P6" s="14">
        <v>45148.0</v>
      </c>
      <c r="Q6" s="15">
        <v>45276.0</v>
      </c>
      <c r="R6" s="16" t="s">
        <v>21</v>
      </c>
      <c r="S6" s="17" t="s">
        <v>22</v>
      </c>
      <c r="T6" s="18" t="s">
        <v>23</v>
      </c>
    </row>
    <row r="7">
      <c r="A7" s="19">
        <v>45195.63464386574</v>
      </c>
      <c r="B7" s="20" t="s">
        <v>24</v>
      </c>
      <c r="C7" s="21">
        <v>1.0</v>
      </c>
      <c r="D7" s="21">
        <v>2.201180002E9</v>
      </c>
      <c r="E7" s="22" t="s">
        <v>25</v>
      </c>
      <c r="F7" s="23">
        <v>-1.0</v>
      </c>
      <c r="G7" s="23">
        <v>-1.0</v>
      </c>
      <c r="H7" s="23">
        <v>-1.0</v>
      </c>
      <c r="I7" s="23">
        <v>-1.0</v>
      </c>
      <c r="J7" s="23">
        <v>-1.0</v>
      </c>
      <c r="K7" s="23">
        <v>-1.0</v>
      </c>
      <c r="L7" s="23">
        <v>-1.0</v>
      </c>
      <c r="M7" s="23">
        <v>-1.0</v>
      </c>
      <c r="N7" s="23">
        <v>-1.0</v>
      </c>
      <c r="O7" s="23">
        <v>1.0</v>
      </c>
      <c r="P7" s="24">
        <f t="array" ref="P7">sumif(LARGE(F7:K7,{1,2,3,4}),"&gt;0")</f>
        <v>0</v>
      </c>
      <c r="Q7" s="24">
        <f t="array" ref="Q7">sumif(LARGE(L7:O7,{1,2,3}),"&gt;0")</f>
        <v>1</v>
      </c>
      <c r="R7" s="24">
        <f t="shared" ref="R7:R66" si="1">SUM(P7:Q7)</f>
        <v>1</v>
      </c>
      <c r="S7" s="24">
        <f t="shared" ref="S7:S66" si="2">sumif(F7:O7,"&gt;0")</f>
        <v>1</v>
      </c>
      <c r="T7" s="25">
        <v>1.0</v>
      </c>
    </row>
    <row r="8">
      <c r="A8" s="19">
        <v>45195.63982679398</v>
      </c>
      <c r="B8" s="20" t="s">
        <v>26</v>
      </c>
      <c r="C8" s="21">
        <v>2.0</v>
      </c>
      <c r="D8" s="21">
        <v>2.201180003E9</v>
      </c>
      <c r="E8" s="22" t="s">
        <v>27</v>
      </c>
      <c r="F8" s="23">
        <v>2.0</v>
      </c>
      <c r="G8" s="23">
        <v>1.0</v>
      </c>
      <c r="H8" s="23">
        <v>2.0</v>
      </c>
      <c r="I8" s="23">
        <v>1.0</v>
      </c>
      <c r="J8" s="23">
        <v>2.0</v>
      </c>
      <c r="K8" s="23">
        <v>1.0</v>
      </c>
      <c r="L8" s="23">
        <v>1.0</v>
      </c>
      <c r="M8" s="23">
        <v>-1.0</v>
      </c>
      <c r="N8" s="23">
        <v>3.0</v>
      </c>
      <c r="O8" s="23">
        <v>4.0</v>
      </c>
      <c r="P8" s="24">
        <f t="array" ref="P8">sumif(LARGE(F8:K8,{1,2,3,4}),"&gt;0")</f>
        <v>7</v>
      </c>
      <c r="Q8" s="24">
        <f t="array" ref="Q8">sumif(LARGE(L8:O8,{1,2,3}),"&gt;0")</f>
        <v>8</v>
      </c>
      <c r="R8" s="24">
        <f t="shared" si="1"/>
        <v>15</v>
      </c>
      <c r="S8" s="24">
        <f t="shared" si="2"/>
        <v>17</v>
      </c>
      <c r="T8" s="25">
        <v>15.0</v>
      </c>
    </row>
    <row r="9">
      <c r="A9" s="19">
        <v>45195.63552246528</v>
      </c>
      <c r="B9" s="20" t="s">
        <v>28</v>
      </c>
      <c r="C9" s="21">
        <v>3.0</v>
      </c>
      <c r="D9" s="21">
        <v>2.201180004E9</v>
      </c>
      <c r="E9" s="22" t="s">
        <v>29</v>
      </c>
      <c r="F9" s="23">
        <v>2.0</v>
      </c>
      <c r="G9" s="23">
        <v>2.0</v>
      </c>
      <c r="H9" s="23">
        <v>2.0</v>
      </c>
      <c r="I9" s="23">
        <v>2.0</v>
      </c>
      <c r="J9" s="23">
        <v>2.0</v>
      </c>
      <c r="K9" s="23">
        <v>-1.0</v>
      </c>
      <c r="L9" s="23">
        <v>-1.0</v>
      </c>
      <c r="M9" s="23">
        <v>4.0</v>
      </c>
      <c r="N9" s="23">
        <v>4.0</v>
      </c>
      <c r="O9" s="23">
        <v>4.0</v>
      </c>
      <c r="P9" s="24">
        <f t="array" ref="P9">sumif(LARGE(F9:K9,{1,2,3,4}),"&gt;0")</f>
        <v>8</v>
      </c>
      <c r="Q9" s="24">
        <f t="array" ref="Q9">sumif(LARGE(L9:O9,{1,2,3}),"&gt;0")</f>
        <v>12</v>
      </c>
      <c r="R9" s="24">
        <f t="shared" si="1"/>
        <v>20</v>
      </c>
      <c r="S9" s="24">
        <f t="shared" si="2"/>
        <v>22</v>
      </c>
      <c r="T9" s="25">
        <v>20.0</v>
      </c>
    </row>
    <row r="10">
      <c r="A10" s="19">
        <v>45195.6371777662</v>
      </c>
      <c r="B10" s="20" t="s">
        <v>30</v>
      </c>
      <c r="C10" s="21">
        <v>4.0</v>
      </c>
      <c r="D10" s="21">
        <v>2.201180005E9</v>
      </c>
      <c r="E10" s="22" t="s">
        <v>31</v>
      </c>
      <c r="F10" s="23">
        <v>2.0</v>
      </c>
      <c r="G10" s="23">
        <v>2.0</v>
      </c>
      <c r="H10" s="23">
        <v>2.0</v>
      </c>
      <c r="I10" s="23">
        <v>2.0</v>
      </c>
      <c r="J10" s="23">
        <v>2.0</v>
      </c>
      <c r="K10" s="23">
        <v>2.0</v>
      </c>
      <c r="L10" s="23">
        <v>2.0</v>
      </c>
      <c r="M10" s="23">
        <v>4.0</v>
      </c>
      <c r="N10" s="23">
        <v>3.0</v>
      </c>
      <c r="O10" s="23">
        <v>3.0</v>
      </c>
      <c r="P10" s="24">
        <f t="array" ref="P10">sumif(LARGE(F10:K10,{1,2,3,4}),"&gt;0")</f>
        <v>8</v>
      </c>
      <c r="Q10" s="24">
        <f t="array" ref="Q10">sumif(LARGE(L10:O10,{1,2,3}),"&gt;0")</f>
        <v>10</v>
      </c>
      <c r="R10" s="24">
        <f t="shared" si="1"/>
        <v>18</v>
      </c>
      <c r="S10" s="24">
        <f t="shared" si="2"/>
        <v>24</v>
      </c>
      <c r="T10" s="25">
        <v>18.0</v>
      </c>
    </row>
    <row r="11">
      <c r="A11" s="19">
        <v>45195.63848865741</v>
      </c>
      <c r="B11" s="20" t="s">
        <v>32</v>
      </c>
      <c r="C11" s="21">
        <v>5.0</v>
      </c>
      <c r="D11" s="21">
        <v>2.201180006E9</v>
      </c>
      <c r="E11" s="22" t="s">
        <v>33</v>
      </c>
      <c r="F11" s="23">
        <v>2.0</v>
      </c>
      <c r="G11" s="23">
        <v>2.0</v>
      </c>
      <c r="H11" s="23">
        <v>-1.0</v>
      </c>
      <c r="I11" s="23">
        <v>2.0</v>
      </c>
      <c r="J11" s="23">
        <v>2.0</v>
      </c>
      <c r="K11" s="23">
        <v>2.0</v>
      </c>
      <c r="L11" s="23">
        <v>4.0</v>
      </c>
      <c r="M11" s="23">
        <v>3.0</v>
      </c>
      <c r="N11" s="23">
        <v>2.0</v>
      </c>
      <c r="O11" s="23">
        <v>2.0</v>
      </c>
      <c r="P11" s="24">
        <f t="array" ref="P11">sumif(LARGE(F11:K11,{1,2,3,4}),"&gt;0")</f>
        <v>8</v>
      </c>
      <c r="Q11" s="24">
        <f t="array" ref="Q11">sumif(LARGE(L11:O11,{1,2,3}),"&gt;0")</f>
        <v>9</v>
      </c>
      <c r="R11" s="24">
        <f t="shared" si="1"/>
        <v>17</v>
      </c>
      <c r="S11" s="24">
        <f t="shared" si="2"/>
        <v>21</v>
      </c>
      <c r="T11" s="25">
        <v>17.0</v>
      </c>
    </row>
    <row r="12">
      <c r="A12" s="19">
        <v>45196.53649326389</v>
      </c>
      <c r="B12" s="20" t="s">
        <v>34</v>
      </c>
      <c r="C12" s="21">
        <v>6.0</v>
      </c>
      <c r="D12" s="21">
        <v>2.201180009E9</v>
      </c>
      <c r="E12" s="22" t="s">
        <v>35</v>
      </c>
      <c r="F12" s="23">
        <v>2.0</v>
      </c>
      <c r="G12" s="23">
        <v>2.0</v>
      </c>
      <c r="H12" s="23">
        <v>2.0</v>
      </c>
      <c r="I12" s="23">
        <v>2.0</v>
      </c>
      <c r="J12" s="23">
        <v>-1.0</v>
      </c>
      <c r="K12" s="23">
        <v>-1.0</v>
      </c>
      <c r="L12" s="23">
        <v>1.0</v>
      </c>
      <c r="M12" s="23">
        <v>1.0</v>
      </c>
      <c r="N12" s="23">
        <v>0.0</v>
      </c>
      <c r="O12" s="23">
        <v>3.0</v>
      </c>
      <c r="P12" s="24">
        <f t="array" ref="P12">sumif(LARGE(F12:K12,{1,2,3,4}),"&gt;0")</f>
        <v>8</v>
      </c>
      <c r="Q12" s="24">
        <f t="array" ref="Q12">sumif(LARGE(L12:O12,{1,2,3}),"&gt;0")</f>
        <v>5</v>
      </c>
      <c r="R12" s="24">
        <f t="shared" si="1"/>
        <v>13</v>
      </c>
      <c r="S12" s="24">
        <f t="shared" si="2"/>
        <v>13</v>
      </c>
      <c r="T12" s="25">
        <v>13.0</v>
      </c>
    </row>
    <row r="13">
      <c r="A13" s="19">
        <v>45195.63685252315</v>
      </c>
      <c r="B13" s="20" t="s">
        <v>36</v>
      </c>
      <c r="C13" s="21">
        <v>7.0</v>
      </c>
      <c r="D13" s="21">
        <v>2.20118001E9</v>
      </c>
      <c r="E13" s="22" t="s">
        <v>37</v>
      </c>
      <c r="F13" s="23">
        <v>2.0</v>
      </c>
      <c r="G13" s="23">
        <v>2.0</v>
      </c>
      <c r="H13" s="23">
        <v>2.0</v>
      </c>
      <c r="I13" s="23">
        <v>2.0</v>
      </c>
      <c r="J13" s="23">
        <v>0.0</v>
      </c>
      <c r="K13" s="23">
        <v>-1.0</v>
      </c>
      <c r="L13" s="23">
        <v>0.0</v>
      </c>
      <c r="M13" s="23">
        <v>2.0</v>
      </c>
      <c r="N13" s="23">
        <v>2.0</v>
      </c>
      <c r="O13" s="23">
        <v>1.0</v>
      </c>
      <c r="P13" s="24">
        <f t="array" ref="P13">sumif(LARGE(F13:K13,{1,2,3,4}),"&gt;0")</f>
        <v>8</v>
      </c>
      <c r="Q13" s="24">
        <f t="array" ref="Q13">sumif(LARGE(L13:O13,{1,2,3}),"&gt;0")</f>
        <v>5</v>
      </c>
      <c r="R13" s="24">
        <f t="shared" si="1"/>
        <v>13</v>
      </c>
      <c r="S13" s="24">
        <f t="shared" si="2"/>
        <v>13</v>
      </c>
      <c r="T13" s="25">
        <v>13.0</v>
      </c>
    </row>
    <row r="14">
      <c r="A14" s="19">
        <v>45195.640597986116</v>
      </c>
      <c r="B14" s="20" t="s">
        <v>38</v>
      </c>
      <c r="C14" s="21">
        <v>8.0</v>
      </c>
      <c r="D14" s="21">
        <v>2.201180011E9</v>
      </c>
      <c r="E14" s="22" t="s">
        <v>39</v>
      </c>
      <c r="F14" s="23">
        <v>2.0</v>
      </c>
      <c r="G14" s="23">
        <v>2.0</v>
      </c>
      <c r="H14" s="23">
        <v>2.0</v>
      </c>
      <c r="I14" s="23">
        <v>0.0</v>
      </c>
      <c r="J14" s="23">
        <v>2.0</v>
      </c>
      <c r="K14" s="23">
        <v>0.0</v>
      </c>
      <c r="L14" s="23">
        <v>0.0</v>
      </c>
      <c r="M14" s="23">
        <v>0.0</v>
      </c>
      <c r="N14" s="23">
        <v>4.0</v>
      </c>
      <c r="O14" s="23">
        <v>0.0</v>
      </c>
      <c r="P14" s="24">
        <f t="array" ref="P14">sumif(LARGE(F14:K14,{1,2,3,4}),"&gt;0")</f>
        <v>8</v>
      </c>
      <c r="Q14" s="24">
        <f t="array" ref="Q14">sumif(LARGE(L14:O14,{1,2,3}),"&gt;0")</f>
        <v>4</v>
      </c>
      <c r="R14" s="24">
        <f t="shared" si="1"/>
        <v>12</v>
      </c>
      <c r="S14" s="24">
        <f t="shared" si="2"/>
        <v>12</v>
      </c>
      <c r="T14" s="25">
        <v>12.0</v>
      </c>
    </row>
    <row r="15">
      <c r="A15" s="19">
        <v>45196.5391150463</v>
      </c>
      <c r="B15" s="20" t="s">
        <v>40</v>
      </c>
      <c r="C15" s="21">
        <v>9.0</v>
      </c>
      <c r="D15" s="21">
        <v>2.201180014E9</v>
      </c>
      <c r="E15" s="22" t="s">
        <v>41</v>
      </c>
      <c r="F15" s="23">
        <v>0.0</v>
      </c>
      <c r="G15" s="23">
        <v>2.0</v>
      </c>
      <c r="H15" s="23">
        <v>2.0</v>
      </c>
      <c r="I15" s="23">
        <v>2.0</v>
      </c>
      <c r="J15" s="23">
        <v>1.0</v>
      </c>
      <c r="K15" s="23">
        <v>0.0</v>
      </c>
      <c r="L15" s="23">
        <v>1.0</v>
      </c>
      <c r="M15" s="23">
        <v>2.0</v>
      </c>
      <c r="N15" s="23">
        <v>3.0</v>
      </c>
      <c r="O15" s="23">
        <v>3.0</v>
      </c>
      <c r="P15" s="24">
        <f t="array" ref="P15">sumif(LARGE(F15:K15,{1,2,3,4}),"&gt;0")</f>
        <v>7</v>
      </c>
      <c r="Q15" s="24">
        <f t="array" ref="Q15">sumif(LARGE(L15:O15,{1,2,3}),"&gt;0")</f>
        <v>8</v>
      </c>
      <c r="R15" s="24">
        <f t="shared" si="1"/>
        <v>15</v>
      </c>
      <c r="S15" s="24">
        <f t="shared" si="2"/>
        <v>16</v>
      </c>
      <c r="T15" s="25">
        <v>15.0</v>
      </c>
    </row>
    <row r="16">
      <c r="A16" s="19">
        <v>45195.634974016204</v>
      </c>
      <c r="B16" s="20" t="s">
        <v>42</v>
      </c>
      <c r="C16" s="21">
        <v>10.0</v>
      </c>
      <c r="D16" s="21">
        <v>2.20118005E9</v>
      </c>
      <c r="E16" s="22" t="s">
        <v>43</v>
      </c>
      <c r="F16" s="23">
        <v>2.0</v>
      </c>
      <c r="G16" s="23">
        <v>2.0</v>
      </c>
      <c r="H16" s="23">
        <v>2.0</v>
      </c>
      <c r="I16" s="23">
        <v>2.0</v>
      </c>
      <c r="J16" s="23">
        <v>2.0</v>
      </c>
      <c r="K16" s="23">
        <v>2.0</v>
      </c>
      <c r="L16" s="23">
        <v>1.0</v>
      </c>
      <c r="M16" s="23">
        <v>2.0</v>
      </c>
      <c r="N16" s="23">
        <v>-1.0</v>
      </c>
      <c r="O16" s="23">
        <v>3.0</v>
      </c>
      <c r="P16" s="24">
        <f t="array" ref="P16">sumif(LARGE(F16:K16,{1,2,3,4}),"&gt;0")</f>
        <v>8</v>
      </c>
      <c r="Q16" s="24">
        <f t="array" ref="Q16">sumif(LARGE(L16:O16,{1,2,3}),"&gt;0")</f>
        <v>6</v>
      </c>
      <c r="R16" s="24">
        <f t="shared" si="1"/>
        <v>14</v>
      </c>
      <c r="S16" s="24">
        <f t="shared" si="2"/>
        <v>18</v>
      </c>
      <c r="T16" s="25">
        <v>14.0</v>
      </c>
    </row>
    <row r="17">
      <c r="A17" s="19">
        <v>45195.63507326389</v>
      </c>
      <c r="B17" s="20" t="s">
        <v>44</v>
      </c>
      <c r="C17" s="21">
        <v>11.0</v>
      </c>
      <c r="D17" s="21">
        <v>2.201180051E9</v>
      </c>
      <c r="E17" s="22" t="s">
        <v>45</v>
      </c>
      <c r="F17" s="23">
        <v>2.0</v>
      </c>
      <c r="G17" s="23">
        <v>2.0</v>
      </c>
      <c r="H17" s="23">
        <v>2.0</v>
      </c>
      <c r="I17" s="23">
        <v>2.0</v>
      </c>
      <c r="J17" s="23">
        <v>2.0</v>
      </c>
      <c r="K17" s="23">
        <v>2.0</v>
      </c>
      <c r="L17" s="23">
        <v>3.0</v>
      </c>
      <c r="M17" s="23">
        <v>3.0</v>
      </c>
      <c r="N17" s="23">
        <v>2.0</v>
      </c>
      <c r="O17" s="23">
        <v>3.0</v>
      </c>
      <c r="P17" s="24">
        <f t="array" ref="P17">sumif(LARGE(F17:K17,{1,2,3,4}),"&gt;0")</f>
        <v>8</v>
      </c>
      <c r="Q17" s="24">
        <f t="array" ref="Q17">sumif(LARGE(L17:O17,{1,2,3}),"&gt;0")</f>
        <v>9</v>
      </c>
      <c r="R17" s="24">
        <f t="shared" si="1"/>
        <v>17</v>
      </c>
      <c r="S17" s="24">
        <f t="shared" si="2"/>
        <v>23</v>
      </c>
      <c r="T17" s="25">
        <v>17.0</v>
      </c>
    </row>
    <row r="18">
      <c r="A18" s="19">
        <v>45195.63686341435</v>
      </c>
      <c r="B18" s="20" t="s">
        <v>46</v>
      </c>
      <c r="C18" s="21">
        <v>12.0</v>
      </c>
      <c r="D18" s="21">
        <v>2.201180052E9</v>
      </c>
      <c r="E18" s="22" t="s">
        <v>47</v>
      </c>
      <c r="F18" s="23">
        <v>2.0</v>
      </c>
      <c r="G18" s="23">
        <v>2.0</v>
      </c>
      <c r="H18" s="23">
        <v>2.0</v>
      </c>
      <c r="I18" s="23">
        <v>1.0</v>
      </c>
      <c r="J18" s="23">
        <v>1.0</v>
      </c>
      <c r="K18" s="23">
        <v>0.0</v>
      </c>
      <c r="L18" s="23">
        <v>0.0</v>
      </c>
      <c r="M18" s="23">
        <v>0.0</v>
      </c>
      <c r="N18" s="23">
        <v>3.0</v>
      </c>
      <c r="O18" s="23">
        <v>3.0</v>
      </c>
      <c r="P18" s="24">
        <f t="array" ref="P18">sumif(LARGE(F18:K18,{1,2,3,4}),"&gt;0")</f>
        <v>7</v>
      </c>
      <c r="Q18" s="24">
        <f t="array" ref="Q18">sumif(LARGE(L18:O18,{1,2,3}),"&gt;0")</f>
        <v>6</v>
      </c>
      <c r="R18" s="24">
        <f t="shared" si="1"/>
        <v>13</v>
      </c>
      <c r="S18" s="24">
        <f t="shared" si="2"/>
        <v>14</v>
      </c>
      <c r="T18" s="25">
        <v>13.0</v>
      </c>
    </row>
    <row r="19">
      <c r="A19" s="19">
        <v>45195.641843171295</v>
      </c>
      <c r="B19" s="20" t="s">
        <v>48</v>
      </c>
      <c r="C19" s="21">
        <v>13.0</v>
      </c>
      <c r="D19" s="21">
        <v>2.201180053E9</v>
      </c>
      <c r="E19" s="22" t="s">
        <v>49</v>
      </c>
      <c r="F19" s="23">
        <v>2.0</v>
      </c>
      <c r="G19" s="23">
        <v>2.0</v>
      </c>
      <c r="H19" s="23">
        <v>2.0</v>
      </c>
      <c r="I19" s="23">
        <v>2.0</v>
      </c>
      <c r="J19" s="23">
        <v>1.0</v>
      </c>
      <c r="K19" s="23">
        <v>1.0</v>
      </c>
      <c r="L19" s="23">
        <v>1.0</v>
      </c>
      <c r="M19" s="23">
        <v>3.0</v>
      </c>
      <c r="N19" s="23">
        <v>4.0</v>
      </c>
      <c r="O19" s="23">
        <v>3.0</v>
      </c>
      <c r="P19" s="24">
        <f t="array" ref="P19">sumif(LARGE(F19:K19,{1,2,3,4}),"&gt;0")</f>
        <v>8</v>
      </c>
      <c r="Q19" s="24">
        <f t="array" ref="Q19">sumif(LARGE(L19:O19,{1,2,3}),"&gt;0")</f>
        <v>10</v>
      </c>
      <c r="R19" s="24">
        <f t="shared" si="1"/>
        <v>18</v>
      </c>
      <c r="S19" s="24">
        <f t="shared" si="2"/>
        <v>21</v>
      </c>
      <c r="T19" s="25">
        <v>18.0</v>
      </c>
    </row>
    <row r="20">
      <c r="A20" s="19">
        <v>45195.63577439815</v>
      </c>
      <c r="B20" s="20" t="s">
        <v>50</v>
      </c>
      <c r="C20" s="21">
        <v>14.0</v>
      </c>
      <c r="D20" s="21">
        <v>2.201180055E9</v>
      </c>
      <c r="E20" s="22" t="s">
        <v>51</v>
      </c>
      <c r="F20" s="23">
        <v>2.0</v>
      </c>
      <c r="G20" s="23">
        <v>2.0</v>
      </c>
      <c r="H20" s="23">
        <v>2.0</v>
      </c>
      <c r="I20" s="23">
        <v>0.0</v>
      </c>
      <c r="J20" s="23">
        <v>2.0</v>
      </c>
      <c r="K20" s="23">
        <v>2.0</v>
      </c>
      <c r="L20" s="23">
        <v>-1.0</v>
      </c>
      <c r="M20" s="23">
        <v>3.0</v>
      </c>
      <c r="N20" s="23">
        <v>1.0</v>
      </c>
      <c r="O20" s="23">
        <v>1.0</v>
      </c>
      <c r="P20" s="24">
        <f t="array" ref="P20">sumif(LARGE(F20:K20,{1,2,3,4}),"&gt;0")</f>
        <v>8</v>
      </c>
      <c r="Q20" s="24">
        <f t="array" ref="Q20">sumif(LARGE(L20:O20,{1,2,3}),"&gt;0")</f>
        <v>5</v>
      </c>
      <c r="R20" s="24">
        <f t="shared" si="1"/>
        <v>13</v>
      </c>
      <c r="S20" s="24">
        <f t="shared" si="2"/>
        <v>15</v>
      </c>
      <c r="T20" s="25">
        <v>13.0</v>
      </c>
    </row>
    <row r="21">
      <c r="A21" s="19">
        <v>45195.63784966435</v>
      </c>
      <c r="B21" s="20" t="s">
        <v>52</v>
      </c>
      <c r="C21" s="21">
        <v>15.0</v>
      </c>
      <c r="D21" s="21">
        <v>2.201180056E9</v>
      </c>
      <c r="E21" s="22" t="s">
        <v>53</v>
      </c>
      <c r="F21" s="23">
        <v>2.0</v>
      </c>
      <c r="G21" s="23">
        <v>2.0</v>
      </c>
      <c r="H21" s="23">
        <v>2.0</v>
      </c>
      <c r="I21" s="23">
        <v>2.0</v>
      </c>
      <c r="J21" s="23">
        <v>2.0</v>
      </c>
      <c r="K21" s="23">
        <v>-1.0</v>
      </c>
      <c r="L21" s="23">
        <v>3.0</v>
      </c>
      <c r="M21" s="23">
        <v>-1.0</v>
      </c>
      <c r="N21" s="23">
        <v>3.0</v>
      </c>
      <c r="O21" s="23">
        <v>4.0</v>
      </c>
      <c r="P21" s="24">
        <f t="array" ref="P21">sumif(LARGE(F21:K21,{1,2,3,4}),"&gt;0")</f>
        <v>8</v>
      </c>
      <c r="Q21" s="24">
        <f t="array" ref="Q21">sumif(LARGE(L21:O21,{1,2,3}),"&gt;0")</f>
        <v>10</v>
      </c>
      <c r="R21" s="24">
        <f t="shared" si="1"/>
        <v>18</v>
      </c>
      <c r="S21" s="24">
        <f t="shared" si="2"/>
        <v>20</v>
      </c>
      <c r="T21" s="25">
        <v>18.0</v>
      </c>
    </row>
    <row r="22">
      <c r="A22" s="19">
        <v>45196.53598324074</v>
      </c>
      <c r="B22" s="20" t="s">
        <v>54</v>
      </c>
      <c r="C22" s="21">
        <v>16.0</v>
      </c>
      <c r="D22" s="21">
        <v>2.201180058E9</v>
      </c>
      <c r="E22" s="22" t="s">
        <v>55</v>
      </c>
      <c r="F22" s="23">
        <v>2.0</v>
      </c>
      <c r="G22" s="23">
        <v>2.0</v>
      </c>
      <c r="H22" s="23">
        <v>2.0</v>
      </c>
      <c r="I22" s="23">
        <v>0.0</v>
      </c>
      <c r="J22" s="23">
        <v>2.0</v>
      </c>
      <c r="K22" s="23">
        <v>-1.0</v>
      </c>
      <c r="L22" s="23">
        <v>4.0</v>
      </c>
      <c r="M22" s="23">
        <v>4.0</v>
      </c>
      <c r="N22" s="23">
        <v>4.0</v>
      </c>
      <c r="O22" s="23">
        <v>3.0</v>
      </c>
      <c r="P22" s="24">
        <f t="array" ref="P22">sumif(LARGE(F22:K22,{1,2,3,4}),"&gt;0")</f>
        <v>8</v>
      </c>
      <c r="Q22" s="24">
        <f t="array" ref="Q22">sumif(LARGE(L22:O22,{1,2,3}),"&gt;0")</f>
        <v>12</v>
      </c>
      <c r="R22" s="24">
        <f t="shared" si="1"/>
        <v>20</v>
      </c>
      <c r="S22" s="24">
        <f t="shared" si="2"/>
        <v>23</v>
      </c>
      <c r="T22" s="25">
        <v>20.0</v>
      </c>
    </row>
    <row r="23">
      <c r="A23" s="19">
        <v>45195.636344467595</v>
      </c>
      <c r="B23" s="20" t="s">
        <v>56</v>
      </c>
      <c r="C23" s="21">
        <v>17.0</v>
      </c>
      <c r="D23" s="21">
        <v>2.201180059E9</v>
      </c>
      <c r="E23" s="22" t="s">
        <v>57</v>
      </c>
      <c r="F23" s="23">
        <v>2.0</v>
      </c>
      <c r="G23" s="23">
        <v>2.0</v>
      </c>
      <c r="H23" s="23">
        <v>2.0</v>
      </c>
      <c r="I23" s="23">
        <v>2.0</v>
      </c>
      <c r="J23" s="23">
        <v>2.0</v>
      </c>
      <c r="K23" s="23">
        <v>1.0</v>
      </c>
      <c r="L23" s="23">
        <v>-1.0</v>
      </c>
      <c r="M23" s="23">
        <v>4.0</v>
      </c>
      <c r="N23" s="23">
        <v>4.0</v>
      </c>
      <c r="O23" s="23">
        <v>3.0</v>
      </c>
      <c r="P23" s="24">
        <f t="array" ref="P23">sumif(LARGE(F23:K23,{1,2,3,4}),"&gt;0")</f>
        <v>8</v>
      </c>
      <c r="Q23" s="24">
        <f t="array" ref="Q23">sumif(LARGE(L23:O23,{1,2,3}),"&gt;0")</f>
        <v>11</v>
      </c>
      <c r="R23" s="24">
        <f t="shared" si="1"/>
        <v>19</v>
      </c>
      <c r="S23" s="24">
        <f t="shared" si="2"/>
        <v>22</v>
      </c>
      <c r="T23" s="25">
        <v>19.0</v>
      </c>
    </row>
    <row r="24">
      <c r="A24" s="19">
        <v>45196.53682113426</v>
      </c>
      <c r="B24" s="20" t="s">
        <v>58</v>
      </c>
      <c r="C24" s="21">
        <v>18.0</v>
      </c>
      <c r="D24" s="21">
        <v>2.20118006E9</v>
      </c>
      <c r="E24" s="22" t="s">
        <v>59</v>
      </c>
      <c r="F24" s="23">
        <v>2.0</v>
      </c>
      <c r="G24" s="23">
        <v>2.0</v>
      </c>
      <c r="H24" s="23">
        <v>2.0</v>
      </c>
      <c r="I24" s="23">
        <v>2.0</v>
      </c>
      <c r="J24" s="23">
        <v>2.0</v>
      </c>
      <c r="K24" s="23">
        <v>-1.0</v>
      </c>
      <c r="L24" s="23">
        <v>4.0</v>
      </c>
      <c r="M24" s="23">
        <v>3.0</v>
      </c>
      <c r="N24" s="23">
        <v>-1.0</v>
      </c>
      <c r="O24" s="23">
        <v>4.0</v>
      </c>
      <c r="P24" s="24">
        <f t="array" ref="P24">sumif(LARGE(F24:K24,{1,2,3,4}),"&gt;0")</f>
        <v>8</v>
      </c>
      <c r="Q24" s="24">
        <f t="array" ref="Q24">sumif(LARGE(L24:O24,{1,2,3}),"&gt;0")</f>
        <v>11</v>
      </c>
      <c r="R24" s="24">
        <f t="shared" si="1"/>
        <v>19</v>
      </c>
      <c r="S24" s="24">
        <f t="shared" si="2"/>
        <v>21</v>
      </c>
      <c r="T24" s="25">
        <v>19.0</v>
      </c>
    </row>
    <row r="25">
      <c r="A25" s="19">
        <v>45195.637138680555</v>
      </c>
      <c r="B25" s="20" t="s">
        <v>60</v>
      </c>
      <c r="C25" s="21">
        <v>19.0</v>
      </c>
      <c r="D25" s="21">
        <v>2.201180061E9</v>
      </c>
      <c r="E25" s="22" t="s">
        <v>61</v>
      </c>
      <c r="F25" s="23">
        <v>2.0</v>
      </c>
      <c r="G25" s="23">
        <v>2.0</v>
      </c>
      <c r="H25" s="23">
        <v>2.0</v>
      </c>
      <c r="I25" s="23">
        <v>1.0</v>
      </c>
      <c r="J25" s="23">
        <v>2.0</v>
      </c>
      <c r="K25" s="23">
        <v>1.0</v>
      </c>
      <c r="L25" s="23">
        <v>1.0</v>
      </c>
      <c r="M25" s="23">
        <v>-1.0</v>
      </c>
      <c r="N25" s="23">
        <v>-1.0</v>
      </c>
      <c r="O25" s="23">
        <v>2.0</v>
      </c>
      <c r="P25" s="24">
        <f t="array" ref="P25">sumif(LARGE(F25:K25,{1,2,3,4}),"&gt;0")</f>
        <v>8</v>
      </c>
      <c r="Q25" s="24">
        <f t="array" ref="Q25">sumif(LARGE(L25:O25,{1,2,3}),"&gt;0")</f>
        <v>3</v>
      </c>
      <c r="R25" s="24">
        <f t="shared" si="1"/>
        <v>11</v>
      </c>
      <c r="S25" s="24">
        <f t="shared" si="2"/>
        <v>13</v>
      </c>
      <c r="T25" s="25">
        <v>11.0</v>
      </c>
    </row>
    <row r="26">
      <c r="A26" s="19">
        <v>45196.53512888889</v>
      </c>
      <c r="B26" s="20" t="s">
        <v>62</v>
      </c>
      <c r="C26" s="21">
        <v>20.0</v>
      </c>
      <c r="D26" s="21">
        <v>2.201180062E9</v>
      </c>
      <c r="E26" s="22" t="s">
        <v>63</v>
      </c>
      <c r="F26" s="23">
        <v>2.0</v>
      </c>
      <c r="G26" s="23">
        <v>2.0</v>
      </c>
      <c r="H26" s="23">
        <v>2.0</v>
      </c>
      <c r="I26" s="23">
        <v>2.0</v>
      </c>
      <c r="J26" s="23">
        <v>2.0</v>
      </c>
      <c r="K26" s="23">
        <v>2.0</v>
      </c>
      <c r="L26" s="23">
        <v>3.0</v>
      </c>
      <c r="M26" s="23">
        <v>2.0</v>
      </c>
      <c r="N26" s="23">
        <v>2.0</v>
      </c>
      <c r="O26" s="23">
        <v>3.0</v>
      </c>
      <c r="P26" s="24">
        <f t="array" ref="P26">sumif(LARGE(F26:K26,{1,2,3,4}),"&gt;0")</f>
        <v>8</v>
      </c>
      <c r="Q26" s="24">
        <f t="array" ref="Q26">sumif(LARGE(L26:O26,{1,2,3}),"&gt;0")</f>
        <v>8</v>
      </c>
      <c r="R26" s="24">
        <f t="shared" si="1"/>
        <v>16</v>
      </c>
      <c r="S26" s="24">
        <f t="shared" si="2"/>
        <v>22</v>
      </c>
      <c r="T26" s="25">
        <v>16.0</v>
      </c>
    </row>
    <row r="27">
      <c r="A27" s="19">
        <v>45195.63532541667</v>
      </c>
      <c r="B27" s="20" t="s">
        <v>64</v>
      </c>
      <c r="C27" s="21">
        <v>21.0</v>
      </c>
      <c r="D27" s="21">
        <v>2.201180063E9</v>
      </c>
      <c r="E27" s="22" t="s">
        <v>65</v>
      </c>
      <c r="F27" s="23">
        <v>2.0</v>
      </c>
      <c r="G27" s="23">
        <v>2.0</v>
      </c>
      <c r="H27" s="23">
        <v>2.0</v>
      </c>
      <c r="I27" s="23">
        <v>2.0</v>
      </c>
      <c r="J27" s="23">
        <v>2.0</v>
      </c>
      <c r="K27" s="23">
        <v>2.0</v>
      </c>
      <c r="L27" s="23">
        <v>4.0</v>
      </c>
      <c r="M27" s="23">
        <v>4.0</v>
      </c>
      <c r="N27" s="23">
        <v>4.0</v>
      </c>
      <c r="O27" s="23">
        <v>4.0</v>
      </c>
      <c r="P27" s="24">
        <f t="array" ref="P27">sumif(LARGE(F27:K27,{1,2,3,4}),"&gt;0")</f>
        <v>8</v>
      </c>
      <c r="Q27" s="24">
        <f t="array" ref="Q27">sumif(LARGE(L27:O27,{1,2,3}),"&gt;0")</f>
        <v>12</v>
      </c>
      <c r="R27" s="24">
        <f t="shared" si="1"/>
        <v>20</v>
      </c>
      <c r="S27" s="24">
        <f t="shared" si="2"/>
        <v>28</v>
      </c>
      <c r="T27" s="25">
        <v>20.0</v>
      </c>
    </row>
    <row r="28">
      <c r="A28" s="19">
        <v>45195.63881975695</v>
      </c>
      <c r="B28" s="20" t="s">
        <v>66</v>
      </c>
      <c r="C28" s="21">
        <v>22.0</v>
      </c>
      <c r="D28" s="21">
        <v>2.201180064E9</v>
      </c>
      <c r="E28" s="22" t="s">
        <v>67</v>
      </c>
      <c r="F28" s="23">
        <v>2.0</v>
      </c>
      <c r="G28" s="23">
        <v>2.0</v>
      </c>
      <c r="H28" s="23">
        <v>2.0</v>
      </c>
      <c r="I28" s="23">
        <v>-1.0</v>
      </c>
      <c r="J28" s="23">
        <v>2.0</v>
      </c>
      <c r="K28" s="23">
        <v>2.0</v>
      </c>
      <c r="L28" s="23">
        <v>2.0</v>
      </c>
      <c r="M28" s="23">
        <v>3.0</v>
      </c>
      <c r="N28" s="23">
        <v>2.0</v>
      </c>
      <c r="O28" s="23">
        <v>4.0</v>
      </c>
      <c r="P28" s="24">
        <f t="array" ref="P28">sumif(LARGE(F28:K28,{1,2,3,4}),"&gt;0")</f>
        <v>8</v>
      </c>
      <c r="Q28" s="24">
        <f t="array" ref="Q28">sumif(LARGE(L28:O28,{1,2,3}),"&gt;0")</f>
        <v>9</v>
      </c>
      <c r="R28" s="24">
        <f t="shared" si="1"/>
        <v>17</v>
      </c>
      <c r="S28" s="24">
        <f t="shared" si="2"/>
        <v>21</v>
      </c>
      <c r="T28" s="25">
        <v>17.0</v>
      </c>
    </row>
    <row r="29">
      <c r="A29" s="19">
        <v>45195.63550163194</v>
      </c>
      <c r="B29" s="20" t="s">
        <v>68</v>
      </c>
      <c r="C29" s="21">
        <v>23.0</v>
      </c>
      <c r="D29" s="21">
        <v>2.201180065E9</v>
      </c>
      <c r="E29" s="22" t="s">
        <v>69</v>
      </c>
      <c r="F29" s="23">
        <v>2.0</v>
      </c>
      <c r="G29" s="23">
        <v>2.0</v>
      </c>
      <c r="H29" s="23">
        <v>2.0</v>
      </c>
      <c r="I29" s="23">
        <v>2.0</v>
      </c>
      <c r="J29" s="23">
        <v>2.0</v>
      </c>
      <c r="K29" s="23">
        <v>2.0</v>
      </c>
      <c r="L29" s="23">
        <v>4.0</v>
      </c>
      <c r="M29" s="23">
        <v>4.0</v>
      </c>
      <c r="N29" s="23">
        <v>4.0</v>
      </c>
      <c r="O29" s="23">
        <v>4.0</v>
      </c>
      <c r="P29" s="24">
        <f t="array" ref="P29">sumif(LARGE(F29:K29,{1,2,3,4}),"&gt;0")</f>
        <v>8</v>
      </c>
      <c r="Q29" s="24">
        <f t="array" ref="Q29">sumif(LARGE(L29:O29,{1,2,3}),"&gt;0")</f>
        <v>12</v>
      </c>
      <c r="R29" s="24">
        <f t="shared" si="1"/>
        <v>20</v>
      </c>
      <c r="S29" s="24">
        <f t="shared" si="2"/>
        <v>28</v>
      </c>
      <c r="T29" s="25">
        <v>20.0</v>
      </c>
    </row>
    <row r="30">
      <c r="A30" s="19">
        <v>45195.63818460648</v>
      </c>
      <c r="B30" s="20" t="s">
        <v>70</v>
      </c>
      <c r="C30" s="21">
        <v>24.0</v>
      </c>
      <c r="D30" s="21">
        <v>2.201180148E9</v>
      </c>
      <c r="E30" s="22" t="s">
        <v>71</v>
      </c>
      <c r="F30" s="23">
        <v>2.0</v>
      </c>
      <c r="G30" s="23">
        <v>2.0</v>
      </c>
      <c r="H30" s="23">
        <v>2.0</v>
      </c>
      <c r="I30" s="23">
        <v>2.0</v>
      </c>
      <c r="J30" s="23">
        <v>2.0</v>
      </c>
      <c r="K30" s="23">
        <v>1.0</v>
      </c>
      <c r="L30" s="23">
        <v>4.0</v>
      </c>
      <c r="M30" s="23">
        <v>3.0</v>
      </c>
      <c r="N30" s="23">
        <v>-1.0</v>
      </c>
      <c r="O30" s="23">
        <v>-1.0</v>
      </c>
      <c r="P30" s="24">
        <f t="array" ref="P30">sumif(LARGE(F30:K30,{1,2,3,4}),"&gt;0")</f>
        <v>8</v>
      </c>
      <c r="Q30" s="24">
        <f t="array" ref="Q30">sumif(LARGE(L30:O30,{1,2,3}),"&gt;0")</f>
        <v>7</v>
      </c>
      <c r="R30" s="24">
        <f t="shared" si="1"/>
        <v>15</v>
      </c>
      <c r="S30" s="24">
        <f t="shared" si="2"/>
        <v>18</v>
      </c>
      <c r="T30" s="25">
        <v>15.0</v>
      </c>
    </row>
    <row r="31">
      <c r="A31" s="19">
        <v>45195.63685981481</v>
      </c>
      <c r="B31" s="20" t="s">
        <v>72</v>
      </c>
      <c r="C31" s="21">
        <v>25.0</v>
      </c>
      <c r="D31" s="21">
        <v>2.201180227E9</v>
      </c>
      <c r="E31" s="22" t="s">
        <v>73</v>
      </c>
      <c r="F31" s="23">
        <v>2.0</v>
      </c>
      <c r="G31" s="23">
        <v>2.0</v>
      </c>
      <c r="H31" s="23">
        <v>2.0</v>
      </c>
      <c r="I31" s="23">
        <v>2.0</v>
      </c>
      <c r="J31" s="23">
        <v>0.0</v>
      </c>
      <c r="K31" s="23">
        <v>-1.0</v>
      </c>
      <c r="L31" s="23">
        <v>2.0</v>
      </c>
      <c r="M31" s="23">
        <v>3.0</v>
      </c>
      <c r="N31" s="23">
        <v>3.0</v>
      </c>
      <c r="O31" s="23">
        <v>2.0</v>
      </c>
      <c r="P31" s="24">
        <f t="array" ref="P31">sumif(LARGE(F31:K31,{1,2,3,4}),"&gt;0")</f>
        <v>8</v>
      </c>
      <c r="Q31" s="24">
        <f t="array" ref="Q31">sumif(LARGE(L31:O31,{1,2,3}),"&gt;0")</f>
        <v>8</v>
      </c>
      <c r="R31" s="24">
        <f t="shared" si="1"/>
        <v>16</v>
      </c>
      <c r="S31" s="24">
        <f t="shared" si="2"/>
        <v>18</v>
      </c>
      <c r="T31" s="25">
        <v>16.0</v>
      </c>
    </row>
    <row r="32">
      <c r="A32" s="19">
        <v>45195.63541835648</v>
      </c>
      <c r="B32" s="20" t="s">
        <v>74</v>
      </c>
      <c r="C32" s="21">
        <v>26.0</v>
      </c>
      <c r="D32" s="21">
        <v>2.201180228E9</v>
      </c>
      <c r="E32" s="22" t="s">
        <v>75</v>
      </c>
      <c r="F32" s="23">
        <v>2.0</v>
      </c>
      <c r="G32" s="23">
        <v>2.0</v>
      </c>
      <c r="H32" s="23">
        <v>2.0</v>
      </c>
      <c r="I32" s="23">
        <v>2.0</v>
      </c>
      <c r="J32" s="23">
        <v>2.0</v>
      </c>
      <c r="K32" s="23">
        <v>2.0</v>
      </c>
      <c r="L32" s="23">
        <v>4.0</v>
      </c>
      <c r="M32" s="23">
        <v>2.0</v>
      </c>
      <c r="N32" s="23">
        <v>3.0</v>
      </c>
      <c r="O32" s="23">
        <v>4.0</v>
      </c>
      <c r="P32" s="24">
        <f t="array" ref="P32">sumif(LARGE(F32:K32,{1,2,3,4}),"&gt;0")</f>
        <v>8</v>
      </c>
      <c r="Q32" s="24">
        <f t="array" ref="Q32">sumif(LARGE(L32:O32,{1,2,3}),"&gt;0")</f>
        <v>11</v>
      </c>
      <c r="R32" s="24">
        <f t="shared" si="1"/>
        <v>19</v>
      </c>
      <c r="S32" s="24">
        <f t="shared" si="2"/>
        <v>25</v>
      </c>
      <c r="T32" s="25">
        <v>19.0</v>
      </c>
    </row>
    <row r="33">
      <c r="A33" s="19">
        <v>45196.53859287037</v>
      </c>
      <c r="B33" s="20" t="s">
        <v>76</v>
      </c>
      <c r="C33" s="21">
        <v>27.0</v>
      </c>
      <c r="D33" s="21">
        <v>2.201180229E9</v>
      </c>
      <c r="E33" s="22" t="s">
        <v>77</v>
      </c>
      <c r="F33" s="23">
        <v>2.0</v>
      </c>
      <c r="G33" s="23">
        <v>2.0</v>
      </c>
      <c r="H33" s="23">
        <v>2.0</v>
      </c>
      <c r="I33" s="23">
        <v>2.0</v>
      </c>
      <c r="J33" s="23">
        <v>2.0</v>
      </c>
      <c r="K33" s="23">
        <v>-1.0</v>
      </c>
      <c r="L33" s="23">
        <v>2.0</v>
      </c>
      <c r="M33" s="23">
        <v>-1.0</v>
      </c>
      <c r="N33" s="23">
        <v>0.0</v>
      </c>
      <c r="O33" s="23">
        <v>1.0</v>
      </c>
      <c r="P33" s="24">
        <f t="array" ref="P33">sumif(LARGE(F33:K33,{1,2,3,4}),"&gt;0")</f>
        <v>8</v>
      </c>
      <c r="Q33" s="24">
        <f t="array" ref="Q33">sumif(LARGE(L33:O33,{1,2,3}),"&gt;0")</f>
        <v>3</v>
      </c>
      <c r="R33" s="24">
        <f t="shared" si="1"/>
        <v>11</v>
      </c>
      <c r="S33" s="24">
        <f t="shared" si="2"/>
        <v>13</v>
      </c>
      <c r="T33" s="25">
        <v>11.0</v>
      </c>
    </row>
    <row r="34">
      <c r="A34" s="19">
        <v>45195.63728232639</v>
      </c>
      <c r="B34" s="20" t="s">
        <v>78</v>
      </c>
      <c r="C34" s="21">
        <v>28.0</v>
      </c>
      <c r="D34" s="21">
        <v>2.20118023E9</v>
      </c>
      <c r="E34" s="22" t="s">
        <v>79</v>
      </c>
      <c r="F34" s="23">
        <v>2.0</v>
      </c>
      <c r="G34" s="23">
        <v>2.0</v>
      </c>
      <c r="H34" s="23">
        <v>2.0</v>
      </c>
      <c r="I34" s="23">
        <v>0.0</v>
      </c>
      <c r="J34" s="23">
        <v>0.0</v>
      </c>
      <c r="K34" s="23">
        <v>0.0</v>
      </c>
      <c r="L34" s="23">
        <v>1.0</v>
      </c>
      <c r="M34" s="23">
        <v>0.0</v>
      </c>
      <c r="N34" s="23">
        <v>0.0</v>
      </c>
      <c r="O34" s="23">
        <v>0.0</v>
      </c>
      <c r="P34" s="24">
        <f t="array" ref="P34">sumif(LARGE(F34:K34,{1,2,3,4}),"&gt;0")</f>
        <v>6</v>
      </c>
      <c r="Q34" s="24">
        <f t="array" ref="Q34">sumif(LARGE(L34:O34,{1,2,3}),"&gt;0")</f>
        <v>1</v>
      </c>
      <c r="R34" s="24">
        <f t="shared" si="1"/>
        <v>7</v>
      </c>
      <c r="S34" s="24">
        <f t="shared" si="2"/>
        <v>7</v>
      </c>
      <c r="T34" s="25">
        <v>7.0</v>
      </c>
    </row>
    <row r="35">
      <c r="A35" s="19">
        <v>45195.641338518515</v>
      </c>
      <c r="B35" s="20" t="s">
        <v>80</v>
      </c>
      <c r="C35" s="21">
        <v>29.0</v>
      </c>
      <c r="D35" s="21">
        <v>2.201180232E9</v>
      </c>
      <c r="E35" s="22" t="s">
        <v>81</v>
      </c>
      <c r="F35" s="23">
        <v>2.0</v>
      </c>
      <c r="G35" s="23">
        <v>2.0</v>
      </c>
      <c r="H35" s="23">
        <v>2.0</v>
      </c>
      <c r="I35" s="23">
        <v>2.0</v>
      </c>
      <c r="J35" s="23">
        <v>-1.0</v>
      </c>
      <c r="K35" s="23">
        <v>2.0</v>
      </c>
      <c r="L35" s="23">
        <v>4.0</v>
      </c>
      <c r="M35" s="23">
        <v>-1.0</v>
      </c>
      <c r="N35" s="23">
        <v>4.0</v>
      </c>
      <c r="O35" s="23">
        <v>4.0</v>
      </c>
      <c r="P35" s="24">
        <f t="array" ref="P35">sumif(LARGE(F35:K35,{1,2,3,4}),"&gt;0")</f>
        <v>8</v>
      </c>
      <c r="Q35" s="24">
        <f t="array" ref="Q35">sumif(LARGE(L35:O35,{1,2,3}),"&gt;0")</f>
        <v>12</v>
      </c>
      <c r="R35" s="24">
        <f t="shared" si="1"/>
        <v>20</v>
      </c>
      <c r="S35" s="24">
        <f t="shared" si="2"/>
        <v>22</v>
      </c>
      <c r="T35" s="25">
        <v>20.0</v>
      </c>
    </row>
    <row r="36">
      <c r="A36" s="19">
        <v>45195.63564820602</v>
      </c>
      <c r="B36" s="20" t="s">
        <v>82</v>
      </c>
      <c r="C36" s="21">
        <v>30.0</v>
      </c>
      <c r="D36" s="21">
        <v>2.201180233E9</v>
      </c>
      <c r="E36" s="22" t="s">
        <v>83</v>
      </c>
      <c r="F36" s="23">
        <v>2.0</v>
      </c>
      <c r="G36" s="23">
        <v>2.0</v>
      </c>
      <c r="H36" s="23">
        <v>2.0</v>
      </c>
      <c r="I36" s="23">
        <v>0.0</v>
      </c>
      <c r="J36" s="23">
        <v>2.0</v>
      </c>
      <c r="K36" s="23">
        <v>1.0</v>
      </c>
      <c r="L36" s="23">
        <v>3.0</v>
      </c>
      <c r="M36" s="23">
        <v>3.0</v>
      </c>
      <c r="N36" s="23">
        <v>2.0</v>
      </c>
      <c r="O36" s="23">
        <v>2.0</v>
      </c>
      <c r="P36" s="24">
        <f t="array" ref="P36">sumif(LARGE(F36:K36,{1,2,3,4}),"&gt;0")</f>
        <v>8</v>
      </c>
      <c r="Q36" s="24">
        <f t="array" ref="Q36">sumif(LARGE(L36:O36,{1,2,3}),"&gt;0")</f>
        <v>8</v>
      </c>
      <c r="R36" s="24">
        <f t="shared" si="1"/>
        <v>16</v>
      </c>
      <c r="S36" s="24">
        <f t="shared" si="2"/>
        <v>19</v>
      </c>
      <c r="T36" s="25">
        <v>16.0</v>
      </c>
    </row>
    <row r="37">
      <c r="A37" s="19">
        <v>45195.63579090278</v>
      </c>
      <c r="B37" s="20" t="s">
        <v>84</v>
      </c>
      <c r="C37" s="21">
        <v>31.0</v>
      </c>
      <c r="D37" s="21">
        <v>2.201180234E9</v>
      </c>
      <c r="E37" s="22" t="s">
        <v>85</v>
      </c>
      <c r="F37" s="23">
        <v>2.0</v>
      </c>
      <c r="G37" s="23">
        <v>2.0</v>
      </c>
      <c r="H37" s="23">
        <v>2.0</v>
      </c>
      <c r="I37" s="23">
        <v>2.0</v>
      </c>
      <c r="J37" s="23">
        <v>2.0</v>
      </c>
      <c r="K37" s="23">
        <v>2.0</v>
      </c>
      <c r="L37" s="23">
        <v>2.0</v>
      </c>
      <c r="M37" s="23">
        <v>4.0</v>
      </c>
      <c r="N37" s="23">
        <v>-1.0</v>
      </c>
      <c r="O37" s="23">
        <v>4.0</v>
      </c>
      <c r="P37" s="24">
        <f t="array" ref="P37">sumif(LARGE(F37:K37,{1,2,3,4}),"&gt;0")</f>
        <v>8</v>
      </c>
      <c r="Q37" s="24">
        <f t="array" ref="Q37">sumif(LARGE(L37:O37,{1,2,3}),"&gt;0")</f>
        <v>10</v>
      </c>
      <c r="R37" s="24">
        <f t="shared" si="1"/>
        <v>18</v>
      </c>
      <c r="S37" s="24">
        <f t="shared" si="2"/>
        <v>22</v>
      </c>
      <c r="T37" s="25">
        <v>18.0</v>
      </c>
    </row>
    <row r="38">
      <c r="A38" s="19">
        <v>45195.635459756944</v>
      </c>
      <c r="B38" s="20" t="s">
        <v>86</v>
      </c>
      <c r="C38" s="21">
        <v>32.0</v>
      </c>
      <c r="D38" s="21">
        <v>2.201180235E9</v>
      </c>
      <c r="E38" s="22" t="s">
        <v>87</v>
      </c>
      <c r="F38" s="23">
        <v>2.0</v>
      </c>
      <c r="G38" s="23">
        <v>2.0</v>
      </c>
      <c r="H38" s="23">
        <v>2.0</v>
      </c>
      <c r="I38" s="23">
        <v>2.0</v>
      </c>
      <c r="J38" s="23">
        <v>2.0</v>
      </c>
      <c r="K38" s="23">
        <v>2.0</v>
      </c>
      <c r="L38" s="23">
        <v>4.0</v>
      </c>
      <c r="M38" s="23">
        <v>-1.0</v>
      </c>
      <c r="N38" s="23">
        <v>3.0</v>
      </c>
      <c r="O38" s="23">
        <v>4.0</v>
      </c>
      <c r="P38" s="24">
        <f t="array" ref="P38">sumif(LARGE(F38:K38,{1,2,3,4}),"&gt;0")</f>
        <v>8</v>
      </c>
      <c r="Q38" s="24">
        <f t="array" ref="Q38">sumif(LARGE(L38:O38,{1,2,3}),"&gt;0")</f>
        <v>11</v>
      </c>
      <c r="R38" s="24">
        <f t="shared" si="1"/>
        <v>19</v>
      </c>
      <c r="S38" s="24">
        <f t="shared" si="2"/>
        <v>23</v>
      </c>
      <c r="T38" s="25">
        <v>19.0</v>
      </c>
    </row>
    <row r="39">
      <c r="A39" s="19">
        <v>45195.635992662035</v>
      </c>
      <c r="B39" s="20" t="s">
        <v>88</v>
      </c>
      <c r="C39" s="21">
        <v>33.0</v>
      </c>
      <c r="D39" s="21">
        <v>2.201180237E9</v>
      </c>
      <c r="E39" s="22" t="s">
        <v>89</v>
      </c>
      <c r="F39" s="23">
        <v>2.0</v>
      </c>
      <c r="G39" s="23">
        <v>2.0</v>
      </c>
      <c r="H39" s="23">
        <v>2.0</v>
      </c>
      <c r="I39" s="23">
        <v>2.0</v>
      </c>
      <c r="J39" s="23">
        <v>0.0</v>
      </c>
      <c r="K39" s="23">
        <v>2.0</v>
      </c>
      <c r="L39" s="23">
        <v>4.0</v>
      </c>
      <c r="M39" s="23">
        <v>3.0</v>
      </c>
      <c r="N39" s="23">
        <v>1.0</v>
      </c>
      <c r="O39" s="23">
        <v>4.0</v>
      </c>
      <c r="P39" s="24">
        <f t="array" ref="P39">sumif(LARGE(F39:K39,{1,2,3,4}),"&gt;0")</f>
        <v>8</v>
      </c>
      <c r="Q39" s="24">
        <f t="array" ref="Q39">sumif(LARGE(L39:O39,{1,2,3}),"&gt;0")</f>
        <v>11</v>
      </c>
      <c r="R39" s="24">
        <f t="shared" si="1"/>
        <v>19</v>
      </c>
      <c r="S39" s="24">
        <f t="shared" si="2"/>
        <v>22</v>
      </c>
      <c r="T39" s="25">
        <v>19.0</v>
      </c>
    </row>
    <row r="40">
      <c r="A40" s="19">
        <v>45195.6395156713</v>
      </c>
      <c r="B40" s="20" t="s">
        <v>90</v>
      </c>
      <c r="C40" s="21">
        <v>34.0</v>
      </c>
      <c r="D40" s="21">
        <v>2.201180238E9</v>
      </c>
      <c r="E40" s="22" t="s">
        <v>91</v>
      </c>
      <c r="F40" s="23">
        <v>-1.0</v>
      </c>
      <c r="G40" s="23">
        <v>-1.0</v>
      </c>
      <c r="H40" s="23">
        <v>-1.0</v>
      </c>
      <c r="I40" s="23">
        <v>-1.0</v>
      </c>
      <c r="J40" s="23">
        <v>-1.0</v>
      </c>
      <c r="K40" s="23">
        <v>-1.0</v>
      </c>
      <c r="L40" s="23">
        <v>-1.0</v>
      </c>
      <c r="M40" s="23">
        <v>-1.0</v>
      </c>
      <c r="N40" s="23">
        <v>-1.0</v>
      </c>
      <c r="O40" s="23">
        <v>2.0</v>
      </c>
      <c r="P40" s="24">
        <f t="array" ref="P40">sumif(LARGE(F40:K40,{1,2,3,4}),"&gt;0")</f>
        <v>0</v>
      </c>
      <c r="Q40" s="24">
        <f t="array" ref="Q40">sumif(LARGE(L40:O40,{1,2,3}),"&gt;0")</f>
        <v>2</v>
      </c>
      <c r="R40" s="24">
        <f t="shared" si="1"/>
        <v>2</v>
      </c>
      <c r="S40" s="24">
        <f t="shared" si="2"/>
        <v>2</v>
      </c>
      <c r="T40" s="25">
        <v>2.0</v>
      </c>
    </row>
    <row r="41">
      <c r="A41" s="19">
        <v>45195.636315613425</v>
      </c>
      <c r="B41" s="20" t="s">
        <v>92</v>
      </c>
      <c r="C41" s="21">
        <v>35.0</v>
      </c>
      <c r="D41" s="21">
        <v>2.201180241E9</v>
      </c>
      <c r="E41" s="22" t="s">
        <v>93</v>
      </c>
      <c r="F41" s="23">
        <v>2.0</v>
      </c>
      <c r="G41" s="23">
        <v>2.0</v>
      </c>
      <c r="H41" s="23">
        <v>2.0</v>
      </c>
      <c r="I41" s="23">
        <v>0.0</v>
      </c>
      <c r="J41" s="23">
        <v>2.0</v>
      </c>
      <c r="K41" s="23">
        <v>-1.0</v>
      </c>
      <c r="L41" s="23">
        <v>2.0</v>
      </c>
      <c r="M41" s="23">
        <v>3.0</v>
      </c>
      <c r="N41" s="23">
        <v>-1.0</v>
      </c>
      <c r="O41" s="23">
        <v>3.0</v>
      </c>
      <c r="P41" s="24">
        <f t="array" ref="P41">sumif(LARGE(F41:K41,{1,2,3,4}),"&gt;0")</f>
        <v>8</v>
      </c>
      <c r="Q41" s="24">
        <f t="array" ref="Q41">sumif(LARGE(L41:O41,{1,2,3}),"&gt;0")</f>
        <v>8</v>
      </c>
      <c r="R41" s="24">
        <f t="shared" si="1"/>
        <v>16</v>
      </c>
      <c r="S41" s="24">
        <f t="shared" si="2"/>
        <v>16</v>
      </c>
      <c r="T41" s="25">
        <v>16.0</v>
      </c>
    </row>
    <row r="42">
      <c r="A42" s="19">
        <v>45196.56598</v>
      </c>
      <c r="B42" s="20" t="s">
        <v>66</v>
      </c>
      <c r="C42" s="21">
        <v>36.0</v>
      </c>
      <c r="D42" s="21">
        <v>2.201180242E9</v>
      </c>
      <c r="E42" s="22" t="s">
        <v>94</v>
      </c>
      <c r="F42" s="23">
        <v>-1.0</v>
      </c>
      <c r="G42" s="23">
        <v>-1.0</v>
      </c>
      <c r="H42" s="23">
        <v>-1.0</v>
      </c>
      <c r="I42" s="23">
        <v>-1.0</v>
      </c>
      <c r="J42" s="23">
        <v>2.0</v>
      </c>
      <c r="K42" s="23">
        <v>-1.0</v>
      </c>
      <c r="L42" s="23">
        <v>-1.0</v>
      </c>
      <c r="M42" s="23">
        <v>-1.0</v>
      </c>
      <c r="N42" s="23">
        <v>1.0</v>
      </c>
      <c r="O42" s="23">
        <v>-1.0</v>
      </c>
      <c r="P42" s="24">
        <f t="array" ref="P42">sumif(LARGE(F42:K42,{1,2,3,4}),"&gt;0")</f>
        <v>2</v>
      </c>
      <c r="Q42" s="24">
        <f t="array" ref="Q42">sumif(LARGE(L42:O42,{1,2,3}),"&gt;0")</f>
        <v>1</v>
      </c>
      <c r="R42" s="24">
        <f t="shared" si="1"/>
        <v>3</v>
      </c>
      <c r="S42" s="24">
        <f t="shared" si="2"/>
        <v>3</v>
      </c>
      <c r="T42" s="25">
        <v>3.0</v>
      </c>
    </row>
    <row r="43">
      <c r="A43" s="19">
        <v>45195.63545239583</v>
      </c>
      <c r="B43" s="20" t="s">
        <v>95</v>
      </c>
      <c r="C43" s="21">
        <v>37.0</v>
      </c>
      <c r="D43" s="21">
        <v>2.201180243E9</v>
      </c>
      <c r="E43" s="22" t="s">
        <v>96</v>
      </c>
      <c r="F43" s="23">
        <v>2.0</v>
      </c>
      <c r="G43" s="23">
        <v>2.0</v>
      </c>
      <c r="H43" s="23">
        <v>2.0</v>
      </c>
      <c r="I43" s="23">
        <v>2.0</v>
      </c>
      <c r="J43" s="23">
        <v>2.0</v>
      </c>
      <c r="K43" s="23">
        <v>-1.0</v>
      </c>
      <c r="L43" s="23">
        <v>4.0</v>
      </c>
      <c r="M43" s="23">
        <v>4.0</v>
      </c>
      <c r="N43" s="23">
        <v>-1.0</v>
      </c>
      <c r="O43" s="23">
        <v>4.0</v>
      </c>
      <c r="P43" s="24">
        <f t="array" ref="P43">sumif(LARGE(F43:K43,{1,2,3,4}),"&gt;0")</f>
        <v>8</v>
      </c>
      <c r="Q43" s="24">
        <f t="array" ref="Q43">sumif(LARGE(L43:O43,{1,2,3}),"&gt;0")</f>
        <v>12</v>
      </c>
      <c r="R43" s="24">
        <f t="shared" si="1"/>
        <v>20</v>
      </c>
      <c r="S43" s="24">
        <f t="shared" si="2"/>
        <v>22</v>
      </c>
      <c r="T43" s="25">
        <v>20.0</v>
      </c>
    </row>
    <row r="44">
      <c r="A44" s="19">
        <v>45195.63887769676</v>
      </c>
      <c r="B44" s="20" t="s">
        <v>97</v>
      </c>
      <c r="C44" s="21">
        <v>38.0</v>
      </c>
      <c r="D44" s="21">
        <v>2.20118028E9</v>
      </c>
      <c r="E44" s="22" t="s">
        <v>98</v>
      </c>
      <c r="F44" s="23">
        <v>2.0</v>
      </c>
      <c r="G44" s="23">
        <v>2.0</v>
      </c>
      <c r="H44" s="23">
        <v>2.0</v>
      </c>
      <c r="I44" s="23">
        <v>2.0</v>
      </c>
      <c r="J44" s="23">
        <v>2.0</v>
      </c>
      <c r="K44" s="23">
        <v>2.0</v>
      </c>
      <c r="L44" s="23">
        <v>4.0</v>
      </c>
      <c r="M44" s="23">
        <v>-1.0</v>
      </c>
      <c r="N44" s="23">
        <v>-1.0</v>
      </c>
      <c r="O44" s="23">
        <v>4.0</v>
      </c>
      <c r="P44" s="24">
        <f t="array" ref="P44">sumif(LARGE(F44:K44,{1,2,3,4}),"&gt;0")</f>
        <v>8</v>
      </c>
      <c r="Q44" s="24">
        <f t="array" ref="Q44">sumif(LARGE(L44:O44,{1,2,3}),"&gt;0")</f>
        <v>8</v>
      </c>
      <c r="R44" s="24">
        <f t="shared" si="1"/>
        <v>16</v>
      </c>
      <c r="S44" s="24">
        <f t="shared" si="2"/>
        <v>20</v>
      </c>
      <c r="T44" s="25">
        <v>16.0</v>
      </c>
    </row>
    <row r="45">
      <c r="A45" s="19">
        <v>45195.63602144676</v>
      </c>
      <c r="B45" s="20" t="s">
        <v>99</v>
      </c>
      <c r="C45" s="21">
        <v>39.0</v>
      </c>
      <c r="D45" s="21">
        <v>2.201180282E9</v>
      </c>
      <c r="E45" s="22" t="s">
        <v>100</v>
      </c>
      <c r="F45" s="23">
        <v>2.0</v>
      </c>
      <c r="G45" s="23">
        <v>-1.0</v>
      </c>
      <c r="H45" s="23">
        <v>2.0</v>
      </c>
      <c r="I45" s="23">
        <v>2.0</v>
      </c>
      <c r="J45" s="23">
        <v>1.0</v>
      </c>
      <c r="K45" s="23">
        <v>-1.0</v>
      </c>
      <c r="L45" s="23">
        <v>3.0</v>
      </c>
      <c r="M45" s="23">
        <v>-1.0</v>
      </c>
      <c r="N45" s="23">
        <v>2.0</v>
      </c>
      <c r="O45" s="23">
        <v>1.0</v>
      </c>
      <c r="P45" s="24">
        <f t="array" ref="P45">sumif(LARGE(F45:K45,{1,2,3,4}),"&gt;0")</f>
        <v>7</v>
      </c>
      <c r="Q45" s="24">
        <f t="array" ref="Q45">sumif(LARGE(L45:O45,{1,2,3}),"&gt;0")</f>
        <v>6</v>
      </c>
      <c r="R45" s="24">
        <f t="shared" si="1"/>
        <v>13</v>
      </c>
      <c r="S45" s="24">
        <f t="shared" si="2"/>
        <v>13</v>
      </c>
      <c r="T45" s="25">
        <v>13.0</v>
      </c>
    </row>
    <row r="46">
      <c r="A46" s="19">
        <v>45195.637908530094</v>
      </c>
      <c r="B46" s="20" t="s">
        <v>101</v>
      </c>
      <c r="C46" s="21">
        <v>40.0</v>
      </c>
      <c r="D46" s="21">
        <v>2.201180283E9</v>
      </c>
      <c r="E46" s="22" t="s">
        <v>102</v>
      </c>
      <c r="F46" s="23">
        <v>2.0</v>
      </c>
      <c r="G46" s="23">
        <v>2.0</v>
      </c>
      <c r="H46" s="23">
        <v>2.0</v>
      </c>
      <c r="I46" s="23">
        <v>2.0</v>
      </c>
      <c r="J46" s="23">
        <v>2.0</v>
      </c>
      <c r="K46" s="23">
        <v>-1.0</v>
      </c>
      <c r="L46" s="23">
        <v>3.0</v>
      </c>
      <c r="M46" s="23">
        <v>4.0</v>
      </c>
      <c r="N46" s="23">
        <v>-1.0</v>
      </c>
      <c r="O46" s="23">
        <v>4.0</v>
      </c>
      <c r="P46" s="24">
        <f t="array" ref="P46">sumif(LARGE(F46:K46,{1,2,3,4}),"&gt;0")</f>
        <v>8</v>
      </c>
      <c r="Q46" s="24">
        <f t="array" ref="Q46">sumif(LARGE(L46:O46,{1,2,3}),"&gt;0")</f>
        <v>11</v>
      </c>
      <c r="R46" s="24">
        <f t="shared" si="1"/>
        <v>19</v>
      </c>
      <c r="S46" s="24">
        <f t="shared" si="2"/>
        <v>21</v>
      </c>
      <c r="T46" s="25">
        <v>19.0</v>
      </c>
    </row>
    <row r="47">
      <c r="A47" s="19">
        <v>45196.565575555556</v>
      </c>
      <c r="B47" s="20" t="s">
        <v>50</v>
      </c>
      <c r="C47" s="21">
        <v>41.0</v>
      </c>
      <c r="D47" s="21">
        <v>2.201180401E9</v>
      </c>
      <c r="E47" s="22" t="s">
        <v>103</v>
      </c>
      <c r="F47" s="23">
        <v>2.0</v>
      </c>
      <c r="G47" s="23">
        <v>2.0</v>
      </c>
      <c r="H47" s="23">
        <v>2.0</v>
      </c>
      <c r="I47" s="23">
        <v>2.0</v>
      </c>
      <c r="J47" s="23">
        <v>2.0</v>
      </c>
      <c r="K47" s="23">
        <v>-1.0</v>
      </c>
      <c r="L47" s="23">
        <v>4.0</v>
      </c>
      <c r="M47" s="23">
        <v>3.0</v>
      </c>
      <c r="N47" s="23">
        <v>1.0</v>
      </c>
      <c r="O47" s="23">
        <v>3.0</v>
      </c>
      <c r="P47" s="24">
        <f t="array" ref="P47">sumif(LARGE(F47:K47,{1,2,3,4}),"&gt;0")</f>
        <v>8</v>
      </c>
      <c r="Q47" s="24">
        <f t="array" ref="Q47">sumif(LARGE(L47:O47,{1,2,3}),"&gt;0")</f>
        <v>10</v>
      </c>
      <c r="R47" s="24">
        <f t="shared" si="1"/>
        <v>18</v>
      </c>
      <c r="S47" s="24">
        <f t="shared" si="2"/>
        <v>21</v>
      </c>
      <c r="T47" s="25">
        <v>18.0</v>
      </c>
    </row>
    <row r="48">
      <c r="A48" s="19">
        <v>45196.56495216435</v>
      </c>
      <c r="B48" s="20" t="s">
        <v>28</v>
      </c>
      <c r="C48" s="21">
        <v>42.0</v>
      </c>
      <c r="D48" s="21">
        <v>2.201180404E9</v>
      </c>
      <c r="E48" s="22" t="s">
        <v>104</v>
      </c>
      <c r="F48" s="23">
        <v>2.0</v>
      </c>
      <c r="G48" s="23">
        <v>2.0</v>
      </c>
      <c r="H48" s="23">
        <v>2.0</v>
      </c>
      <c r="I48" s="23">
        <v>2.0</v>
      </c>
      <c r="J48" s="23">
        <v>2.0</v>
      </c>
      <c r="K48" s="23">
        <v>-1.0</v>
      </c>
      <c r="L48" s="23">
        <v>3.0</v>
      </c>
      <c r="M48" s="23">
        <v>1.0</v>
      </c>
      <c r="N48" s="23">
        <v>0.0</v>
      </c>
      <c r="O48" s="23">
        <v>2.0</v>
      </c>
      <c r="P48" s="24">
        <f t="array" ref="P48">sumif(LARGE(F48:K48,{1,2,3,4}),"&gt;0")</f>
        <v>8</v>
      </c>
      <c r="Q48" s="24">
        <f t="array" ref="Q48">sumif(LARGE(L48:O48,{1,2,3}),"&gt;0")</f>
        <v>6</v>
      </c>
      <c r="R48" s="24">
        <f t="shared" si="1"/>
        <v>14</v>
      </c>
      <c r="S48" s="24">
        <f t="shared" si="2"/>
        <v>16</v>
      </c>
      <c r="T48" s="25">
        <v>14.0</v>
      </c>
    </row>
    <row r="49">
      <c r="A49" s="19">
        <v>45195.63922703704</v>
      </c>
      <c r="B49" s="20" t="s">
        <v>105</v>
      </c>
      <c r="C49" s="21">
        <v>43.0</v>
      </c>
      <c r="D49" s="21">
        <v>2.201180405E9</v>
      </c>
      <c r="E49" s="22" t="s">
        <v>106</v>
      </c>
      <c r="F49" s="23">
        <v>2.0</v>
      </c>
      <c r="G49" s="23">
        <v>0.0</v>
      </c>
      <c r="H49" s="23">
        <v>0.0</v>
      </c>
      <c r="I49" s="23">
        <v>0.0</v>
      </c>
      <c r="J49" s="23">
        <v>0.0</v>
      </c>
      <c r="K49" s="23">
        <v>1.0</v>
      </c>
      <c r="L49" s="23">
        <v>0.0</v>
      </c>
      <c r="M49" s="23">
        <v>1.0</v>
      </c>
      <c r="N49" s="23">
        <v>0.0</v>
      </c>
      <c r="O49" s="23">
        <v>-1.0</v>
      </c>
      <c r="P49" s="24">
        <f t="array" ref="P49">sumif(LARGE(F49:K49,{1,2,3,4}),"&gt;0")</f>
        <v>3</v>
      </c>
      <c r="Q49" s="24">
        <f t="array" ref="Q49">sumif(LARGE(L49:O49,{1,2,3}),"&gt;0")</f>
        <v>1</v>
      </c>
      <c r="R49" s="24">
        <f t="shared" si="1"/>
        <v>4</v>
      </c>
      <c r="S49" s="24">
        <f t="shared" si="2"/>
        <v>4</v>
      </c>
      <c r="T49" s="25">
        <v>4.0</v>
      </c>
    </row>
    <row r="50">
      <c r="A50" s="19">
        <v>45195.636117581016</v>
      </c>
      <c r="B50" s="20" t="s">
        <v>107</v>
      </c>
      <c r="C50" s="21">
        <v>44.0</v>
      </c>
      <c r="D50" s="21">
        <v>2.201180406E9</v>
      </c>
      <c r="E50" s="22" t="s">
        <v>108</v>
      </c>
      <c r="F50" s="23">
        <v>2.0</v>
      </c>
      <c r="G50" s="23">
        <v>2.0</v>
      </c>
      <c r="H50" s="23">
        <v>2.0</v>
      </c>
      <c r="I50" s="23">
        <v>2.0</v>
      </c>
      <c r="J50" s="23">
        <v>2.0</v>
      </c>
      <c r="K50" s="23">
        <v>-1.0</v>
      </c>
      <c r="L50" s="23">
        <v>4.0</v>
      </c>
      <c r="M50" s="23">
        <v>4.0</v>
      </c>
      <c r="N50" s="23">
        <v>-1.0</v>
      </c>
      <c r="O50" s="23">
        <v>4.0</v>
      </c>
      <c r="P50" s="24">
        <f t="array" ref="P50">sumif(LARGE(F50:K50,{1,2,3,4}),"&gt;0")</f>
        <v>8</v>
      </c>
      <c r="Q50" s="24">
        <f t="array" ref="Q50">sumif(LARGE(L50:O50,{1,2,3}),"&gt;0")</f>
        <v>12</v>
      </c>
      <c r="R50" s="24">
        <f t="shared" si="1"/>
        <v>20</v>
      </c>
      <c r="S50" s="24">
        <f t="shared" si="2"/>
        <v>22</v>
      </c>
      <c r="T50" s="25">
        <v>20.0</v>
      </c>
    </row>
    <row r="51">
      <c r="A51" s="19">
        <v>45195.64014497685</v>
      </c>
      <c r="B51" s="20" t="s">
        <v>109</v>
      </c>
      <c r="C51" s="21">
        <v>45.0</v>
      </c>
      <c r="D51" s="21">
        <v>2.201180407E9</v>
      </c>
      <c r="E51" s="22" t="s">
        <v>110</v>
      </c>
      <c r="F51" s="23">
        <v>2.0</v>
      </c>
      <c r="G51" s="23">
        <v>-1.0</v>
      </c>
      <c r="H51" s="23">
        <v>2.0</v>
      </c>
      <c r="I51" s="23">
        <v>2.0</v>
      </c>
      <c r="J51" s="23">
        <v>2.0</v>
      </c>
      <c r="K51" s="23">
        <v>-1.0</v>
      </c>
      <c r="L51" s="23">
        <v>0.0</v>
      </c>
      <c r="M51" s="23">
        <v>3.0</v>
      </c>
      <c r="N51" s="23">
        <v>2.0</v>
      </c>
      <c r="O51" s="23">
        <v>1.0</v>
      </c>
      <c r="P51" s="24">
        <f t="array" ref="P51">sumif(LARGE(F51:K51,{1,2,3,4}),"&gt;0")</f>
        <v>8</v>
      </c>
      <c r="Q51" s="24">
        <f t="array" ref="Q51">sumif(LARGE(L51:O51,{1,2,3}),"&gt;0")</f>
        <v>6</v>
      </c>
      <c r="R51" s="24">
        <f t="shared" si="1"/>
        <v>14</v>
      </c>
      <c r="S51" s="24">
        <f t="shared" si="2"/>
        <v>14</v>
      </c>
      <c r="T51" s="25">
        <v>14.0</v>
      </c>
    </row>
    <row r="52">
      <c r="A52" s="19">
        <v>45195.64084375</v>
      </c>
      <c r="B52" s="20" t="s">
        <v>109</v>
      </c>
      <c r="C52" s="21">
        <v>46.0</v>
      </c>
      <c r="D52" s="21">
        <v>2.201180408E9</v>
      </c>
      <c r="E52" s="22" t="s">
        <v>111</v>
      </c>
      <c r="F52" s="23">
        <v>2.0</v>
      </c>
      <c r="G52" s="23">
        <v>2.0</v>
      </c>
      <c r="H52" s="23">
        <v>2.0</v>
      </c>
      <c r="I52" s="23">
        <v>2.0</v>
      </c>
      <c r="J52" s="23">
        <v>2.0</v>
      </c>
      <c r="K52" s="23">
        <v>2.0</v>
      </c>
      <c r="L52" s="23">
        <v>4.0</v>
      </c>
      <c r="M52" s="23">
        <v>4.0</v>
      </c>
      <c r="N52" s="23">
        <v>4.0</v>
      </c>
      <c r="O52" s="23">
        <v>4.0</v>
      </c>
      <c r="P52" s="24">
        <f t="array" ref="P52">sumif(LARGE(F52:K52,{1,2,3,4}),"&gt;0")</f>
        <v>8</v>
      </c>
      <c r="Q52" s="24">
        <f t="array" ref="Q52">sumif(LARGE(L52:O52,{1,2,3}),"&gt;0")</f>
        <v>12</v>
      </c>
      <c r="R52" s="24">
        <f t="shared" si="1"/>
        <v>20</v>
      </c>
      <c r="S52" s="24">
        <f t="shared" si="2"/>
        <v>28</v>
      </c>
      <c r="T52" s="25">
        <v>20.0</v>
      </c>
    </row>
    <row r="53">
      <c r="A53" s="19">
        <v>45195.63438795139</v>
      </c>
      <c r="B53" s="20" t="s">
        <v>112</v>
      </c>
      <c r="C53" s="21">
        <v>47.0</v>
      </c>
      <c r="D53" s="21">
        <v>2.20118041E9</v>
      </c>
      <c r="E53" s="22" t="s">
        <v>113</v>
      </c>
      <c r="F53" s="23">
        <v>2.0</v>
      </c>
      <c r="G53" s="23">
        <v>2.0</v>
      </c>
      <c r="H53" s="23">
        <v>2.0</v>
      </c>
      <c r="I53" s="23">
        <v>2.0</v>
      </c>
      <c r="J53" s="23">
        <v>2.0</v>
      </c>
      <c r="K53" s="23">
        <v>2.0</v>
      </c>
      <c r="L53" s="23">
        <v>4.0</v>
      </c>
      <c r="M53" s="23">
        <v>-1.0</v>
      </c>
      <c r="N53" s="23">
        <v>-1.0</v>
      </c>
      <c r="O53" s="23">
        <v>2.0</v>
      </c>
      <c r="P53" s="24">
        <f t="array" ref="P53">sumif(LARGE(F53:K53,{1,2,3,4}),"&gt;0")</f>
        <v>8</v>
      </c>
      <c r="Q53" s="24">
        <f t="array" ref="Q53">sumif(LARGE(L53:O53,{1,2,3}),"&gt;0")</f>
        <v>6</v>
      </c>
      <c r="R53" s="24">
        <f t="shared" si="1"/>
        <v>14</v>
      </c>
      <c r="S53" s="24">
        <f t="shared" si="2"/>
        <v>18</v>
      </c>
      <c r="T53" s="25">
        <v>14.0</v>
      </c>
    </row>
    <row r="54">
      <c r="A54" s="19">
        <v>45195.63429061342</v>
      </c>
      <c r="B54" s="20" t="s">
        <v>114</v>
      </c>
      <c r="C54" s="21">
        <v>48.0</v>
      </c>
      <c r="D54" s="21">
        <v>2.201180411E9</v>
      </c>
      <c r="E54" s="22" t="s">
        <v>115</v>
      </c>
      <c r="F54" s="23">
        <v>2.0</v>
      </c>
      <c r="G54" s="23">
        <v>2.0</v>
      </c>
      <c r="H54" s="23">
        <v>2.0</v>
      </c>
      <c r="I54" s="23">
        <v>2.0</v>
      </c>
      <c r="J54" s="23">
        <v>2.0</v>
      </c>
      <c r="K54" s="23">
        <v>2.0</v>
      </c>
      <c r="L54" s="23">
        <v>4.0</v>
      </c>
      <c r="M54" s="23">
        <v>4.0</v>
      </c>
      <c r="N54" s="23">
        <v>4.0</v>
      </c>
      <c r="O54" s="23">
        <v>4.0</v>
      </c>
      <c r="P54" s="24">
        <f t="array" ref="P54">sumif(LARGE(F54:K54,{1,2,3,4}),"&gt;0")</f>
        <v>8</v>
      </c>
      <c r="Q54" s="24">
        <f t="array" ref="Q54">sumif(LARGE(L54:O54,{1,2,3}),"&gt;0")</f>
        <v>12</v>
      </c>
      <c r="R54" s="24">
        <f t="shared" si="1"/>
        <v>20</v>
      </c>
      <c r="S54" s="24">
        <f t="shared" si="2"/>
        <v>28</v>
      </c>
      <c r="T54" s="25">
        <v>20.0</v>
      </c>
    </row>
    <row r="55">
      <c r="A55" s="19">
        <v>45195.636463946765</v>
      </c>
      <c r="B55" s="20" t="s">
        <v>116</v>
      </c>
      <c r="C55" s="21">
        <v>49.0</v>
      </c>
      <c r="D55" s="21">
        <v>2.201180412E9</v>
      </c>
      <c r="E55" s="22" t="s">
        <v>117</v>
      </c>
      <c r="F55" s="23">
        <v>-1.0</v>
      </c>
      <c r="G55" s="23">
        <v>1.0</v>
      </c>
      <c r="H55" s="23">
        <v>-1.0</v>
      </c>
      <c r="I55" s="23">
        <v>2.0</v>
      </c>
      <c r="J55" s="23">
        <v>2.0</v>
      </c>
      <c r="K55" s="23">
        <v>-1.0</v>
      </c>
      <c r="L55" s="23">
        <v>-1.0</v>
      </c>
      <c r="M55" s="23">
        <v>3.0</v>
      </c>
      <c r="N55" s="23">
        <v>3.0</v>
      </c>
      <c r="O55" s="23">
        <v>-1.0</v>
      </c>
      <c r="P55" s="24">
        <f t="array" ref="P55">sumif(LARGE(F55:K55,{1,2,3,4}),"&gt;0")</f>
        <v>5</v>
      </c>
      <c r="Q55" s="24">
        <f t="array" ref="Q55">sumif(LARGE(L55:O55,{1,2,3}),"&gt;0")</f>
        <v>6</v>
      </c>
      <c r="R55" s="24">
        <f t="shared" si="1"/>
        <v>11</v>
      </c>
      <c r="S55" s="24">
        <f t="shared" si="2"/>
        <v>11</v>
      </c>
      <c r="T55" s="25">
        <v>11.0</v>
      </c>
    </row>
    <row r="56">
      <c r="A56" s="19">
        <v>45195.63576736111</v>
      </c>
      <c r="B56" s="20" t="s">
        <v>118</v>
      </c>
      <c r="C56" s="21">
        <v>50.0</v>
      </c>
      <c r="D56" s="21">
        <v>2.201180413E9</v>
      </c>
      <c r="E56" s="22" t="s">
        <v>119</v>
      </c>
      <c r="F56" s="23">
        <v>2.0</v>
      </c>
      <c r="G56" s="23">
        <v>2.0</v>
      </c>
      <c r="H56" s="23">
        <v>2.0</v>
      </c>
      <c r="I56" s="23">
        <v>2.0</v>
      </c>
      <c r="J56" s="23">
        <v>2.0</v>
      </c>
      <c r="K56" s="23">
        <v>1.0</v>
      </c>
      <c r="L56" s="23">
        <v>-1.0</v>
      </c>
      <c r="M56" s="23">
        <v>3.0</v>
      </c>
      <c r="N56" s="23">
        <v>0.0</v>
      </c>
      <c r="O56" s="23">
        <v>2.0</v>
      </c>
      <c r="P56" s="24">
        <f t="array" ref="P56">sumif(LARGE(F56:K56,{1,2,3,4}),"&gt;0")</f>
        <v>8</v>
      </c>
      <c r="Q56" s="24">
        <f t="array" ref="Q56">sumif(LARGE(L56:O56,{1,2,3}),"&gt;0")</f>
        <v>5</v>
      </c>
      <c r="R56" s="24">
        <f t="shared" si="1"/>
        <v>13</v>
      </c>
      <c r="S56" s="24">
        <f t="shared" si="2"/>
        <v>16</v>
      </c>
      <c r="T56" s="25">
        <v>13.0</v>
      </c>
    </row>
    <row r="57">
      <c r="A57" s="19">
        <v>45195.640183298616</v>
      </c>
      <c r="B57" s="20" t="s">
        <v>120</v>
      </c>
      <c r="C57" s="21">
        <v>51.0</v>
      </c>
      <c r="D57" s="21">
        <v>2.201180414E9</v>
      </c>
      <c r="E57" s="22" t="s">
        <v>121</v>
      </c>
      <c r="F57" s="23">
        <v>2.0</v>
      </c>
      <c r="G57" s="23">
        <v>2.0</v>
      </c>
      <c r="H57" s="23">
        <v>2.0</v>
      </c>
      <c r="I57" s="23">
        <v>2.0</v>
      </c>
      <c r="J57" s="23">
        <v>2.0</v>
      </c>
      <c r="K57" s="23">
        <v>2.0</v>
      </c>
      <c r="L57" s="23">
        <v>3.0</v>
      </c>
      <c r="M57" s="23">
        <v>3.0</v>
      </c>
      <c r="N57" s="23">
        <v>3.0</v>
      </c>
      <c r="O57" s="23">
        <v>3.0</v>
      </c>
      <c r="P57" s="24">
        <f t="array" ref="P57">sumif(LARGE(F57:K57,{1,2,3,4}),"&gt;0")</f>
        <v>8</v>
      </c>
      <c r="Q57" s="24">
        <f t="array" ref="Q57">sumif(LARGE(L57:O57,{1,2,3}),"&gt;0")</f>
        <v>9</v>
      </c>
      <c r="R57" s="24">
        <f t="shared" si="1"/>
        <v>17</v>
      </c>
      <c r="S57" s="24">
        <f t="shared" si="2"/>
        <v>24</v>
      </c>
      <c r="T57" s="25">
        <v>17.0</v>
      </c>
    </row>
    <row r="58">
      <c r="A58" s="19">
        <v>45195.63489084491</v>
      </c>
      <c r="B58" s="20" t="s">
        <v>122</v>
      </c>
      <c r="C58" s="21">
        <v>52.0</v>
      </c>
      <c r="D58" s="21">
        <v>2.201180415E9</v>
      </c>
      <c r="E58" s="22" t="s">
        <v>123</v>
      </c>
      <c r="F58" s="23">
        <v>2.0</v>
      </c>
      <c r="G58" s="23">
        <v>-1.0</v>
      </c>
      <c r="H58" s="23">
        <v>2.0</v>
      </c>
      <c r="I58" s="23">
        <v>2.0</v>
      </c>
      <c r="J58" s="23">
        <v>2.0</v>
      </c>
      <c r="K58" s="23">
        <v>-1.0</v>
      </c>
      <c r="L58" s="23">
        <v>2.0</v>
      </c>
      <c r="M58" s="23">
        <v>0.0</v>
      </c>
      <c r="N58" s="23">
        <v>3.0</v>
      </c>
      <c r="O58" s="23">
        <v>2.0</v>
      </c>
      <c r="P58" s="24">
        <f t="array" ref="P58">sumif(LARGE(F58:K58,{1,2,3,4}),"&gt;0")</f>
        <v>8</v>
      </c>
      <c r="Q58" s="24">
        <f t="array" ref="Q58">sumif(LARGE(L58:O58,{1,2,3}),"&gt;0")</f>
        <v>7</v>
      </c>
      <c r="R58" s="24">
        <f t="shared" si="1"/>
        <v>15</v>
      </c>
      <c r="S58" s="24">
        <f t="shared" si="2"/>
        <v>15</v>
      </c>
      <c r="T58" s="25">
        <v>15.0</v>
      </c>
    </row>
    <row r="59">
      <c r="A59" s="19">
        <v>45195.63776262732</v>
      </c>
      <c r="B59" s="20" t="s">
        <v>124</v>
      </c>
      <c r="C59" s="21">
        <v>53.0</v>
      </c>
      <c r="D59" s="21">
        <v>2.201180416E9</v>
      </c>
      <c r="E59" s="22" t="s">
        <v>125</v>
      </c>
      <c r="F59" s="23">
        <v>2.0</v>
      </c>
      <c r="G59" s="23">
        <v>2.0</v>
      </c>
      <c r="H59" s="23">
        <v>-1.0</v>
      </c>
      <c r="I59" s="23">
        <v>2.0</v>
      </c>
      <c r="J59" s="23">
        <v>2.0</v>
      </c>
      <c r="K59" s="23">
        <v>2.0</v>
      </c>
      <c r="L59" s="23">
        <v>3.0</v>
      </c>
      <c r="M59" s="23">
        <v>-1.0</v>
      </c>
      <c r="N59" s="23">
        <v>-1.0</v>
      </c>
      <c r="O59" s="23">
        <v>3.0</v>
      </c>
      <c r="P59" s="24">
        <f t="array" ref="P59">sumif(LARGE(F59:K59,{1,2,3,4}),"&gt;0")</f>
        <v>8</v>
      </c>
      <c r="Q59" s="24">
        <f t="array" ref="Q59">sumif(LARGE(L59:O59,{1,2,3}),"&gt;0")</f>
        <v>6</v>
      </c>
      <c r="R59" s="24">
        <f t="shared" si="1"/>
        <v>14</v>
      </c>
      <c r="S59" s="24">
        <f t="shared" si="2"/>
        <v>16</v>
      </c>
      <c r="T59" s="25">
        <v>14.0</v>
      </c>
    </row>
    <row r="60">
      <c r="A60" s="19">
        <v>45195.63658814815</v>
      </c>
      <c r="B60" s="20" t="s">
        <v>126</v>
      </c>
      <c r="C60" s="21">
        <v>54.0</v>
      </c>
      <c r="D60" s="21">
        <v>2.201180417E9</v>
      </c>
      <c r="E60" s="22" t="s">
        <v>127</v>
      </c>
      <c r="F60" s="23">
        <v>2.0</v>
      </c>
      <c r="G60" s="23">
        <v>2.0</v>
      </c>
      <c r="H60" s="23">
        <v>2.0</v>
      </c>
      <c r="I60" s="23">
        <v>2.0</v>
      </c>
      <c r="J60" s="23">
        <v>2.0</v>
      </c>
      <c r="K60" s="23">
        <v>-1.0</v>
      </c>
      <c r="L60" s="23">
        <v>4.0</v>
      </c>
      <c r="M60" s="23">
        <v>4.0</v>
      </c>
      <c r="N60" s="23">
        <v>4.0</v>
      </c>
      <c r="O60" s="23">
        <v>-1.0</v>
      </c>
      <c r="P60" s="24">
        <f t="array" ref="P60">sumif(LARGE(F60:K60,{1,2,3,4}),"&gt;0")</f>
        <v>8</v>
      </c>
      <c r="Q60" s="24">
        <f t="array" ref="Q60">sumif(LARGE(L60:O60,{1,2,3}),"&gt;0")</f>
        <v>12</v>
      </c>
      <c r="R60" s="24">
        <f t="shared" si="1"/>
        <v>20</v>
      </c>
      <c r="S60" s="24">
        <f t="shared" si="2"/>
        <v>22</v>
      </c>
      <c r="T60" s="25">
        <v>20.0</v>
      </c>
    </row>
    <row r="61">
      <c r="A61" s="19">
        <v>45195.63898717593</v>
      </c>
      <c r="B61" s="20" t="s">
        <v>128</v>
      </c>
      <c r="C61" s="21">
        <v>55.0</v>
      </c>
      <c r="D61" s="21">
        <v>2.201180418E9</v>
      </c>
      <c r="E61" s="22" t="s">
        <v>129</v>
      </c>
      <c r="F61" s="23">
        <v>2.0</v>
      </c>
      <c r="G61" s="23">
        <v>2.0</v>
      </c>
      <c r="H61" s="23">
        <v>-1.0</v>
      </c>
      <c r="I61" s="23">
        <v>2.0</v>
      </c>
      <c r="J61" s="23">
        <v>2.0</v>
      </c>
      <c r="K61" s="23">
        <v>1.0</v>
      </c>
      <c r="L61" s="23">
        <v>3.0</v>
      </c>
      <c r="M61" s="23">
        <v>-1.0</v>
      </c>
      <c r="N61" s="23">
        <v>4.0</v>
      </c>
      <c r="O61" s="23">
        <v>4.0</v>
      </c>
      <c r="P61" s="24">
        <f t="array" ref="P61">sumif(LARGE(F61:K61,{1,2,3,4}),"&gt;0")</f>
        <v>8</v>
      </c>
      <c r="Q61" s="24">
        <f t="array" ref="Q61">sumif(LARGE(L61:O61,{1,2,3}),"&gt;0")</f>
        <v>11</v>
      </c>
      <c r="R61" s="24">
        <f t="shared" si="1"/>
        <v>19</v>
      </c>
      <c r="S61" s="24">
        <f t="shared" si="2"/>
        <v>20</v>
      </c>
      <c r="T61" s="25">
        <v>19.0</v>
      </c>
    </row>
    <row r="62">
      <c r="A62" s="19">
        <v>45196.57393434028</v>
      </c>
      <c r="B62" s="20" t="s">
        <v>28</v>
      </c>
      <c r="C62" s="21">
        <v>56.0</v>
      </c>
      <c r="D62" s="21">
        <v>2.201180419E9</v>
      </c>
      <c r="E62" s="22" t="s">
        <v>130</v>
      </c>
      <c r="F62" s="23">
        <v>2.0</v>
      </c>
      <c r="G62" s="23">
        <v>2.0</v>
      </c>
      <c r="H62" s="23">
        <v>2.0</v>
      </c>
      <c r="I62" s="23">
        <v>2.0</v>
      </c>
      <c r="J62" s="23">
        <v>2.0</v>
      </c>
      <c r="K62" s="23">
        <v>-1.0</v>
      </c>
      <c r="L62" s="23">
        <v>4.0</v>
      </c>
      <c r="M62" s="23">
        <v>3.0</v>
      </c>
      <c r="N62" s="23">
        <v>-1.0</v>
      </c>
      <c r="O62" s="23">
        <v>4.0</v>
      </c>
      <c r="P62" s="24">
        <f t="array" ref="P62">sumif(LARGE(F62:K62,{1,2,3,4}),"&gt;0")</f>
        <v>8</v>
      </c>
      <c r="Q62" s="24">
        <f t="array" ref="Q62">sumif(LARGE(L62:O62,{1,2,3}),"&gt;0")</f>
        <v>11</v>
      </c>
      <c r="R62" s="24">
        <f t="shared" si="1"/>
        <v>19</v>
      </c>
      <c r="S62" s="24">
        <f t="shared" si="2"/>
        <v>21</v>
      </c>
      <c r="T62" s="25">
        <v>19.0</v>
      </c>
    </row>
    <row r="63">
      <c r="A63" s="19">
        <v>45196.5518971875</v>
      </c>
      <c r="B63" s="20" t="s">
        <v>131</v>
      </c>
      <c r="C63" s="21">
        <v>57.0</v>
      </c>
      <c r="D63" s="21">
        <v>2.201180012E9</v>
      </c>
      <c r="E63" s="22" t="s">
        <v>132</v>
      </c>
      <c r="F63" s="23">
        <v>2.0</v>
      </c>
      <c r="G63" s="23">
        <v>2.0</v>
      </c>
      <c r="H63" s="23">
        <v>2.0</v>
      </c>
      <c r="I63" s="23">
        <v>-1.0</v>
      </c>
      <c r="J63" s="23">
        <v>2.0</v>
      </c>
      <c r="K63" s="23">
        <v>-1.0</v>
      </c>
      <c r="L63" s="23">
        <v>-1.0</v>
      </c>
      <c r="M63" s="23">
        <v>-1.0</v>
      </c>
      <c r="N63" s="23">
        <v>-1.0</v>
      </c>
      <c r="O63" s="23">
        <v>2.0</v>
      </c>
      <c r="P63" s="24">
        <f t="array" ref="P63">sumif(LARGE(F63:K63,{1,2,3,4}),"&gt;0")</f>
        <v>8</v>
      </c>
      <c r="Q63" s="24">
        <f t="array" ref="Q63">sumif(LARGE(L63:O63,{1,2,3}),"&gt;0")</f>
        <v>2</v>
      </c>
      <c r="R63" s="24">
        <f t="shared" si="1"/>
        <v>10</v>
      </c>
      <c r="S63" s="24">
        <f t="shared" si="2"/>
        <v>10</v>
      </c>
      <c r="T63" s="25">
        <v>10.0</v>
      </c>
    </row>
    <row r="64">
      <c r="A64" s="19">
        <v>45195.63699200231</v>
      </c>
      <c r="B64" s="20" t="s">
        <v>133</v>
      </c>
      <c r="C64" s="21">
        <v>58.0</v>
      </c>
      <c r="D64" s="21">
        <v>2.201180013E9</v>
      </c>
      <c r="E64" s="22" t="s">
        <v>134</v>
      </c>
      <c r="F64" s="23">
        <v>1.0</v>
      </c>
      <c r="G64" s="23">
        <v>0.0</v>
      </c>
      <c r="H64" s="23">
        <v>2.0</v>
      </c>
      <c r="I64" s="23">
        <v>0.0</v>
      </c>
      <c r="J64" s="23">
        <v>1.0</v>
      </c>
      <c r="K64" s="23">
        <v>2.0</v>
      </c>
      <c r="L64" s="23">
        <v>1.0</v>
      </c>
      <c r="M64" s="23">
        <v>0.0</v>
      </c>
      <c r="N64" s="23">
        <v>0.0</v>
      </c>
      <c r="O64" s="23">
        <v>0.0</v>
      </c>
      <c r="P64" s="24">
        <f t="array" ref="P64">sumif(LARGE(F64:K64,{1,2,3,4}),"&gt;0")</f>
        <v>6</v>
      </c>
      <c r="Q64" s="24">
        <f t="array" ref="Q64">sumif(LARGE(L64:O64,{1,2,3}),"&gt;0")</f>
        <v>1</v>
      </c>
      <c r="R64" s="24">
        <f t="shared" si="1"/>
        <v>7</v>
      </c>
      <c r="S64" s="24">
        <f t="shared" si="2"/>
        <v>7</v>
      </c>
      <c r="T64" s="25">
        <v>7.0</v>
      </c>
    </row>
    <row r="65">
      <c r="A65" s="19">
        <v>45196.56587662037</v>
      </c>
      <c r="B65" s="20" t="s">
        <v>70</v>
      </c>
      <c r="C65" s="21">
        <v>59.0</v>
      </c>
      <c r="D65" s="21">
        <v>2.201180236E9</v>
      </c>
      <c r="E65" s="22" t="s">
        <v>135</v>
      </c>
      <c r="F65" s="23">
        <v>2.0</v>
      </c>
      <c r="G65" s="23">
        <v>-1.0</v>
      </c>
      <c r="H65" s="23">
        <v>1.0</v>
      </c>
      <c r="I65" s="23">
        <v>-1.0</v>
      </c>
      <c r="J65" s="23">
        <v>-1.0</v>
      </c>
      <c r="K65" s="23">
        <v>-1.0</v>
      </c>
      <c r="L65" s="23">
        <v>-1.0</v>
      </c>
      <c r="M65" s="23">
        <v>-1.0</v>
      </c>
      <c r="N65" s="23">
        <v>1.0</v>
      </c>
      <c r="O65" s="23">
        <v>-1.0</v>
      </c>
      <c r="P65" s="24">
        <f t="array" ref="P65">sumif(LARGE(F65:K65,{1,2,3,4}),"&gt;0")</f>
        <v>3</v>
      </c>
      <c r="Q65" s="24">
        <f t="array" ref="Q65">sumif(LARGE(L65:O65,{1,2,3}),"&gt;0")</f>
        <v>1</v>
      </c>
      <c r="R65" s="24">
        <f t="shared" si="1"/>
        <v>4</v>
      </c>
      <c r="S65" s="24">
        <f t="shared" si="2"/>
        <v>4</v>
      </c>
      <c r="T65" s="25">
        <v>4.0</v>
      </c>
    </row>
    <row r="66">
      <c r="A66" s="19">
        <v>45195.63535210648</v>
      </c>
      <c r="B66" s="20" t="s">
        <v>136</v>
      </c>
      <c r="C66" s="21">
        <v>60.0</v>
      </c>
      <c r="D66" s="21">
        <v>2.20118024E9</v>
      </c>
      <c r="E66" s="22" t="s">
        <v>137</v>
      </c>
      <c r="F66" s="23">
        <v>0.0</v>
      </c>
      <c r="G66" s="23">
        <v>0.0</v>
      </c>
      <c r="H66" s="23">
        <v>0.0</v>
      </c>
      <c r="I66" s="23">
        <v>0.0</v>
      </c>
      <c r="J66" s="23">
        <v>0.0</v>
      </c>
      <c r="K66" s="23">
        <v>0.0</v>
      </c>
      <c r="L66" s="23">
        <v>0.0</v>
      </c>
      <c r="M66" s="23">
        <v>0.0</v>
      </c>
      <c r="N66" s="23">
        <v>0.0</v>
      </c>
      <c r="O66" s="23">
        <v>0.0</v>
      </c>
      <c r="P66" s="24">
        <f t="array" ref="P66">sumif(LARGE(F66:K66,{1,2,3,4}),"&gt;0")</f>
        <v>0</v>
      </c>
      <c r="Q66" s="24">
        <f t="array" ref="Q66">sumif(LARGE(L66:O66,{1,2,3}),"&gt;0")</f>
        <v>0</v>
      </c>
      <c r="R66" s="24">
        <f t="shared" si="1"/>
        <v>0</v>
      </c>
      <c r="S66" s="24">
        <f t="shared" si="2"/>
        <v>0</v>
      </c>
      <c r="T66" s="25">
        <v>0.0</v>
      </c>
    </row>
    <row r="67">
      <c r="A67" s="19"/>
      <c r="B67" s="20"/>
      <c r="C67" s="26">
        <v>61.0</v>
      </c>
      <c r="D67" s="21">
        <v>2.201180402E9</v>
      </c>
      <c r="E67" s="27" t="s">
        <v>138</v>
      </c>
      <c r="F67" s="22"/>
      <c r="G67" s="23"/>
      <c r="H67" s="23"/>
      <c r="I67" s="23"/>
      <c r="J67" s="23"/>
      <c r="K67" s="23"/>
      <c r="L67" s="23"/>
      <c r="M67" s="23"/>
      <c r="N67" s="23"/>
      <c r="O67" s="23"/>
      <c r="P67" s="24"/>
      <c r="Q67" s="24"/>
      <c r="R67" s="24"/>
      <c r="S67" s="24"/>
      <c r="T67" s="25"/>
    </row>
    <row r="68">
      <c r="A68" s="19"/>
      <c r="B68" s="20"/>
      <c r="C68" s="26">
        <v>62.0</v>
      </c>
      <c r="D68" s="21">
        <v>2.201180403E9</v>
      </c>
      <c r="E68" s="27" t="s">
        <v>139</v>
      </c>
      <c r="F68" s="22"/>
      <c r="G68" s="23"/>
      <c r="H68" s="23"/>
      <c r="I68" s="23"/>
      <c r="J68" s="23"/>
      <c r="K68" s="23"/>
      <c r="L68" s="23"/>
      <c r="M68" s="23"/>
      <c r="N68" s="23"/>
      <c r="O68" s="23"/>
      <c r="P68" s="24"/>
      <c r="Q68" s="24"/>
      <c r="R68" s="24"/>
      <c r="S68" s="24"/>
      <c r="T68" s="25"/>
    </row>
    <row r="69">
      <c r="A69" s="19">
        <v>45196.55334712963</v>
      </c>
      <c r="B69" s="20" t="s">
        <v>140</v>
      </c>
      <c r="C69" s="21">
        <v>63.0</v>
      </c>
      <c r="D69" s="21">
        <v>2.201180409E9</v>
      </c>
      <c r="E69" s="22" t="s">
        <v>141</v>
      </c>
      <c r="F69" s="23">
        <v>1.0</v>
      </c>
      <c r="G69" s="23">
        <v>-1.0</v>
      </c>
      <c r="H69" s="23">
        <v>-1.0</v>
      </c>
      <c r="I69" s="23">
        <v>-1.0</v>
      </c>
      <c r="J69" s="23">
        <v>-1.0</v>
      </c>
      <c r="K69" s="23">
        <v>-1.0</v>
      </c>
      <c r="L69" s="23">
        <v>-1.0</v>
      </c>
      <c r="M69" s="23">
        <v>-1.0</v>
      </c>
      <c r="N69" s="23">
        <v>-1.0</v>
      </c>
      <c r="O69" s="23">
        <v>-1.0</v>
      </c>
      <c r="P69" s="24">
        <f t="array" ref="P69">sumif(LARGE(F69:K69,{1,2,3,4}),"&gt;0")</f>
        <v>1</v>
      </c>
      <c r="Q69" s="24">
        <f t="array" ref="Q69">sumif(LARGE(L69:O69,{1,2,3}),"&gt;0")</f>
        <v>0</v>
      </c>
      <c r="R69" s="24">
        <f t="shared" ref="R69:R70" si="3">SUM(P69:Q69)</f>
        <v>1</v>
      </c>
      <c r="S69" s="24">
        <f t="shared" ref="S69:S70" si="4">sumif(F69:O69,"&gt;0")</f>
        <v>1</v>
      </c>
      <c r="T69" s="25">
        <v>1.0</v>
      </c>
    </row>
    <row r="70">
      <c r="A70" s="19">
        <v>45203.44701358797</v>
      </c>
      <c r="B70" s="20" t="s">
        <v>142</v>
      </c>
      <c r="C70" s="21">
        <v>64.0</v>
      </c>
      <c r="D70" s="21" t="s">
        <v>143</v>
      </c>
      <c r="E70" s="22" t="s">
        <v>144</v>
      </c>
      <c r="F70" s="23">
        <v>2.0</v>
      </c>
      <c r="G70" s="23">
        <v>2.0</v>
      </c>
      <c r="H70" s="23">
        <v>-1.0</v>
      </c>
      <c r="I70" s="23">
        <v>2.0</v>
      </c>
      <c r="J70" s="23">
        <v>-1.0</v>
      </c>
      <c r="K70" s="23">
        <v>-1.0</v>
      </c>
      <c r="L70" s="23">
        <v>4.0</v>
      </c>
      <c r="M70" s="23">
        <v>-1.0</v>
      </c>
      <c r="N70" s="23">
        <v>-1.0</v>
      </c>
      <c r="O70" s="23">
        <v>3.0</v>
      </c>
      <c r="P70" s="24">
        <f t="array" ref="P70">sumif(LARGE(F70:K70,{1,2,3,4}),"&gt;0")</f>
        <v>6</v>
      </c>
      <c r="Q70" s="24">
        <f t="array" ref="Q70">sumif(LARGE(L70:O70,{1,2,3}),"&gt;0")</f>
        <v>7</v>
      </c>
      <c r="R70" s="24">
        <f t="shared" si="3"/>
        <v>13</v>
      </c>
      <c r="S70" s="24">
        <f t="shared" si="4"/>
        <v>13</v>
      </c>
      <c r="T70" s="25">
        <v>13.0</v>
      </c>
    </row>
    <row r="71">
      <c r="A71" s="19"/>
      <c r="B71" s="20"/>
      <c r="C71" s="21">
        <v>65.0</v>
      </c>
      <c r="D71" s="21" t="s">
        <v>145</v>
      </c>
      <c r="E71" s="22" t="s">
        <v>146</v>
      </c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4"/>
      <c r="Q71" s="24"/>
      <c r="R71" s="24"/>
      <c r="S71" s="24"/>
      <c r="T71" s="25"/>
    </row>
    <row r="72">
      <c r="A72" s="19">
        <v>45203.44717907408</v>
      </c>
      <c r="B72" s="20" t="s">
        <v>147</v>
      </c>
      <c r="C72" s="21">
        <v>66.0</v>
      </c>
      <c r="D72" s="21" t="s">
        <v>148</v>
      </c>
      <c r="E72" s="22" t="s">
        <v>149</v>
      </c>
      <c r="F72" s="23">
        <v>2.0</v>
      </c>
      <c r="G72" s="23">
        <v>2.0</v>
      </c>
      <c r="H72" s="23">
        <v>0.0</v>
      </c>
      <c r="I72" s="23">
        <v>2.0</v>
      </c>
      <c r="J72" s="23">
        <v>2.0</v>
      </c>
      <c r="K72" s="23">
        <v>0.0</v>
      </c>
      <c r="L72" s="23">
        <v>4.0</v>
      </c>
      <c r="M72" s="23">
        <v>0.0</v>
      </c>
      <c r="N72" s="23">
        <v>2.0</v>
      </c>
      <c r="O72" s="23">
        <v>3.0</v>
      </c>
      <c r="P72" s="24">
        <f t="array" ref="P72">sumif(LARGE(F72:K72,{1,2,3,4}),"&gt;0")</f>
        <v>8</v>
      </c>
      <c r="Q72" s="24">
        <f t="array" ref="Q72">sumif(LARGE(L72:O72,{1,2,3}),"&gt;0")</f>
        <v>9</v>
      </c>
      <c r="R72" s="24">
        <f t="shared" ref="R72:R74" si="5">SUM(P72:Q72)</f>
        <v>17</v>
      </c>
      <c r="S72" s="24">
        <f t="shared" ref="S72:S74" si="6">sumif(F72:O72,"&gt;0")</f>
        <v>17</v>
      </c>
      <c r="T72" s="25">
        <v>17.0</v>
      </c>
    </row>
    <row r="73">
      <c r="A73" s="19">
        <v>45203.44706972222</v>
      </c>
      <c r="B73" s="20" t="s">
        <v>150</v>
      </c>
      <c r="C73" s="21">
        <v>67.0</v>
      </c>
      <c r="D73" s="21" t="s">
        <v>151</v>
      </c>
      <c r="E73" s="22" t="s">
        <v>152</v>
      </c>
      <c r="F73" s="23">
        <v>2.0</v>
      </c>
      <c r="G73" s="23">
        <v>2.0</v>
      </c>
      <c r="H73" s="23">
        <v>-1.0</v>
      </c>
      <c r="I73" s="23">
        <v>2.0</v>
      </c>
      <c r="J73" s="23">
        <v>1.0</v>
      </c>
      <c r="K73" s="23">
        <v>-1.0</v>
      </c>
      <c r="L73" s="23">
        <v>2.0</v>
      </c>
      <c r="M73" s="23">
        <v>-1.0</v>
      </c>
      <c r="N73" s="23">
        <v>-1.0</v>
      </c>
      <c r="O73" s="23">
        <v>0.0</v>
      </c>
      <c r="P73" s="24">
        <f t="array" ref="P73">sumif(LARGE(F73:K73,{1,2,3,4}),"&gt;0")</f>
        <v>7</v>
      </c>
      <c r="Q73" s="24">
        <f t="array" ref="Q73">sumif(LARGE(L73:O73,{1,2,3}),"&gt;0")</f>
        <v>2</v>
      </c>
      <c r="R73" s="24">
        <f t="shared" si="5"/>
        <v>9</v>
      </c>
      <c r="S73" s="24">
        <f t="shared" si="6"/>
        <v>9</v>
      </c>
      <c r="T73" s="25">
        <v>9.0</v>
      </c>
    </row>
    <row r="74">
      <c r="A74" s="19">
        <v>45203.44781990741</v>
      </c>
      <c r="B74" s="20" t="s">
        <v>153</v>
      </c>
      <c r="C74" s="21">
        <v>68.0</v>
      </c>
      <c r="D74" s="21" t="s">
        <v>154</v>
      </c>
      <c r="E74" s="22" t="s">
        <v>155</v>
      </c>
      <c r="F74" s="23">
        <v>2.0</v>
      </c>
      <c r="G74" s="23">
        <v>2.0</v>
      </c>
      <c r="H74" s="23">
        <v>-1.0</v>
      </c>
      <c r="I74" s="23">
        <v>0.0</v>
      </c>
      <c r="J74" s="23">
        <v>2.0</v>
      </c>
      <c r="K74" s="23">
        <v>-1.0</v>
      </c>
      <c r="L74" s="23">
        <v>-1.0</v>
      </c>
      <c r="M74" s="23">
        <v>-1.0</v>
      </c>
      <c r="N74" s="23">
        <v>-1.0</v>
      </c>
      <c r="O74" s="23">
        <v>3.0</v>
      </c>
      <c r="P74" s="24">
        <f t="array" ref="P74">sumif(LARGE(F74:K74,{1,2,3,4}),"&gt;0")</f>
        <v>6</v>
      </c>
      <c r="Q74" s="24">
        <f t="array" ref="Q74">sumif(LARGE(L74:O74,{1,2,3}),"&gt;0")</f>
        <v>3</v>
      </c>
      <c r="R74" s="24">
        <f t="shared" si="5"/>
        <v>9</v>
      </c>
      <c r="S74" s="24">
        <f t="shared" si="6"/>
        <v>9</v>
      </c>
      <c r="T74" s="25">
        <v>9.0</v>
      </c>
    </row>
    <row r="75">
      <c r="C75" s="21">
        <v>69.0</v>
      </c>
      <c r="D75" s="21" t="s">
        <v>156</v>
      </c>
      <c r="E75" s="27" t="s">
        <v>157</v>
      </c>
      <c r="P75" s="28"/>
      <c r="Q75" s="29"/>
      <c r="R75" s="29"/>
      <c r="S75" s="29"/>
      <c r="T75" s="29"/>
    </row>
    <row r="76">
      <c r="C76" s="21">
        <v>70.0</v>
      </c>
      <c r="D76" s="21" t="s">
        <v>158</v>
      </c>
      <c r="E76" s="27" t="s">
        <v>159</v>
      </c>
    </row>
  </sheetData>
  <mergeCells count="6">
    <mergeCell ref="A1:T1"/>
    <mergeCell ref="A2:T2"/>
    <mergeCell ref="A3:T3"/>
    <mergeCell ref="A4:T4"/>
    <mergeCell ref="F5:K5"/>
    <mergeCell ref="L5:O5"/>
  </mergeCells>
  <drawing r:id="rId1"/>
</worksheet>
</file>