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MSBTE-28\Documents\ada\gpd_nba\Attainment Calculation\23-24 DSU 22317 Barate Batch\23-24 DSU 22317 Barate Batch Filled  Sheet\"/>
    </mc:Choice>
  </mc:AlternateContent>
  <xr:revisionPtr revIDLastSave="0" documentId="13_ncr:1_{5A59B92A-8F33-4D0D-B847-763E6C5FBCF8}" xr6:coauthVersionLast="47" xr6:coauthVersionMax="47" xr10:uidLastSave="{00000000-0000-0000-0000-000000000000}"/>
  <bookViews>
    <workbookView xWindow="-120" yWindow="-120" windowWidth="29040" windowHeight="15720" xr2:uid="{00000000-000D-0000-FFFF-FFFF00000000}"/>
  </bookViews>
  <sheets>
    <sheet name="PO Set Target attain level" sheetId="1" r:id="rId1"/>
    <sheet name="CO_Attainment for Unit Tests" sheetId="2" r:id="rId2"/>
    <sheet name="CO_attainment for FA-TH ESE" sheetId="3" r:id="rId3"/>
    <sheet name="CO_attain_SLA_FA-PR_SA-PR" sheetId="4" r:id="rId4"/>
    <sheet name="CO_attainment for Indirect" sheetId="5" state="hidden" r:id="rId5"/>
    <sheet name="CO_PO Mapping Attainment " sheetId="6" state="hidden" r:id="rId6"/>
    <sheet name="Overall CO attainment (2)" sheetId="7" state="hidden" r:id="rId7"/>
    <sheet name="Overall CO attainment" sheetId="8" r:id="rId8"/>
    <sheet name="CO_PO Mapping Attainment_PO7" sheetId="9" r:id="rId9"/>
    <sheet name="Justification"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3gD0xuC8pweVZOQ7BKr1GLWAiKScqPRgKJqs6kNlqIY="/>
    </ext>
  </extLst>
</workbook>
</file>

<file path=xl/calcChain.xml><?xml version="1.0" encoding="utf-8"?>
<calcChain xmlns="http://schemas.openxmlformats.org/spreadsheetml/2006/main">
  <c r="J13" i="2" l="1"/>
  <c r="K13" i="2"/>
  <c r="J14" i="2"/>
  <c r="K14" i="2"/>
  <c r="J15" i="2"/>
  <c r="K15" i="2"/>
  <c r="J16" i="2"/>
  <c r="K16" i="2"/>
  <c r="J17" i="2"/>
  <c r="K17" i="2"/>
  <c r="J18" i="2"/>
  <c r="K18" i="2"/>
  <c r="J19" i="2"/>
  <c r="K19" i="2"/>
  <c r="J20" i="2"/>
  <c r="K20" i="2"/>
  <c r="J21" i="2"/>
  <c r="K21" i="2"/>
  <c r="J22" i="2"/>
  <c r="K22" i="2"/>
  <c r="J23" i="2"/>
  <c r="K23" i="2"/>
  <c r="J24" i="2"/>
  <c r="K24" i="2"/>
  <c r="J25" i="2"/>
  <c r="K25" i="2"/>
  <c r="J26" i="2"/>
  <c r="K26" i="2"/>
  <c r="J27" i="2"/>
  <c r="K27" i="2"/>
  <c r="J28" i="2"/>
  <c r="K28" i="2"/>
  <c r="J29" i="2"/>
  <c r="K29" i="2"/>
  <c r="J30" i="2"/>
  <c r="K30" i="2"/>
  <c r="J31" i="2"/>
  <c r="K31" i="2"/>
  <c r="J32" i="2"/>
  <c r="K32" i="2"/>
  <c r="J33" i="2"/>
  <c r="K33" i="2"/>
  <c r="J34" i="2"/>
  <c r="K34" i="2"/>
  <c r="J35" i="2"/>
  <c r="K35" i="2"/>
  <c r="J36" i="2"/>
  <c r="K36" i="2"/>
  <c r="J37" i="2"/>
  <c r="K37" i="2"/>
  <c r="J38" i="2"/>
  <c r="K38" i="2"/>
  <c r="J39" i="2"/>
  <c r="K39" i="2"/>
  <c r="J40" i="2"/>
  <c r="K40" i="2"/>
  <c r="J41" i="2"/>
  <c r="K41" i="2"/>
  <c r="J42" i="2"/>
  <c r="K42" i="2"/>
  <c r="J43" i="2"/>
  <c r="K43" i="2"/>
  <c r="J44" i="2"/>
  <c r="K44" i="2"/>
  <c r="J45" i="2"/>
  <c r="K45" i="2"/>
  <c r="J46" i="2"/>
  <c r="K46" i="2"/>
  <c r="J47" i="2"/>
  <c r="K47" i="2"/>
  <c r="J48" i="2"/>
  <c r="K48" i="2"/>
  <c r="J49" i="2"/>
  <c r="K49" i="2"/>
  <c r="J50" i="2"/>
  <c r="K50" i="2"/>
  <c r="J51" i="2"/>
  <c r="K51" i="2"/>
  <c r="J52" i="2"/>
  <c r="K52" i="2"/>
  <c r="J53" i="2"/>
  <c r="K53" i="2"/>
  <c r="J54" i="2"/>
  <c r="K54" i="2"/>
  <c r="J55" i="2"/>
  <c r="K55" i="2"/>
  <c r="J56" i="2"/>
  <c r="K56" i="2"/>
  <c r="J57" i="2"/>
  <c r="K57" i="2"/>
  <c r="J58" i="2"/>
  <c r="K58" i="2"/>
  <c r="J59" i="2"/>
  <c r="K59" i="2"/>
  <c r="J60" i="2"/>
  <c r="K60" i="2"/>
  <c r="J61" i="2"/>
  <c r="K61" i="2"/>
  <c r="J62" i="2"/>
  <c r="K62" i="2"/>
  <c r="J63" i="2"/>
  <c r="K63" i="2"/>
  <c r="J64" i="2"/>
  <c r="K64" i="2"/>
  <c r="J65" i="2"/>
  <c r="K65" i="2"/>
  <c r="J66" i="2"/>
  <c r="K66" i="2"/>
  <c r="J67" i="2"/>
  <c r="K67" i="2"/>
  <c r="J68" i="2"/>
  <c r="K68" i="2"/>
  <c r="J69" i="2"/>
  <c r="K69" i="2"/>
  <c r="J70" i="2"/>
  <c r="K70" i="2"/>
  <c r="J71" i="2"/>
  <c r="K71" i="2"/>
  <c r="J72" i="2"/>
  <c r="K72" i="2"/>
  <c r="J73" i="2"/>
  <c r="K73" i="2"/>
  <c r="J74" i="2"/>
  <c r="K74" i="2"/>
  <c r="J75" i="2"/>
  <c r="K75" i="2"/>
  <c r="J76" i="2"/>
  <c r="K76" i="2"/>
  <c r="J77" i="2"/>
  <c r="K77" i="2"/>
  <c r="J78" i="2"/>
  <c r="K78" i="2"/>
  <c r="J79" i="2"/>
  <c r="K79" i="2"/>
  <c r="J80" i="2"/>
  <c r="K80" i="2"/>
  <c r="J81" i="2"/>
  <c r="K81" i="2"/>
  <c r="J82" i="2"/>
  <c r="K82" i="2"/>
  <c r="J83" i="2"/>
  <c r="K83" i="2"/>
  <c r="J84" i="2"/>
  <c r="K84" i="2"/>
  <c r="J85" i="2"/>
  <c r="K85" i="2"/>
  <c r="J86" i="2"/>
  <c r="K86" i="2"/>
  <c r="J87" i="2"/>
  <c r="K87" i="2"/>
  <c r="J88" i="2"/>
  <c r="K88" i="2"/>
  <c r="J89" i="2"/>
  <c r="K89" i="2"/>
  <c r="J90" i="2"/>
  <c r="K90" i="2"/>
  <c r="J91" i="2"/>
  <c r="K91" i="2"/>
  <c r="J92" i="2"/>
  <c r="K92" i="2"/>
  <c r="J93" i="2"/>
  <c r="K93" i="2"/>
  <c r="J94" i="2"/>
  <c r="K94" i="2"/>
  <c r="K12" i="2" l="1"/>
  <c r="J12" i="2"/>
  <c r="AE19" i="2"/>
  <c r="AE18" i="2"/>
  <c r="AE17" i="2"/>
  <c r="AE16" i="2"/>
  <c r="AE15" i="2"/>
  <c r="AD8" i="2"/>
  <c r="AD9" i="2"/>
  <c r="AD10" i="2"/>
  <c r="AD11" i="2"/>
  <c r="AD7" i="2"/>
  <c r="AD12" i="2" l="1"/>
  <c r="AE20" i="2"/>
  <c r="M17" i="9" l="1"/>
  <c r="M16" i="9"/>
  <c r="L16" i="9"/>
  <c r="K16" i="9"/>
  <c r="J16" i="9"/>
  <c r="I16" i="9"/>
  <c r="H16" i="9"/>
  <c r="G16" i="9"/>
  <c r="F16" i="9"/>
  <c r="B16" i="9"/>
  <c r="M15" i="9"/>
  <c r="L15" i="9"/>
  <c r="K15" i="9"/>
  <c r="J15" i="9"/>
  <c r="I15" i="9"/>
  <c r="H15" i="9"/>
  <c r="G15" i="9"/>
  <c r="F15" i="9"/>
  <c r="E15" i="9"/>
  <c r="B15" i="9"/>
  <c r="M14" i="9"/>
  <c r="L14" i="9"/>
  <c r="K14" i="9"/>
  <c r="J14" i="9"/>
  <c r="I14" i="9"/>
  <c r="H14" i="9"/>
  <c r="G14" i="9"/>
  <c r="F14" i="9"/>
  <c r="E14" i="9"/>
  <c r="B14" i="9"/>
  <c r="M13" i="9"/>
  <c r="L13" i="9"/>
  <c r="K13" i="9"/>
  <c r="J13" i="9"/>
  <c r="I13" i="9"/>
  <c r="H13" i="9"/>
  <c r="G13" i="9"/>
  <c r="F13" i="9"/>
  <c r="E13" i="9"/>
  <c r="B13" i="9"/>
  <c r="M12" i="9"/>
  <c r="L12" i="9"/>
  <c r="L17" i="9" s="1"/>
  <c r="K12" i="9"/>
  <c r="K17" i="9" s="1"/>
  <c r="J12" i="9"/>
  <c r="J17" i="9" s="1"/>
  <c r="I12" i="9"/>
  <c r="I17" i="9" s="1"/>
  <c r="H12" i="9"/>
  <c r="H17" i="9" s="1"/>
  <c r="G12" i="9"/>
  <c r="G17" i="9" s="1"/>
  <c r="F12" i="9"/>
  <c r="F17" i="9" s="1"/>
  <c r="E12" i="9"/>
  <c r="E17" i="9" s="1"/>
  <c r="B12" i="9"/>
  <c r="I11" i="8"/>
  <c r="G26" i="8" s="1"/>
  <c r="K10" i="8"/>
  <c r="J11" i="8" s="1"/>
  <c r="H26" i="8" s="1"/>
  <c r="P15" i="6"/>
  <c r="P16" i="6" s="1"/>
  <c r="P17" i="6" s="1"/>
  <c r="O15" i="6"/>
  <c r="O16" i="6" s="1"/>
  <c r="O17" i="6" s="1"/>
  <c r="N15" i="6"/>
  <c r="N16" i="6" s="1"/>
  <c r="N17" i="6" s="1"/>
  <c r="M15" i="6"/>
  <c r="M16" i="6" s="1"/>
  <c r="M17" i="6" s="1"/>
  <c r="L15" i="6"/>
  <c r="L16" i="6" s="1"/>
  <c r="L17" i="6" s="1"/>
  <c r="K15" i="6"/>
  <c r="K16" i="6" s="1"/>
  <c r="K17" i="6" s="1"/>
  <c r="J15" i="6"/>
  <c r="J16" i="6" s="1"/>
  <c r="J17" i="6" s="1"/>
  <c r="I15" i="6"/>
  <c r="I16" i="6" s="1"/>
  <c r="I17" i="6" s="1"/>
  <c r="H15" i="6"/>
  <c r="H16" i="6" s="1"/>
  <c r="H17" i="6" s="1"/>
  <c r="G15" i="6"/>
  <c r="G16" i="6" s="1"/>
  <c r="G17" i="6" s="1"/>
  <c r="F15" i="6"/>
  <c r="F16" i="6" s="1"/>
  <c r="F17" i="6" s="1"/>
  <c r="E15" i="6"/>
  <c r="E16" i="6" s="1"/>
  <c r="E17" i="6" s="1"/>
  <c r="E81" i="5"/>
  <c r="C91" i="5" s="1"/>
  <c r="E80" i="5"/>
  <c r="D72" i="5"/>
  <c r="C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G97" i="4"/>
  <c r="G99" i="4" s="1"/>
  <c r="F97" i="4"/>
  <c r="F99" i="4" s="1"/>
  <c r="E97" i="4"/>
  <c r="E99" i="4" s="1"/>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E97" i="3"/>
  <c r="E99" i="3" s="1"/>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D15" i="5" s="1"/>
  <c r="C14" i="3"/>
  <c r="C15" i="5" s="1"/>
  <c r="D7" i="3"/>
  <c r="H105" i="2"/>
  <c r="H104" i="2"/>
  <c r="H103" i="2"/>
  <c r="I95" i="2"/>
  <c r="I97" i="2" s="1"/>
  <c r="H95" i="2"/>
  <c r="G95" i="2"/>
  <c r="G97" i="2" s="1"/>
  <c r="F95" i="2"/>
  <c r="F97" i="2" s="1"/>
  <c r="E95" i="2"/>
  <c r="E97" i="2" s="1"/>
  <c r="D95" i="2"/>
  <c r="D97" i="2" s="1"/>
  <c r="D7" i="4"/>
  <c r="C5" i="2"/>
  <c r="D6" i="4" s="1"/>
  <c r="D6" i="5" s="1"/>
  <c r="C4" i="2"/>
  <c r="D5" i="4" s="1"/>
  <c r="D5" i="5" s="1"/>
  <c r="C3" i="2"/>
  <c r="D4" i="4" s="1"/>
  <c r="D4" i="5" s="1"/>
  <c r="M27" i="1"/>
  <c r="L27" i="1"/>
  <c r="F27" i="1"/>
  <c r="E27" i="1"/>
  <c r="M26" i="1"/>
  <c r="L26" i="1"/>
  <c r="K26" i="1"/>
  <c r="K27" i="1" s="1"/>
  <c r="J26" i="1"/>
  <c r="J27" i="1" s="1"/>
  <c r="I26" i="1"/>
  <c r="I27" i="1" s="1"/>
  <c r="H26" i="1"/>
  <c r="H27" i="1" s="1"/>
  <c r="G26" i="1"/>
  <c r="G27" i="1" s="1"/>
  <c r="F26" i="1"/>
  <c r="E26" i="1"/>
  <c r="D25" i="1"/>
  <c r="D24" i="1"/>
  <c r="D16" i="9" s="1"/>
  <c r="C24" i="1"/>
  <c r="C16" i="9" s="1"/>
  <c r="D23" i="1"/>
  <c r="D15" i="9" s="1"/>
  <c r="C23" i="1"/>
  <c r="C15" i="9" s="1"/>
  <c r="D22" i="1"/>
  <c r="D14" i="9" s="1"/>
  <c r="C22" i="1"/>
  <c r="C14" i="9" s="1"/>
  <c r="D21" i="1"/>
  <c r="D13" i="9" s="1"/>
  <c r="C21" i="1"/>
  <c r="C13" i="9" s="1"/>
  <c r="D20" i="1"/>
  <c r="D12" i="9" s="1"/>
  <c r="C20" i="1"/>
  <c r="C12" i="9" s="1"/>
  <c r="I109" i="2" l="1"/>
  <c r="E109" i="2"/>
  <c r="D109" i="2"/>
  <c r="D19" i="8" s="1"/>
  <c r="F109" i="2"/>
  <c r="D14" i="7" s="1"/>
  <c r="G109" i="2"/>
  <c r="D15" i="7" s="1"/>
  <c r="D4" i="3"/>
  <c r="D5" i="3"/>
  <c r="E104" i="4"/>
  <c r="F106" i="4" s="1"/>
  <c r="D20" i="8"/>
  <c r="D13" i="7"/>
  <c r="D4" i="7"/>
  <c r="D4" i="8"/>
  <c r="D3" i="9" s="1"/>
  <c r="D6" i="8"/>
  <c r="D5" i="9" s="1"/>
  <c r="D7" i="5"/>
  <c r="D6" i="7"/>
  <c r="D5" i="8"/>
  <c r="D4" i="9" s="1"/>
  <c r="D5" i="7"/>
  <c r="D17" i="7"/>
  <c r="D24" i="8"/>
  <c r="G91" i="5"/>
  <c r="F91" i="5"/>
  <c r="I12" i="7"/>
  <c r="E91" i="5"/>
  <c r="D91" i="5"/>
  <c r="D3" i="7"/>
  <c r="D3" i="8"/>
  <c r="D2" i="9" s="1"/>
  <c r="E11" i="8"/>
  <c r="G11" i="8"/>
  <c r="F26" i="8" s="1"/>
  <c r="H11" i="8"/>
  <c r="E26" i="8" s="1"/>
  <c r="D6" i="3"/>
  <c r="E104" i="3"/>
  <c r="D12" i="7" l="1"/>
  <c r="D21" i="8"/>
  <c r="D22" i="8"/>
  <c r="C111" i="4"/>
  <c r="D111" i="4" s="1"/>
  <c r="C112" i="4"/>
  <c r="E112" i="4" s="1"/>
  <c r="F104" i="4"/>
  <c r="F105" i="4"/>
  <c r="I13" i="7"/>
  <c r="I14" i="7" s="1"/>
  <c r="I15" i="7" s="1"/>
  <c r="I16" i="7" s="1"/>
  <c r="I17" i="7" s="1"/>
  <c r="D26" i="8"/>
  <c r="K11" i="8"/>
  <c r="F106" i="3"/>
  <c r="C110" i="3" s="1"/>
  <c r="F105" i="3"/>
  <c r="F104" i="3"/>
  <c r="E111" i="4" l="1"/>
  <c r="F111" i="4"/>
  <c r="G111" i="4"/>
  <c r="E19" i="8"/>
  <c r="E20" i="8" s="1"/>
  <c r="E21" i="8" s="1"/>
  <c r="E22" i="8" s="1"/>
  <c r="E23" i="8" s="1"/>
  <c r="E24" i="8" s="1"/>
  <c r="H111" i="4"/>
  <c r="F112" i="4"/>
  <c r="H112" i="4"/>
  <c r="G12" i="7"/>
  <c r="E12" i="7"/>
  <c r="E13" i="7" s="1"/>
  <c r="E14" i="7" s="1"/>
  <c r="E15" i="7" s="1"/>
  <c r="E16" i="7" s="1"/>
  <c r="E17" i="7" s="1"/>
  <c r="G19" i="8"/>
  <c r="G20" i="8" s="1"/>
  <c r="G21" i="8" s="1"/>
  <c r="G22" i="8" s="1"/>
  <c r="G23" i="8" s="1"/>
  <c r="G24" i="8" s="1"/>
  <c r="G112" i="4"/>
  <c r="C110" i="4"/>
  <c r="E110" i="4" s="1"/>
  <c r="F12" i="7"/>
  <c r="G110" i="4"/>
  <c r="H110" i="4"/>
  <c r="F110" i="4"/>
  <c r="D112" i="4"/>
  <c r="E110" i="3"/>
  <c r="H19" i="8"/>
  <c r="D110" i="3"/>
  <c r="G110" i="3"/>
  <c r="H12" i="7"/>
  <c r="F110" i="3"/>
  <c r="I18" i="7"/>
  <c r="I20" i="7" s="1"/>
  <c r="J21" i="7" s="1"/>
  <c r="J23" i="7" s="1"/>
  <c r="F13" i="7"/>
  <c r="F14" i="7" s="1"/>
  <c r="F15" i="7" s="1"/>
  <c r="F16" i="7" s="1"/>
  <c r="F17" i="7" s="1"/>
  <c r="G13" i="7"/>
  <c r="G14" i="7" s="1"/>
  <c r="G15" i="7" s="1"/>
  <c r="G16" i="7" s="1"/>
  <c r="G17" i="7" s="1"/>
  <c r="F19" i="8" l="1"/>
  <c r="F20" i="8" s="1"/>
  <c r="F21" i="8" s="1"/>
  <c r="F22" i="8" s="1"/>
  <c r="F23" i="8" s="1"/>
  <c r="F24" i="8" s="1"/>
  <c r="D110" i="4"/>
  <c r="F18" i="7"/>
  <c r="F20" i="7" s="1"/>
  <c r="E25" i="8"/>
  <c r="E27" i="8" s="1"/>
  <c r="G18" i="7"/>
  <c r="G20" i="7" s="1"/>
  <c r="F25" i="8"/>
  <c r="F27" i="8" s="1"/>
  <c r="H20" i="8"/>
  <c r="H21" i="8" s="1"/>
  <c r="H22" i="8" s="1"/>
  <c r="H23" i="8" s="1"/>
  <c r="H24" i="8" s="1"/>
  <c r="G25" i="8"/>
  <c r="G27" i="8" s="1"/>
  <c r="H13" i="7"/>
  <c r="H14" i="7" s="1"/>
  <c r="H15" i="7" s="1"/>
  <c r="H16" i="7" s="1"/>
  <c r="H17" i="7" s="1"/>
  <c r="E18" i="7"/>
  <c r="E20" i="7" s="1"/>
  <c r="H25" i="8" l="1"/>
  <c r="H27" i="8" s="1"/>
  <c r="H18" i="7"/>
  <c r="H20" i="7" s="1"/>
  <c r="H97" i="2"/>
  <c r="H109" i="2" s="1"/>
  <c r="D23" i="8" l="1"/>
  <c r="D25" i="8" s="1"/>
  <c r="D27" i="8" s="1"/>
  <c r="H28" i="8" s="1"/>
  <c r="H30" i="8" s="1"/>
  <c r="I31" i="8" s="1"/>
  <c r="D16" i="7"/>
  <c r="D18" i="7" s="1"/>
  <c r="D20" i="7" s="1"/>
  <c r="H21" i="7" s="1"/>
  <c r="H23" i="7" s="1"/>
  <c r="I24" i="7" s="1"/>
  <c r="L18" i="9" l="1"/>
  <c r="L19" i="9" s="1"/>
  <c r="G18" i="9"/>
  <c r="G19" i="9" s="1"/>
  <c r="J18" i="9"/>
  <c r="J19" i="9" s="1"/>
  <c r="H18" i="9"/>
  <c r="H19" i="9" s="1"/>
  <c r="K18" i="9"/>
  <c r="K19" i="9" s="1"/>
  <c r="F18" i="9"/>
  <c r="F19" i="9" s="1"/>
  <c r="M18" i="9"/>
  <c r="M19" i="9" s="1"/>
  <c r="E18" i="9"/>
  <c r="E19" i="9" s="1"/>
  <c r="I18" i="9"/>
  <c r="I19"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2" authorId="0" shapeId="0" xr:uid="{00000000-0006-0000-0100-000001000000}">
      <text>
        <r>
          <rPr>
            <sz val="11"/>
            <color theme="1"/>
            <rFont val="Calibri"/>
            <scheme val="minor"/>
          </rPr>
          <t>======
ID#AAAB84YcYks
hp    (2023-02-03 10:38:19)
Max. marks</t>
        </r>
      </text>
    </comment>
  </commentList>
  <extLst>
    <ext xmlns:r="http://schemas.openxmlformats.org/officeDocument/2006/relationships" uri="GoogleSheetsCustomDataVersion2">
      <go:sheetsCustomData xmlns:go="http://customooxmlschemas.google.com/" r:id="rId1" roundtripDataSignature="AMtx7miLOtNQwIGTqg4CDt+chKsSxdcklA=="/>
    </ext>
  </extLst>
</comments>
</file>

<file path=xl/sharedStrings.xml><?xml version="1.0" encoding="utf-8"?>
<sst xmlns="http://schemas.openxmlformats.org/spreadsheetml/2006/main" count="454" uniqueCount="261">
  <si>
    <t xml:space="preserve">                        PO-CO Mapping (Targetted Level) - Course Articulation Matrix</t>
  </si>
  <si>
    <t>Course Name :</t>
  </si>
  <si>
    <t>Data Structures Using _C</t>
  </si>
  <si>
    <t>Course Code :</t>
  </si>
  <si>
    <t xml:space="preserve">Program/Scheme-MSBTE Inst.code : </t>
  </si>
  <si>
    <t>3rd SEM(CO3I SCHEME)</t>
  </si>
  <si>
    <t>Academic Year :</t>
  </si>
  <si>
    <t>2023-24</t>
  </si>
  <si>
    <t>Course Outcomes :</t>
  </si>
  <si>
    <t>CO1</t>
  </si>
  <si>
    <t>Perform basic operations on arrays</t>
  </si>
  <si>
    <t>CO2</t>
  </si>
  <si>
    <t xml:space="preserve"> Apply different searching and sorting techniques.</t>
  </si>
  <si>
    <t>CO3</t>
  </si>
  <si>
    <t>Implement basic operations on stack and queue using array representation</t>
  </si>
  <si>
    <t>CO4</t>
  </si>
  <si>
    <t xml:space="preserve"> Implement basic operations on Linked List</t>
  </si>
  <si>
    <t>CO5</t>
  </si>
  <si>
    <t>Implement program to create and traverse tree to solve problems</t>
  </si>
  <si>
    <t>Set Correlation  of CO-PO Mapping</t>
  </si>
  <si>
    <r>
      <rPr>
        <b/>
        <sz val="12"/>
        <color theme="1"/>
        <rFont val="Times New Roman"/>
      </rPr>
      <t xml:space="preserve">Strength of correlation : </t>
    </r>
    <r>
      <rPr>
        <sz val="12"/>
        <color theme="1"/>
        <rFont val="Times New Roman"/>
      </rPr>
      <t>3</t>
    </r>
    <r>
      <rPr>
        <b/>
        <sz val="12"/>
        <color theme="1"/>
        <rFont val="Times New Roman"/>
      </rPr>
      <t xml:space="preserve"> - </t>
    </r>
    <r>
      <rPr>
        <sz val="12"/>
        <color theme="1"/>
        <rFont val="Times New Roman"/>
      </rPr>
      <t>high (Substantial), 2- medium (moderate) , 1- low, No relation : '-'</t>
    </r>
  </si>
  <si>
    <t>Sr. No.</t>
  </si>
  <si>
    <t>CO</t>
  </si>
  <si>
    <t>PO</t>
  </si>
  <si>
    <t>PSO</t>
  </si>
  <si>
    <t>PO1</t>
  </si>
  <si>
    <t>PO2</t>
  </si>
  <si>
    <t>PO3</t>
  </si>
  <si>
    <t>PO4</t>
  </si>
  <si>
    <t>PO5</t>
  </si>
  <si>
    <t>PO6</t>
  </si>
  <si>
    <t>PO7</t>
  </si>
  <si>
    <t>PSO1</t>
  </si>
  <si>
    <t>PSO2</t>
  </si>
  <si>
    <t>Basic Knowledge &amp; Discipline Knowledge</t>
  </si>
  <si>
    <t>Problem analysis</t>
  </si>
  <si>
    <t>Design/developmet of solutions</t>
  </si>
  <si>
    <t>Engineering tools, Experimentation and Testing</t>
  </si>
  <si>
    <t>Engineering Practices for society, sustainability , Environment, Ethics</t>
  </si>
  <si>
    <t>Project Management</t>
  </si>
  <si>
    <t xml:space="preserve">Life Long learning </t>
  </si>
  <si>
    <t>Computer Software and Hardware Usage</t>
  </si>
  <si>
    <t>Computer Engineering Maintenance</t>
  </si>
  <si>
    <t>-</t>
  </si>
  <si>
    <t>Average</t>
  </si>
  <si>
    <t>Targeted Attainment Level</t>
  </si>
  <si>
    <t xml:space="preserve">          HOD COMPUTER</t>
  </si>
  <si>
    <t>Name of Faculty &amp; Signature</t>
  </si>
  <si>
    <t>GOVERNMENT POLYTECHNIC DHARASHIV</t>
  </si>
  <si>
    <t>Note :</t>
  </si>
  <si>
    <t xml:space="preserve">           Fill only this colour cells for all worksheets</t>
  </si>
  <si>
    <r>
      <rPr>
        <i/>
        <u/>
        <sz val="11"/>
        <color theme="1"/>
        <rFont val="Calibri"/>
      </rPr>
      <t>This cells are autofilled fields .</t>
    </r>
    <r>
      <rPr>
        <i/>
        <u/>
        <sz val="11"/>
        <color theme="1"/>
        <rFont val="Calibri"/>
      </rPr>
      <t xml:space="preserve">                                                         </t>
    </r>
    <r>
      <rPr>
        <i/>
        <u/>
        <sz val="11"/>
        <color theme="1"/>
        <rFont val="Calibri"/>
      </rPr>
      <t xml:space="preserve">   Do not overwrite this cells for all worksheets</t>
    </r>
  </si>
  <si>
    <t>Evaluation of Answersheets for FA-TH(Unit Test)</t>
  </si>
  <si>
    <t>Internal Assessment ( Direct Mode)</t>
  </si>
  <si>
    <t xml:space="preserve">Program/Semester : </t>
  </si>
  <si>
    <t>Academic Year</t>
  </si>
  <si>
    <t>Enrollment ID / Seat No</t>
  </si>
  <si>
    <t>Student Name</t>
  </si>
  <si>
    <t>CO1 
max. Marks</t>
  </si>
  <si>
    <t>CO2
 max. Marks</t>
  </si>
  <si>
    <t>CO4 
max. Marks</t>
  </si>
  <si>
    <t>CO5 max. Marks</t>
  </si>
  <si>
    <t>CO6 
max. Marks</t>
  </si>
  <si>
    <t>U. TEST I</t>
  </si>
  <si>
    <t>U. TEST II</t>
  </si>
  <si>
    <t>Total Max. Marks(with Extra)</t>
  </si>
  <si>
    <t>GARAD ANJALI NITIN</t>
  </si>
  <si>
    <t>WALANDE GAURI DAYANAND</t>
  </si>
  <si>
    <t>ZUNJURE SARTHAK BALAJI</t>
  </si>
  <si>
    <t>BHANDE GAYATRI DAMODAR</t>
  </si>
  <si>
    <t>MUNDHE GAYATRI PARMESHWAR</t>
  </si>
  <si>
    <t>YADAV RADHA SAMADHAN</t>
  </si>
  <si>
    <t>DESHMANE MANSI SIDDHESHWAR</t>
  </si>
  <si>
    <t>GAWALGADADE POOJA ARVIND</t>
  </si>
  <si>
    <t>JAIN TANISHA SHAILESH</t>
  </si>
  <si>
    <t>MAINDARGE SIDDHI PRASAD</t>
  </si>
  <si>
    <t>BHOSALE VAISHNAVI DAYANAND</t>
  </si>
  <si>
    <t>ATTAR SANIYA VAJIR</t>
  </si>
  <si>
    <t>NALWADE SNEHA NETAJI</t>
  </si>
  <si>
    <t>AADHE PANKAJ RAM</t>
  </si>
  <si>
    <t>BUDGE VISHAKHA VENKAT</t>
  </si>
  <si>
    <t>PAWAR PRATIKSHA VITTHAL</t>
  </si>
  <si>
    <t>WAGHMARE RAU HANMANT</t>
  </si>
  <si>
    <t>MAHAJAN SHRUTI DILIP</t>
  </si>
  <si>
    <t>CHANDANE GAYATRI PRASHANT</t>
  </si>
  <si>
    <t>JOSHI SHRAVANI SHRIKANT</t>
  </si>
  <si>
    <t>MANE ANUSHKA BALASAHEB</t>
  </si>
  <si>
    <t>GADEKAR MAHESH BALAJI</t>
  </si>
  <si>
    <t>DESHMUKH SWANANDI UDAYRAO</t>
  </si>
  <si>
    <t>LAGDIVE SHIVAM NITIN</t>
  </si>
  <si>
    <t>SARPHALE POOJA SADASHIV</t>
  </si>
  <si>
    <t>WAGHMARE ABHISHEK SOMNATH</t>
  </si>
  <si>
    <t>KAMBALE ROHINI RUPESH</t>
  </si>
  <si>
    <t>ROCHKARI SANSKRUTI SUDHIR</t>
  </si>
  <si>
    <t>NIMBALKAR APURVA BHUJANG</t>
  </si>
  <si>
    <t>KSHIRSAGAR SAMARTH DATTATRAY</t>
  </si>
  <si>
    <t>MASIHA SILVIYA SANTOSH</t>
  </si>
  <si>
    <t>KAWADE PRIYA SHANKAR</t>
  </si>
  <si>
    <t>PATIL PRANITA PRAVIN</t>
  </si>
  <si>
    <t>GAVALI ROHAN DNYANDEO</t>
  </si>
  <si>
    <t>GAIKWAD VASUDHA SANDIPAN</t>
  </si>
  <si>
    <t>GORE SANKET NARENDRA</t>
  </si>
  <si>
    <t>HINGANE SAKSHI SATISH</t>
  </si>
  <si>
    <t>JADHAV SHREYAS YADAVRAO</t>
  </si>
  <si>
    <t>WAKALE KOMAL SANTOSH</t>
  </si>
  <si>
    <t>KALE PRANITA NAMDEV</t>
  </si>
  <si>
    <t>KHARKE MAHESH HANUMANT</t>
  </si>
  <si>
    <t>PARVE SHRIRAM SUDHIR</t>
  </si>
  <si>
    <t>KOLNURE SURAJ RAJENDRA</t>
  </si>
  <si>
    <t>KANDALE ADITYA VILAS</t>
  </si>
  <si>
    <t>BARATE VARSHARANI DADASAHEB</t>
  </si>
  <si>
    <t>BARATE AADITI DADASAHEB</t>
  </si>
  <si>
    <t>THORAVE SANIKA AMBADAS</t>
  </si>
  <si>
    <t>KULKARNI AAKANKSHA KAMLESH</t>
  </si>
  <si>
    <t>GAIKWAD GAYATRI SURESH</t>
  </si>
  <si>
    <t>SAROLKAR SAKSHI SHAMSUNDAR</t>
  </si>
  <si>
    <t>JAGTAP SANKET NARAYAN</t>
  </si>
  <si>
    <t>DHAPPADHULE VAISHNAVI SACHIN</t>
  </si>
  <si>
    <t>WAGHMARE AMAR BABAN</t>
  </si>
  <si>
    <t>DHEPE VAISHNAVI REVANNATH</t>
  </si>
  <si>
    <t>BAGADE GUNMANJIRI PURUSHOTTAM</t>
  </si>
  <si>
    <t>MULE SNEHA SANJIVAN</t>
  </si>
  <si>
    <t>BANSODE VINAYAK BABRUWAN</t>
  </si>
  <si>
    <t>ISHWARI ASHOK HAWALE</t>
  </si>
  <si>
    <t>JADHAV SANJYOT SHYAM</t>
  </si>
  <si>
    <t>KANLOD SHUBHAM GANPAT</t>
  </si>
  <si>
    <t>PHULARI VISHVJEET UMESH</t>
  </si>
  <si>
    <t>VHOTTE SHRUTIKA VAIJNATH</t>
  </si>
  <si>
    <t>#Set Competency target as % marks of max marks for each CO -- &gt;</t>
  </si>
  <si>
    <t xml:space="preserve">No. of students above set target </t>
  </si>
  <si>
    <t>Benchmark of Attainment level  against set target/ competency</t>
  </si>
  <si>
    <t xml:space="preserve">No of Students </t>
  </si>
  <si>
    <t xml:space="preserve">Level </t>
  </si>
  <si>
    <t>LEVEL</t>
  </si>
  <si>
    <t xml:space="preserve"> % of Students got more than set target --&gt;</t>
  </si>
  <si>
    <t>CO-wise  Attainment for Unit Test</t>
  </si>
  <si>
    <t xml:space="preserve">CO5 </t>
  </si>
  <si>
    <t>C06</t>
  </si>
  <si>
    <t>Attainment Level</t>
  </si>
  <si>
    <t xml:space="preserve"> </t>
  </si>
  <si>
    <t xml:space="preserve">External Evaluation of End Semester Board Examination </t>
  </si>
  <si>
    <t xml:space="preserve"> Direct Assessment</t>
  </si>
  <si>
    <t>TH-ESE
(End Sem Board Exam.) Max. Marks</t>
  </si>
  <si>
    <t xml:space="preserve">#Set Competency target as Board's TSI </t>
  </si>
  <si>
    <t># Note : MSBTE TSI marks for the End Sem Board Exam is taken from MSBTE's result Gazette copy</t>
  </si>
  <si>
    <t xml:space="preserve"> of Students got more than set target </t>
  </si>
  <si>
    <t xml:space="preserve">of Students got more than set target </t>
  </si>
  <si>
    <t>CO-wise  Attainment for End Sem Board Exam</t>
  </si>
  <si>
    <t>* Attainment Level</t>
  </si>
  <si>
    <t xml:space="preserve">     * Note  - For End Sem Board Exam., same attainment level is considered for all Cos.</t>
  </si>
  <si>
    <t>Internal  Evaluation of PA-Practical work, Micro-Project, PR-ESE</t>
  </si>
  <si>
    <r>
      <rPr>
        <b/>
        <u/>
        <sz val="16"/>
        <color theme="1"/>
        <rFont val="Times New Roman"/>
      </rPr>
      <t xml:space="preserve">                      </t>
    </r>
    <r>
      <rPr>
        <b/>
        <u/>
        <sz val="16"/>
        <color theme="1"/>
        <rFont val="Times New Roman"/>
      </rPr>
      <t>Direct Assessment</t>
    </r>
  </si>
  <si>
    <t>Academic Year:</t>
  </si>
  <si>
    <t>(Micro Project/Assignment Evaluation (max. marks )</t>
  </si>
  <si>
    <t>PR-PA</t>
  </si>
  <si>
    <t>PR-ESE</t>
  </si>
  <si>
    <t xml:space="preserve">Set Competency target as  % marks for                    each criteria </t>
  </si>
  <si>
    <t xml:space="preserve">Benchmark of Attainment level  against set target/ competency for above criteria </t>
  </si>
  <si>
    <t xml:space="preserve">* CO-wise  Attainment level </t>
  </si>
  <si>
    <t xml:space="preserve">For Micro-Project </t>
  </si>
  <si>
    <t xml:space="preserve">For PA-Term Work /Assignments </t>
  </si>
  <si>
    <t>For Practical End Sem. Exam</t>
  </si>
  <si>
    <t xml:space="preserve">Indirect Assessment through Course end Survey </t>
  </si>
  <si>
    <t>* Rating Scale : 5-Excellent, 4-Very good, 3- Good, 2-poor, 1-Very Poor</t>
  </si>
  <si>
    <t>Enrollment ID</t>
  </si>
  <si>
    <t># Course Exit Survey of students  ( * Rating Scale )</t>
  </si>
  <si>
    <t>Average rating score out of 5</t>
  </si>
  <si>
    <t xml:space="preserve"> % Average rating score</t>
  </si>
  <si>
    <t># For Course End Survey ,Survey results are deduced  from random sample size of 10 students approximately</t>
  </si>
  <si>
    <t xml:space="preserve"> for individual courses per semester.</t>
  </si>
  <si>
    <t xml:space="preserve">Benchmark of Attainment level  against average survey rating </t>
  </si>
  <si>
    <t xml:space="preserve">Average  rating  score &gt; = 40 % </t>
  </si>
  <si>
    <t xml:space="preserve">Average rating  score &gt; = 65 % </t>
  </si>
  <si>
    <t xml:space="preserve">Average  rating  score  &gt; = 80 % </t>
  </si>
  <si>
    <t>For Course ExirSurvey</t>
  </si>
  <si>
    <t xml:space="preserve">     * Note  - For Indirect assessment , As survey taken for overall rating of courses, hence </t>
  </si>
  <si>
    <t>same attainment level is considered for all Cos.</t>
  </si>
  <si>
    <t xml:space="preserve">CO -PO  Attainment </t>
  </si>
  <si>
    <t>Set Corelation  of CO-PO Mapping</t>
  </si>
  <si>
    <r>
      <rPr>
        <b/>
        <sz val="12"/>
        <color theme="1"/>
        <rFont val="Times New Roman"/>
      </rPr>
      <t xml:space="preserve">Strength of corelation : </t>
    </r>
    <r>
      <rPr>
        <sz val="12"/>
        <color theme="1"/>
        <rFont val="Times New Roman"/>
      </rPr>
      <t>3</t>
    </r>
    <r>
      <rPr>
        <b/>
        <sz val="12"/>
        <color theme="1"/>
        <rFont val="Times New Roman"/>
      </rPr>
      <t xml:space="preserve"> - </t>
    </r>
    <r>
      <rPr>
        <sz val="12"/>
        <color theme="1"/>
        <rFont val="Times New Roman"/>
      </rPr>
      <t>high (Substantial), 2- medium, 1- low</t>
    </r>
  </si>
  <si>
    <t>PO8</t>
  </si>
  <si>
    <t>PO9</t>
  </si>
  <si>
    <t>PO10</t>
  </si>
  <si>
    <t>Basic Knowledge</t>
  </si>
  <si>
    <t>Discipline Knowledge</t>
  </si>
  <si>
    <t>Experiments and Practice</t>
  </si>
  <si>
    <t>Engineering tools</t>
  </si>
  <si>
    <t>The Engineer and Society</t>
  </si>
  <si>
    <t>Environment and Sustainability</t>
  </si>
  <si>
    <t>Ethics</t>
  </si>
  <si>
    <t>Individual and Team work</t>
  </si>
  <si>
    <t>Communication</t>
  </si>
  <si>
    <t>Life-long learning</t>
  </si>
  <si>
    <t>Modern software Usage</t>
  </si>
  <si>
    <t>Measurement of  mechanical equipments</t>
  </si>
  <si>
    <t>Apply the laws of thermodynamics to devices based on thermodynamics</t>
  </si>
  <si>
    <t>Use first law of thermodynamic for ideal gas in closed systems</t>
  </si>
  <si>
    <t>Use relevant steam boilers</t>
  </si>
  <si>
    <t>Use relevant steam nozzles and turbines</t>
  </si>
  <si>
    <t>Use relevant steam condensers</t>
  </si>
  <si>
    <t>CO6</t>
  </si>
  <si>
    <t>Use suitable modes for heat transfer</t>
  </si>
  <si>
    <t>Contribution to PO</t>
  </si>
  <si>
    <t>Course-PO attainment</t>
  </si>
  <si>
    <t xml:space="preserve"> % Course-PO attainment</t>
  </si>
  <si>
    <t>Overall CO Attainment</t>
  </si>
  <si>
    <t>Overall Course CO Attainment</t>
  </si>
  <si>
    <t xml:space="preserve">Final Direct Course Attainment Calculation </t>
  </si>
  <si>
    <t xml:space="preserve">Final Indirect Course Attainment Calculation </t>
  </si>
  <si>
    <r>
      <rPr>
        <sz val="11"/>
        <color theme="1"/>
        <rFont val="Calibri"/>
      </rPr>
      <t xml:space="preserve">                </t>
    </r>
    <r>
      <rPr>
        <b/>
        <sz val="11"/>
        <color theme="1"/>
        <rFont val="Calibri"/>
      </rPr>
      <t xml:space="preserve"> COS</t>
    </r>
  </si>
  <si>
    <t>Internal</t>
  </si>
  <si>
    <t>External</t>
  </si>
  <si>
    <t>Unit Tests</t>
  </si>
  <si>
    <t>PA_Term Work</t>
  </si>
  <si>
    <t xml:space="preserve">Micro- Project </t>
  </si>
  <si>
    <t>E.S.E Board</t>
  </si>
  <si>
    <t>Course Exit Survey</t>
  </si>
  <si>
    <t xml:space="preserve">Average Attainment </t>
  </si>
  <si>
    <t>Indiviual Weightage (%)</t>
  </si>
  <si>
    <t xml:space="preserve">Direct Total Attainment </t>
  </si>
  <si>
    <t xml:space="preserve">Total Direct Course Attainment </t>
  </si>
  <si>
    <t xml:space="preserve">Total Indirect Course Attainment </t>
  </si>
  <si>
    <t xml:space="preserve">Overall Weightage </t>
  </si>
  <si>
    <t xml:space="preserve">Weightage </t>
  </si>
  <si>
    <t xml:space="preserve">Final Direct Course Attainment </t>
  </si>
  <si>
    <t>Final  Indirect Course Attainment</t>
  </si>
  <si>
    <t>Overall Course CO Attainment (B)</t>
  </si>
  <si>
    <t>Template sheet is Prepared by Prof. A.B.Bhure</t>
  </si>
  <si>
    <t xml:space="preserve">L.M.E., P.L.G.P. Latur </t>
  </si>
  <si>
    <t>DIRECT CO ASSESSMENT TOOL/COURSE EVALUATION PLAN</t>
  </si>
  <si>
    <t>TH-PA</t>
  </si>
  <si>
    <t>TH-ESE</t>
  </si>
  <si>
    <t>TOTAL</t>
  </si>
  <si>
    <t>U.Test I</t>
  </si>
  <si>
    <t>U. Test II</t>
  </si>
  <si>
    <t>Microproject</t>
  </si>
  <si>
    <t>Practical Exam</t>
  </si>
  <si>
    <t>MAX MARKS AS PER TEACHING SCHEME</t>
  </si>
  <si>
    <t>INDIVIDUAL WEIGHTAGE (%)</t>
  </si>
  <si>
    <r>
      <rPr>
        <sz val="11"/>
        <color theme="1"/>
        <rFont val="Calibri"/>
      </rPr>
      <t xml:space="preserve">                </t>
    </r>
    <r>
      <rPr>
        <b/>
        <sz val="11"/>
        <color theme="1"/>
        <rFont val="Calibri"/>
      </rPr>
      <t xml:space="preserve"> COS</t>
    </r>
  </si>
  <si>
    <t xml:space="preserve">CO -PO  Actual Attainment </t>
  </si>
  <si>
    <r>
      <rPr>
        <b/>
        <sz val="12"/>
        <color theme="1"/>
        <rFont val="Times New Roman"/>
      </rPr>
      <t xml:space="preserve">Strength of correlation : </t>
    </r>
    <r>
      <rPr>
        <sz val="12"/>
        <color theme="1"/>
        <rFont val="Times New Roman"/>
      </rPr>
      <t>3</t>
    </r>
    <r>
      <rPr>
        <b/>
        <sz val="12"/>
        <color theme="1"/>
        <rFont val="Times New Roman"/>
      </rPr>
      <t xml:space="preserve"> - </t>
    </r>
    <r>
      <rPr>
        <sz val="12"/>
        <color theme="1"/>
        <rFont val="Times New Roman"/>
      </rPr>
      <t>high (Substantial), 2- medium(moderate), 1- low, No relation : '-'</t>
    </r>
  </si>
  <si>
    <t>Average Contribution of each CO to each PO (A)</t>
  </si>
  <si>
    <t>Course CO-PO ACTUAL ATTAINMENT LEVEL= ((AxB)/3)</t>
  </si>
  <si>
    <t>Justification for the Mapping</t>
  </si>
  <si>
    <t>PO1 (Engineering Knowledge): High correlation (3) across all COs, as understanding and implementing data structures is fundamental to engineering knowledge in Computer Science.</t>
  </si>
  <si>
    <t>PO2 (Problem Analysis): Increases in correlation from CO1 to CO5. Basic arrays (CO1) are straightforward, but designing and implementing complex structures like trees (CO5) requires significant analysis of data relationships.</t>
  </si>
  <si>
    <t>PO3 (Design/Development of Solutions): Fundamental to coding tasks. As you move from arrays to trees, the complexity of the design increases, warranting a strong correlation (3).</t>
  </si>
  <si>
    <t>PO4 (Engineering Tools/Testing): Coding, debugging, and testing these structures (using compilers or IDEs) involves standard engineering experimentation and verification.</t>
  </si>
  <si>
    <t>PO5 (Modern Tool Usage): Mapping 1-2, as modern software development environments are essential for implementing and testing these algorithms.</t>
  </si>
  <si>
    <t>PSO1 (Computer Software and Hardware Usage): Strong correlation (3) because these outcomes directly focus on developing computer software/applications.</t>
  </si>
  <si>
    <t>PSO2 (Computer Engineering Maintenance): Moderate correlation (2) as the ability to design efficient structures is critical for the long-term maintenance and optimization of software systems.</t>
  </si>
  <si>
    <t>Note: The empty cells (indicated by "-") suggest no direct, significant correlation for this specific course content. Adjust these levels (1, 2, or 3) based on the specific depth of your course curriculum and your department's internal guidelines.</t>
  </si>
  <si>
    <t>a</t>
  </si>
  <si>
    <t>b</t>
  </si>
  <si>
    <t>c</t>
  </si>
  <si>
    <t>d</t>
  </si>
  <si>
    <t>e</t>
  </si>
  <si>
    <t>UT2</t>
  </si>
  <si>
    <t>UT1</t>
  </si>
  <si>
    <t>CO3 max. Marks (UT1+UT2)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</si>
</sst>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1">
    <font>
      <sz val="11"/>
      <color theme="1"/>
      <name val="Calibri"/>
      <scheme val="minor"/>
    </font>
    <font>
      <sz val="11"/>
      <color theme="1"/>
      <name val="Calibri"/>
      <family val="2"/>
      <scheme val="minor"/>
    </font>
    <font>
      <sz val="18"/>
      <color theme="1"/>
      <name val="Algerian"/>
    </font>
    <font>
      <sz val="11"/>
      <color theme="1"/>
      <name val="Algerian"/>
    </font>
    <font>
      <sz val="11"/>
      <color theme="1"/>
      <name val="Calibri"/>
    </font>
    <font>
      <sz val="11"/>
      <color theme="1"/>
      <name val="Times New Roman"/>
    </font>
    <font>
      <sz val="11"/>
      <name val="Calibri"/>
    </font>
    <font>
      <b/>
      <sz val="12"/>
      <color theme="1"/>
      <name val="Times New Roman"/>
    </font>
    <font>
      <b/>
      <sz val="14"/>
      <color theme="1"/>
      <name val="Times New Roman"/>
    </font>
    <font>
      <b/>
      <sz val="9"/>
      <color theme="1"/>
      <name val="Times New Roman"/>
    </font>
    <font>
      <b/>
      <sz val="10"/>
      <color theme="1"/>
      <name val="Times New Roman"/>
    </font>
    <font>
      <sz val="11"/>
      <color rgb="FF1F1F1F"/>
      <name val="&quot;Google Sans Text&quot;"/>
    </font>
    <font>
      <sz val="10"/>
      <color theme="1"/>
      <name val="Times New Roman"/>
    </font>
    <font>
      <sz val="10"/>
      <color theme="1"/>
      <name val="Calibri"/>
    </font>
    <font>
      <b/>
      <sz val="11"/>
      <color rgb="FF000000"/>
      <name val="Times New Roman"/>
    </font>
    <font>
      <i/>
      <u/>
      <sz val="11"/>
      <color theme="1"/>
      <name val="Calibri"/>
    </font>
    <font>
      <i/>
      <u/>
      <sz val="11"/>
      <color theme="1"/>
      <name val="Calibri"/>
    </font>
    <font>
      <b/>
      <u/>
      <sz val="16"/>
      <color theme="1"/>
      <name val="Algerian"/>
    </font>
    <font>
      <b/>
      <sz val="11"/>
      <color theme="1"/>
      <name val="Times New Roman"/>
    </font>
    <font>
      <i/>
      <sz val="10"/>
      <color theme="1"/>
      <name val="Times New Roman"/>
    </font>
    <font>
      <b/>
      <i/>
      <sz val="11"/>
      <color theme="1"/>
      <name val="Times New Roman"/>
    </font>
    <font>
      <sz val="12"/>
      <color theme="1"/>
      <name val="Calibri"/>
    </font>
    <font>
      <sz val="11"/>
      <color theme="1"/>
      <name val="Arial"/>
    </font>
    <font>
      <b/>
      <sz val="12"/>
      <color theme="1"/>
      <name val="Calibri"/>
    </font>
    <font>
      <b/>
      <u/>
      <sz val="16"/>
      <color theme="1"/>
      <name val="Times New Roman"/>
    </font>
    <font>
      <b/>
      <u/>
      <sz val="16"/>
      <color theme="1"/>
      <name val="Times New Roman"/>
    </font>
    <font>
      <sz val="11"/>
      <color rgb="FFF9CB9C"/>
      <name val="Calibri"/>
    </font>
    <font>
      <sz val="11"/>
      <color theme="1"/>
      <name val="Calibri"/>
    </font>
    <font>
      <b/>
      <sz val="11"/>
      <color theme="1"/>
      <name val="Arial"/>
    </font>
    <font>
      <b/>
      <sz val="11"/>
      <color theme="1"/>
      <name val="Calibri"/>
    </font>
    <font>
      <b/>
      <u/>
      <sz val="16"/>
      <color theme="1"/>
      <name val="Times New Roman"/>
    </font>
    <font>
      <b/>
      <sz val="14"/>
      <color theme="1"/>
      <name val="Calibri"/>
    </font>
    <font>
      <sz val="11"/>
      <color rgb="FFFF0000"/>
      <name val="Times New Roman"/>
    </font>
    <font>
      <sz val="22"/>
      <color theme="1"/>
      <name val="Calibri"/>
    </font>
    <font>
      <b/>
      <sz val="18"/>
      <color rgb="FF7030A0"/>
      <name val="Calibri"/>
    </font>
    <font>
      <b/>
      <sz val="16"/>
      <color rgb="FF7030A0"/>
      <name val="Calibri"/>
    </font>
    <font>
      <i/>
      <sz val="11"/>
      <color theme="1"/>
      <name val="Calibri"/>
    </font>
    <font>
      <b/>
      <sz val="11"/>
      <color rgb="FF7030A0"/>
      <name val="Calibri"/>
    </font>
    <font>
      <sz val="11"/>
      <color rgb="FF7030A0"/>
      <name val="Calibri"/>
    </font>
    <font>
      <b/>
      <sz val="14"/>
      <color rgb="FF7030A0"/>
      <name val="Calibri"/>
    </font>
    <font>
      <b/>
      <sz val="16"/>
      <color theme="1"/>
      <name val="Calibri"/>
    </font>
    <font>
      <b/>
      <sz val="10"/>
      <color rgb="FF000000"/>
      <name val="Times New Roman"/>
    </font>
    <font>
      <b/>
      <sz val="11"/>
      <color rgb="FF1F1F1F"/>
      <name val="&quot;Google Sans Text&quot;"/>
    </font>
    <font>
      <b/>
      <sz val="14"/>
      <color theme="1"/>
      <name val="Calibri"/>
      <scheme val="minor"/>
    </font>
    <font>
      <sz val="12"/>
      <color theme="1"/>
      <name val="Times New Roman"/>
    </font>
    <font>
      <sz val="12"/>
      <color theme="1"/>
      <name val="Calibri"/>
      <family val="2"/>
      <scheme val="minor"/>
    </font>
    <font>
      <b/>
      <sz val="10"/>
      <color theme="1"/>
      <name val="Verdana"/>
      <family val="2"/>
    </font>
    <font>
      <b/>
      <sz val="11"/>
      <color theme="1"/>
      <name val="Times New Roman"/>
      <family val="1"/>
    </font>
    <font>
      <sz val="11"/>
      <color theme="1"/>
      <name val="Times New Roman"/>
      <family val="1"/>
    </font>
    <font>
      <b/>
      <sz val="14"/>
      <color rgb="FFFF0000"/>
      <name val="Calibri"/>
      <family val="2"/>
    </font>
    <font>
      <sz val="11"/>
      <color rgb="FFFF0000"/>
      <name val="Calibri"/>
      <family val="2"/>
    </font>
  </fonts>
  <fills count="18">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rgb="FFFFFFCC"/>
        <bgColor rgb="FFFFFFCC"/>
      </patternFill>
    </fill>
    <fill>
      <patternFill patternType="solid">
        <fgColor theme="0"/>
        <bgColor theme="0"/>
      </patternFill>
    </fill>
    <fill>
      <patternFill patternType="solid">
        <fgColor rgb="FFCCECFF"/>
        <bgColor rgb="FFCCECFF"/>
      </patternFill>
    </fill>
    <fill>
      <patternFill patternType="solid">
        <fgColor rgb="FFF0EEE4"/>
        <bgColor rgb="FFF0EEE4"/>
      </patternFill>
    </fill>
    <fill>
      <patternFill patternType="solid">
        <fgColor rgb="FFFDE9D9"/>
        <bgColor rgb="FFFDE9D9"/>
      </patternFill>
    </fill>
    <fill>
      <patternFill patternType="solid">
        <fgColor rgb="FFECFFD9"/>
        <bgColor rgb="FFECFFD9"/>
      </patternFill>
    </fill>
    <fill>
      <patternFill patternType="solid">
        <fgColor rgb="FFFBE4FC"/>
        <bgColor rgb="FFFBE4FC"/>
      </patternFill>
    </fill>
    <fill>
      <patternFill patternType="solid">
        <fgColor rgb="FFE1FFFF"/>
        <bgColor rgb="FFE1FFFF"/>
      </patternFill>
    </fill>
    <fill>
      <patternFill patternType="solid">
        <fgColor rgb="FFFFE4C9"/>
        <bgColor rgb="FFFFE4C9"/>
      </patternFill>
    </fill>
    <fill>
      <patternFill patternType="solid">
        <fgColor rgb="FFFFF2CC"/>
        <bgColor rgb="FFFFF2CC"/>
      </patternFill>
    </fill>
    <fill>
      <patternFill patternType="solid">
        <fgColor rgb="FFCCFFFF"/>
        <bgColor rgb="FFCCFFFF"/>
      </patternFill>
    </fill>
    <fill>
      <patternFill patternType="solid">
        <fgColor rgb="FFFFFF00"/>
        <bgColor indexed="64"/>
      </patternFill>
    </fill>
    <fill>
      <patternFill patternType="solid">
        <fgColor theme="0"/>
        <bgColor rgb="FFFFFF00"/>
      </patternFill>
    </fill>
  </fills>
  <borders count="94">
    <border>
      <left/>
      <right/>
      <top/>
      <bottom/>
      <diagonal/>
    </border>
    <border>
      <left/>
      <right/>
      <top/>
      <bottom/>
      <diagonal/>
    </border>
    <border>
      <left style="thin">
        <color rgb="FF000000"/>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right/>
      <top/>
      <bottom style="thin">
        <color rgb="FF000000"/>
      </bottom>
      <diagonal/>
    </border>
    <border>
      <left/>
      <right/>
      <top style="thin">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61">
    <xf numFmtId="0" fontId="0" fillId="0" borderId="0" xfId="0"/>
    <xf numFmtId="0" fontId="2" fillId="2" borderId="1" xfId="0" applyFont="1" applyFill="1" applyBorder="1"/>
    <xf numFmtId="0" fontId="3" fillId="2" borderId="1" xfId="0" applyFont="1" applyFill="1" applyBorder="1"/>
    <xf numFmtId="0" fontId="4" fillId="2" borderId="1" xfId="0" applyFont="1" applyFill="1" applyBorder="1"/>
    <xf numFmtId="0" fontId="4" fillId="0" borderId="0" xfId="0" applyFont="1"/>
    <xf numFmtId="0" fontId="5" fillId="0" borderId="0" xfId="0" applyFont="1" applyAlignment="1">
      <alignment horizontal="right"/>
    </xf>
    <xf numFmtId="0" fontId="7" fillId="0" borderId="0" xfId="0" applyFont="1"/>
    <xf numFmtId="0" fontId="5" fillId="0" borderId="4" xfId="0" applyFont="1" applyBorder="1" applyAlignment="1">
      <alignment horizontal="center" wrapText="1"/>
    </xf>
    <xf numFmtId="0" fontId="5" fillId="2" borderId="5" xfId="0" applyFont="1" applyFill="1" applyBorder="1" applyAlignment="1">
      <alignment wrapText="1"/>
    </xf>
    <xf numFmtId="0" fontId="4" fillId="2" borderId="6" xfId="0" applyFont="1" applyFill="1" applyBorder="1"/>
    <xf numFmtId="0" fontId="4" fillId="2" borderId="5" xfId="0" applyFont="1" applyFill="1" applyBorder="1" applyAlignment="1">
      <alignment wrapText="1"/>
    </xf>
    <xf numFmtId="0" fontId="5" fillId="0" borderId="0" xfId="0" applyFont="1" applyAlignment="1">
      <alignment horizontal="center" wrapText="1"/>
    </xf>
    <xf numFmtId="0" fontId="4" fillId="3" borderId="0" xfId="0" applyFont="1" applyFill="1" applyAlignment="1">
      <alignment wrapText="1"/>
    </xf>
    <xf numFmtId="0" fontId="4" fillId="3" borderId="0" xfId="0" applyFont="1" applyFill="1"/>
    <xf numFmtId="0" fontId="8" fillId="0" borderId="0" xfId="0" applyFont="1" applyAlignment="1">
      <alignment vertical="center"/>
    </xf>
    <xf numFmtId="0" fontId="4" fillId="0" borderId="0" xfId="0" applyFont="1" applyAlignment="1">
      <alignment horizontal="center" vertical="center"/>
    </xf>
    <xf numFmtId="0" fontId="7" fillId="0" borderId="0" xfId="0" applyFont="1" applyAlignment="1">
      <alignment vertical="center"/>
    </xf>
    <xf numFmtId="0" fontId="9" fillId="4" borderId="16" xfId="0" applyFont="1" applyFill="1" applyBorder="1" applyAlignment="1">
      <alignment horizontal="center" vertical="center" wrapText="1"/>
    </xf>
    <xf numFmtId="0" fontId="9" fillId="4" borderId="16" xfId="0" applyFont="1" applyFill="1" applyBorder="1" applyAlignment="1">
      <alignment horizontal="center" vertical="center" textRotation="90" wrapText="1"/>
    </xf>
    <xf numFmtId="0" fontId="10" fillId="4" borderId="20"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9" fillId="4" borderId="21" xfId="0" applyFont="1" applyFill="1" applyBorder="1" applyAlignment="1">
      <alignment horizontal="center" vertical="center" wrapText="1"/>
    </xf>
    <xf numFmtId="0" fontId="11" fillId="0" borderId="4" xfId="0" applyFont="1" applyBorder="1" applyAlignment="1">
      <alignment horizontal="center" vertical="center" wrapText="1"/>
    </xf>
    <xf numFmtId="0" fontId="9" fillId="4" borderId="20" xfId="0" applyFont="1" applyFill="1" applyBorder="1" applyAlignment="1">
      <alignment horizontal="center" vertical="center" wrapText="1"/>
    </xf>
    <xf numFmtId="0" fontId="10" fillId="4" borderId="17"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9" fillId="4" borderId="17"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0" fillId="5" borderId="16" xfId="0" applyFont="1" applyFill="1" applyBorder="1" applyAlignment="1">
      <alignment horizontal="center" vertical="center" wrapText="1"/>
    </xf>
    <xf numFmtId="2" fontId="10" fillId="5" borderId="16" xfId="0" applyNumberFormat="1" applyFont="1" applyFill="1" applyBorder="1" applyAlignment="1">
      <alignment horizontal="center" vertical="center" wrapText="1"/>
    </xf>
    <xf numFmtId="0" fontId="4" fillId="0" borderId="0" xfId="0" applyFont="1" applyAlignment="1">
      <alignment horizontal="center"/>
    </xf>
    <xf numFmtId="0" fontId="4" fillId="6" borderId="1" xfId="0" applyFont="1" applyFill="1" applyBorder="1"/>
    <xf numFmtId="0" fontId="5" fillId="0" borderId="0" xfId="0" applyFont="1"/>
    <xf numFmtId="0" fontId="5" fillId="0" borderId="0" xfId="0" applyFont="1" applyAlignment="1">
      <alignment horizontal="right" vertical="center"/>
    </xf>
    <xf numFmtId="0" fontId="7" fillId="7" borderId="4" xfId="0" applyFont="1" applyFill="1" applyBorder="1" applyAlignment="1">
      <alignment vertical="center" shrinkToFit="1"/>
    </xf>
    <xf numFmtId="0" fontId="18" fillId="2" borderId="4" xfId="0" applyFont="1" applyFill="1" applyBorder="1" applyAlignment="1">
      <alignment horizontal="center" vertical="center" wrapText="1"/>
    </xf>
    <xf numFmtId="0" fontId="18" fillId="2" borderId="4" xfId="0" applyFont="1" applyFill="1" applyBorder="1" applyAlignment="1">
      <alignment horizontal="center" wrapText="1"/>
    </xf>
    <xf numFmtId="0" fontId="20" fillId="2" borderId="4" xfId="0" applyFont="1" applyFill="1" applyBorder="1" applyAlignment="1">
      <alignment horizontal="center" vertical="center" shrinkToFit="1"/>
    </xf>
    <xf numFmtId="0" fontId="21" fillId="0" borderId="0" xfId="0" applyFont="1"/>
    <xf numFmtId="0" fontId="5" fillId="2" borderId="4" xfId="0" applyFont="1" applyFill="1" applyBorder="1" applyAlignment="1">
      <alignment horizontal="center" vertical="center"/>
    </xf>
    <xf numFmtId="0" fontId="21" fillId="2" borderId="4" xfId="0" applyFont="1" applyFill="1" applyBorder="1" applyAlignment="1">
      <alignment horizontal="center"/>
    </xf>
    <xf numFmtId="0" fontId="21" fillId="2" borderId="4" xfId="0" applyFont="1" applyFill="1" applyBorder="1"/>
    <xf numFmtId="0" fontId="22" fillId="2" borderId="4" xfId="0" applyFont="1" applyFill="1" applyBorder="1" applyAlignment="1">
      <alignment horizontal="center"/>
    </xf>
    <xf numFmtId="0" fontId="21" fillId="2" borderId="29" xfId="0" applyFont="1" applyFill="1" applyBorder="1" applyAlignment="1">
      <alignment horizontal="center"/>
    </xf>
    <xf numFmtId="0" fontId="21" fillId="2" borderId="29" xfId="0" applyFont="1" applyFill="1" applyBorder="1"/>
    <xf numFmtId="0" fontId="4" fillId="2" borderId="4" xfId="0" applyFont="1" applyFill="1" applyBorder="1" applyAlignment="1">
      <alignment horizontal="center" wrapText="1"/>
    </xf>
    <xf numFmtId="1" fontId="5" fillId="2" borderId="4" xfId="0" applyNumberFormat="1" applyFont="1" applyFill="1" applyBorder="1" applyAlignment="1">
      <alignment horizontal="center" vertical="center"/>
    </xf>
    <xf numFmtId="0" fontId="23" fillId="0" borderId="0" xfId="0" applyFont="1"/>
    <xf numFmtId="9" fontId="7" fillId="0" borderId="15" xfId="0" applyNumberFormat="1" applyFont="1" applyBorder="1" applyAlignment="1">
      <alignment vertical="center"/>
    </xf>
    <xf numFmtId="0" fontId="18" fillId="4" borderId="33" xfId="0" applyFont="1" applyFill="1" applyBorder="1" applyAlignment="1">
      <alignment vertical="center" wrapText="1"/>
    </xf>
    <xf numFmtId="0" fontId="5" fillId="0" borderId="37" xfId="0" applyFont="1" applyBorder="1" applyAlignment="1">
      <alignment horizontal="left" vertical="center"/>
    </xf>
    <xf numFmtId="164" fontId="5" fillId="4" borderId="38" xfId="0" applyNumberFormat="1" applyFont="1" applyFill="1" applyBorder="1" applyAlignment="1">
      <alignment horizontal="center" vertical="center"/>
    </xf>
    <xf numFmtId="164" fontId="5" fillId="4" borderId="42" xfId="0" applyNumberFormat="1" applyFont="1" applyFill="1" applyBorder="1" applyAlignment="1">
      <alignment horizontal="center" vertical="center"/>
    </xf>
    <xf numFmtId="0" fontId="5" fillId="0" borderId="12" xfId="0" applyFont="1" applyBorder="1" applyAlignment="1">
      <alignment horizontal="left" vertical="center"/>
    </xf>
    <xf numFmtId="164" fontId="5" fillId="4" borderId="16" xfId="0" applyNumberFormat="1" applyFont="1" applyFill="1" applyBorder="1" applyAlignment="1">
      <alignment horizontal="center" vertical="center"/>
    </xf>
    <xf numFmtId="0" fontId="5" fillId="4" borderId="1" xfId="0" applyFont="1" applyFill="1" applyBorder="1"/>
    <xf numFmtId="0" fontId="7" fillId="4" borderId="48" xfId="0" applyFont="1" applyFill="1" applyBorder="1" applyAlignment="1">
      <alignment horizontal="center" vertical="center"/>
    </xf>
    <xf numFmtId="0" fontId="18" fillId="4" borderId="49" xfId="0" applyFont="1" applyFill="1" applyBorder="1" applyAlignment="1">
      <alignment horizontal="center" vertical="center"/>
    </xf>
    <xf numFmtId="0" fontId="18" fillId="4" borderId="50" xfId="0" applyFont="1" applyFill="1" applyBorder="1" applyAlignment="1">
      <alignment horizontal="center" vertical="center"/>
    </xf>
    <xf numFmtId="0" fontId="7" fillId="4" borderId="51" xfId="0" applyFont="1" applyFill="1" applyBorder="1" applyAlignment="1">
      <alignment horizontal="center" vertical="center"/>
    </xf>
    <xf numFmtId="0" fontId="5" fillId="4" borderId="52" xfId="0" applyFont="1" applyFill="1" applyBorder="1" applyAlignment="1">
      <alignment horizontal="center" vertical="center"/>
    </xf>
    <xf numFmtId="0" fontId="25" fillId="0" borderId="0" xfId="0" applyFont="1" applyAlignment="1">
      <alignment horizontal="center" vertical="center"/>
    </xf>
    <xf numFmtId="0" fontId="26" fillId="0" borderId="0" xfId="0" applyFont="1"/>
    <xf numFmtId="0" fontId="27" fillId="14" borderId="0" xfId="0" applyFont="1" applyFill="1"/>
    <xf numFmtId="0" fontId="5" fillId="2" borderId="4" xfId="0" applyFont="1" applyFill="1" applyBorder="1" applyAlignment="1">
      <alignment horizontal="left" vertical="center" wrapText="1"/>
    </xf>
    <xf numFmtId="0" fontId="28" fillId="2" borderId="4" xfId="0" applyFont="1" applyFill="1" applyBorder="1" applyAlignment="1">
      <alignment horizontal="center"/>
    </xf>
    <xf numFmtId="0" fontId="23" fillId="4" borderId="53" xfId="0" applyFont="1" applyFill="1" applyBorder="1" applyAlignment="1">
      <alignment horizontal="center" vertical="center" wrapText="1"/>
    </xf>
    <xf numFmtId="0" fontId="23" fillId="2" borderId="20" xfId="0" applyFont="1" applyFill="1" applyBorder="1" applyAlignment="1">
      <alignment horizontal="center" vertical="center" wrapText="1"/>
    </xf>
    <xf numFmtId="0" fontId="23" fillId="4" borderId="21" xfId="0" applyFont="1" applyFill="1" applyBorder="1" applyAlignment="1">
      <alignment horizontal="center" vertical="center" wrapText="1"/>
    </xf>
    <xf numFmtId="0" fontId="29" fillId="4" borderId="21" xfId="0" applyFont="1" applyFill="1" applyBorder="1" applyAlignment="1">
      <alignment horizontal="center" vertical="center"/>
    </xf>
    <xf numFmtId="0" fontId="23" fillId="0" borderId="0" xfId="0" applyFont="1" applyAlignment="1">
      <alignment horizontal="center" vertical="center" wrapText="1"/>
    </xf>
    <xf numFmtId="0" fontId="29" fillId="0" borderId="0" xfId="0" applyFont="1" applyAlignment="1">
      <alignment horizontal="center" vertical="center"/>
    </xf>
    <xf numFmtId="0" fontId="18" fillId="4" borderId="21" xfId="0" applyFont="1" applyFill="1" applyBorder="1" applyAlignment="1">
      <alignment horizontal="center" vertical="center" wrapText="1"/>
    </xf>
    <xf numFmtId="0" fontId="18" fillId="4" borderId="21" xfId="0" applyFont="1" applyFill="1" applyBorder="1" applyAlignment="1">
      <alignment horizontal="center" vertical="center"/>
    </xf>
    <xf numFmtId="0" fontId="4" fillId="4" borderId="1" xfId="0" applyFont="1" applyFill="1" applyBorder="1"/>
    <xf numFmtId="9" fontId="5" fillId="0" borderId="54" xfId="0" applyNumberFormat="1" applyFont="1" applyBorder="1" applyAlignment="1">
      <alignment vertical="center"/>
    </xf>
    <xf numFmtId="0" fontId="5" fillId="4" borderId="38" xfId="0" applyFont="1" applyFill="1" applyBorder="1" applyAlignment="1">
      <alignment vertical="center"/>
    </xf>
    <xf numFmtId="0" fontId="18" fillId="4" borderId="56" xfId="0" applyFont="1" applyFill="1" applyBorder="1" applyAlignment="1">
      <alignment horizontal="center" vertical="center"/>
    </xf>
    <xf numFmtId="9" fontId="5" fillId="0" borderId="5" xfId="0" applyNumberFormat="1" applyFont="1" applyBorder="1" applyAlignment="1">
      <alignment vertical="center"/>
    </xf>
    <xf numFmtId="0" fontId="5" fillId="4" borderId="58" xfId="0" applyFont="1" applyFill="1" applyBorder="1" applyAlignment="1">
      <alignment vertical="center"/>
    </xf>
    <xf numFmtId="0" fontId="18" fillId="4" borderId="59" xfId="0" applyFont="1" applyFill="1" applyBorder="1" applyAlignment="1">
      <alignment horizontal="center" vertical="center"/>
    </xf>
    <xf numFmtId="9" fontId="5" fillId="0" borderId="60" xfId="0" applyNumberFormat="1" applyFont="1" applyBorder="1" applyAlignment="1">
      <alignment vertical="center"/>
    </xf>
    <xf numFmtId="0" fontId="5" fillId="4" borderId="62" xfId="0" applyFont="1" applyFill="1" applyBorder="1" applyAlignment="1">
      <alignment vertical="center"/>
    </xf>
    <xf numFmtId="0" fontId="18" fillId="4" borderId="63" xfId="0" applyFont="1" applyFill="1" applyBorder="1" applyAlignment="1">
      <alignment horizontal="center" vertical="center"/>
    </xf>
    <xf numFmtId="0" fontId="4" fillId="4" borderId="1" xfId="0" applyFont="1" applyFill="1" applyBorder="1" applyAlignment="1">
      <alignment horizontal="center" vertical="center"/>
    </xf>
    <xf numFmtId="0" fontId="30" fillId="0" borderId="0" xfId="0" applyFont="1" applyAlignment="1">
      <alignment vertical="top"/>
    </xf>
    <xf numFmtId="0" fontId="23" fillId="4" borderId="53" xfId="0" applyFont="1" applyFill="1" applyBorder="1" applyAlignment="1">
      <alignment horizontal="left" vertical="center" wrapText="1"/>
    </xf>
    <xf numFmtId="0" fontId="23" fillId="0" borderId="17" xfId="0" applyFont="1" applyBorder="1" applyAlignment="1">
      <alignment horizontal="center" vertical="center" wrapText="1"/>
    </xf>
    <xf numFmtId="0" fontId="18" fillId="4" borderId="21" xfId="0" applyFont="1" applyFill="1" applyBorder="1" applyAlignment="1">
      <alignment vertical="center" wrapText="1"/>
    </xf>
    <xf numFmtId="0" fontId="5" fillId="4" borderId="68" xfId="0" applyFont="1" applyFill="1" applyBorder="1" applyAlignment="1">
      <alignment horizontal="center" vertical="center"/>
    </xf>
    <xf numFmtId="0" fontId="5" fillId="4" borderId="69" xfId="0" applyFont="1" applyFill="1" applyBorder="1" applyAlignment="1">
      <alignment horizontal="center" vertical="center"/>
    </xf>
    <xf numFmtId="0" fontId="5" fillId="4" borderId="62" xfId="0" applyFont="1" applyFill="1" applyBorder="1" applyAlignment="1">
      <alignment horizontal="center" vertical="center"/>
    </xf>
    <xf numFmtId="0" fontId="18" fillId="4" borderId="71" xfId="0" applyFont="1" applyFill="1" applyBorder="1" applyAlignment="1">
      <alignment horizontal="center" vertical="center"/>
    </xf>
    <xf numFmtId="0" fontId="18" fillId="4" borderId="72" xfId="0" applyFont="1" applyFill="1" applyBorder="1" applyAlignment="1">
      <alignment horizontal="center" vertical="center"/>
    </xf>
    <xf numFmtId="0" fontId="5" fillId="4" borderId="49" xfId="0" applyFont="1" applyFill="1" applyBorder="1" applyAlignment="1">
      <alignment horizontal="center" vertical="center"/>
    </xf>
    <xf numFmtId="0" fontId="5" fillId="4" borderId="50"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73" xfId="0" applyFont="1" applyFill="1" applyBorder="1" applyAlignment="1">
      <alignment horizontal="center" vertical="center"/>
    </xf>
    <xf numFmtId="0" fontId="5" fillId="4" borderId="74" xfId="0" applyFont="1" applyFill="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20" fillId="7" borderId="20" xfId="0" applyFont="1" applyFill="1" applyBorder="1" applyAlignment="1">
      <alignment horizontal="center" vertical="center" wrapText="1"/>
    </xf>
    <xf numFmtId="0" fontId="5" fillId="0" borderId="56" xfId="0" applyFont="1" applyBorder="1" applyAlignment="1">
      <alignment horizontal="center" vertical="center"/>
    </xf>
    <xf numFmtId="0" fontId="5" fillId="0" borderId="59" xfId="0" applyFont="1" applyBorder="1" applyAlignment="1">
      <alignment horizontal="center" vertical="center"/>
    </xf>
    <xf numFmtId="0" fontId="32" fillId="0" borderId="59" xfId="0" applyFont="1" applyBorder="1" applyAlignment="1">
      <alignment horizontal="center" vertical="center"/>
    </xf>
    <xf numFmtId="0" fontId="5" fillId="0" borderId="63" xfId="0" applyFont="1" applyBorder="1" applyAlignment="1">
      <alignment horizontal="center" vertical="center"/>
    </xf>
    <xf numFmtId="0" fontId="5" fillId="5" borderId="21" xfId="0" applyFont="1" applyFill="1" applyBorder="1" applyAlignment="1">
      <alignment horizontal="center" vertical="center"/>
    </xf>
    <xf numFmtId="0" fontId="4" fillId="5" borderId="21" xfId="0" applyFont="1" applyFill="1" applyBorder="1" applyAlignment="1">
      <alignment horizontal="center"/>
    </xf>
    <xf numFmtId="0" fontId="18" fillId="0" borderId="21" xfId="0" applyFont="1" applyBorder="1" applyAlignment="1">
      <alignment horizontal="center" vertical="center"/>
    </xf>
    <xf numFmtId="0" fontId="18" fillId="0" borderId="56" xfId="0" applyFont="1" applyBorder="1" applyAlignment="1">
      <alignment horizontal="center" vertical="center"/>
    </xf>
    <xf numFmtId="0" fontId="18" fillId="0" borderId="59" xfId="0" applyFont="1" applyBorder="1" applyAlignment="1">
      <alignment horizontal="center" vertical="center"/>
    </xf>
    <xf numFmtId="0" fontId="18" fillId="0" borderId="63" xfId="0" applyFont="1" applyBorder="1" applyAlignment="1">
      <alignment horizontal="center" vertical="center"/>
    </xf>
    <xf numFmtId="0" fontId="18" fillId="2" borderId="71" xfId="0" applyFont="1" applyFill="1" applyBorder="1" applyAlignment="1">
      <alignment horizontal="center" vertical="center"/>
    </xf>
    <xf numFmtId="0" fontId="18" fillId="2" borderId="72" xfId="0" applyFont="1" applyFill="1" applyBorder="1" applyAlignment="1">
      <alignment horizontal="center" vertical="center"/>
    </xf>
    <xf numFmtId="0" fontId="5" fillId="2" borderId="49" xfId="0" applyFont="1" applyFill="1" applyBorder="1" applyAlignment="1">
      <alignment horizontal="center" vertical="center"/>
    </xf>
    <xf numFmtId="0" fontId="5" fillId="2" borderId="50" xfId="0" applyFont="1" applyFill="1" applyBorder="1" applyAlignment="1">
      <alignment horizontal="center" vertical="center"/>
    </xf>
    <xf numFmtId="0" fontId="33" fillId="2" borderId="1" xfId="0" applyFont="1" applyFill="1" applyBorder="1"/>
    <xf numFmtId="0" fontId="9" fillId="4" borderId="21" xfId="0" applyFont="1" applyFill="1" applyBorder="1" applyAlignment="1">
      <alignment horizontal="center" vertical="center" textRotation="90" wrapText="1"/>
    </xf>
    <xf numFmtId="0" fontId="9" fillId="4" borderId="33" xfId="0" applyFont="1" applyFill="1" applyBorder="1" applyAlignment="1">
      <alignment horizontal="center" vertical="center" textRotation="90" wrapText="1"/>
    </xf>
    <xf numFmtId="0" fontId="10" fillId="0" borderId="17" xfId="0" applyFont="1" applyBorder="1" applyAlignment="1">
      <alignment horizontal="center" vertical="center" wrapText="1"/>
    </xf>
    <xf numFmtId="0" fontId="12" fillId="0" borderId="19" xfId="0" applyFont="1" applyBorder="1" applyAlignment="1">
      <alignment horizontal="center" vertical="center" wrapText="1"/>
    </xf>
    <xf numFmtId="0" fontId="10" fillId="0" borderId="19" xfId="0" applyFont="1" applyBorder="1" applyAlignment="1">
      <alignment horizontal="center" vertical="center" wrapText="1"/>
    </xf>
    <xf numFmtId="0" fontId="10" fillId="2" borderId="16" xfId="0" applyFont="1" applyFill="1" applyBorder="1" applyAlignment="1">
      <alignment horizontal="center" vertical="center" wrapText="1"/>
    </xf>
    <xf numFmtId="0" fontId="34" fillId="0" borderId="0" xfId="0" applyFont="1" applyAlignment="1">
      <alignment horizontal="center" vertical="center"/>
    </xf>
    <xf numFmtId="0" fontId="4" fillId="0" borderId="17" xfId="0" applyFont="1" applyBorder="1" applyAlignment="1">
      <alignment horizontal="center" vertical="center"/>
    </xf>
    <xf numFmtId="0" fontId="4" fillId="0" borderId="80"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72" xfId="0" applyFont="1" applyBorder="1" applyAlignment="1">
      <alignment horizontal="center" vertical="center"/>
    </xf>
    <xf numFmtId="0" fontId="4" fillId="0" borderId="21" xfId="0" applyFont="1" applyBorder="1" applyAlignment="1">
      <alignment horizontal="center" vertical="center"/>
    </xf>
    <xf numFmtId="0" fontId="29" fillId="0" borderId="56" xfId="0" applyFont="1" applyBorder="1" applyAlignment="1">
      <alignment horizontal="center" vertical="center"/>
    </xf>
    <xf numFmtId="0" fontId="4" fillId="0" borderId="65" xfId="0" applyFont="1" applyBorder="1" applyAlignment="1">
      <alignment horizontal="center" vertical="center"/>
    </xf>
    <xf numFmtId="0" fontId="4" fillId="0" borderId="49" xfId="0" applyFont="1" applyBorder="1" applyAlignment="1">
      <alignment horizontal="center" vertical="center"/>
    </xf>
    <xf numFmtId="0" fontId="4" fillId="0" borderId="50" xfId="0" applyFont="1" applyBorder="1" applyAlignment="1">
      <alignment horizontal="center" vertical="center"/>
    </xf>
    <xf numFmtId="0" fontId="29" fillId="0" borderId="59" xfId="0" applyFont="1" applyBorder="1" applyAlignment="1">
      <alignment horizontal="center" vertical="center"/>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4" fillId="0" borderId="73" xfId="0" applyFont="1" applyBorder="1" applyAlignment="1">
      <alignment horizontal="center" vertical="center"/>
    </xf>
    <xf numFmtId="0" fontId="29" fillId="0" borderId="63" xfId="0" applyFont="1" applyBorder="1" applyAlignment="1">
      <alignment horizontal="center" vertical="center"/>
    </xf>
    <xf numFmtId="0" fontId="4" fillId="0" borderId="66" xfId="0" applyFont="1" applyBorder="1" applyAlignment="1">
      <alignment horizontal="center" vertical="center"/>
    </xf>
    <xf numFmtId="0" fontId="4" fillId="0" borderId="52" xfId="0" applyFont="1" applyBorder="1" applyAlignment="1">
      <alignment horizontal="center" vertical="center"/>
    </xf>
    <xf numFmtId="0" fontId="4" fillId="0" borderId="74" xfId="0" applyFont="1" applyBorder="1" applyAlignment="1">
      <alignment horizontal="center" vertical="center"/>
    </xf>
    <xf numFmtId="0" fontId="29" fillId="0" borderId="59" xfId="0" applyFont="1" applyBorder="1" applyAlignment="1">
      <alignment horizontal="center" vertical="center" wrapText="1"/>
    </xf>
    <xf numFmtId="0" fontId="36" fillId="15" borderId="81" xfId="0" applyFont="1" applyFill="1" applyBorder="1" applyAlignment="1">
      <alignment horizontal="center" vertical="center"/>
    </xf>
    <xf numFmtId="0" fontId="29" fillId="0" borderId="63" xfId="0" applyFont="1" applyBorder="1" applyAlignment="1">
      <alignment horizontal="center" vertical="center" wrapText="1"/>
    </xf>
    <xf numFmtId="0" fontId="38" fillId="0" borderId="21" xfId="0" applyFont="1" applyBorder="1" applyAlignment="1">
      <alignment horizontal="center" vertical="center"/>
    </xf>
    <xf numFmtId="0" fontId="37" fillId="0" borderId="21" xfId="0" applyFont="1" applyBorder="1" applyAlignment="1">
      <alignment horizontal="center" vertical="center" wrapText="1"/>
    </xf>
    <xf numFmtId="9" fontId="38" fillId="0" borderId="21" xfId="0" applyNumberFormat="1" applyFont="1" applyBorder="1" applyAlignment="1">
      <alignment horizontal="center" vertical="center"/>
    </xf>
    <xf numFmtId="0" fontId="37" fillId="0" borderId="21" xfId="0" applyFont="1" applyBorder="1" applyAlignment="1">
      <alignment horizontal="center" vertical="center"/>
    </xf>
    <xf numFmtId="0" fontId="39" fillId="0" borderId="10" xfId="0" applyFont="1" applyBorder="1" applyAlignment="1">
      <alignment vertical="center"/>
    </xf>
    <xf numFmtId="0" fontId="39" fillId="0" borderId="12" xfId="0" applyFont="1" applyBorder="1" applyAlignment="1">
      <alignment vertical="center"/>
    </xf>
    <xf numFmtId="0" fontId="4" fillId="4" borderId="49" xfId="0" applyFont="1" applyFill="1" applyBorder="1" applyAlignment="1">
      <alignment horizontal="center" vertical="center"/>
    </xf>
    <xf numFmtId="0" fontId="4" fillId="4" borderId="52" xfId="0" applyFont="1" applyFill="1" applyBorder="1" applyAlignment="1">
      <alignment horizontal="center" vertical="center" wrapText="1"/>
    </xf>
    <xf numFmtId="0" fontId="4" fillId="4" borderId="52" xfId="0" applyFont="1" applyFill="1" applyBorder="1" applyAlignment="1">
      <alignment horizontal="center" vertical="center"/>
    </xf>
    <xf numFmtId="0" fontId="4" fillId="2" borderId="49" xfId="0" applyFont="1" applyFill="1" applyBorder="1" applyAlignment="1">
      <alignment horizontal="center" vertical="center"/>
    </xf>
    <xf numFmtId="2" fontId="4" fillId="4" borderId="52" xfId="0" applyNumberFormat="1" applyFont="1" applyFill="1" applyBorder="1" applyAlignment="1">
      <alignment horizontal="center" vertical="center"/>
    </xf>
    <xf numFmtId="2" fontId="4" fillId="4" borderId="86" xfId="0" applyNumberFormat="1" applyFont="1" applyFill="1" applyBorder="1" applyAlignment="1">
      <alignment horizontal="center" vertical="center"/>
    </xf>
    <xf numFmtId="0" fontId="4" fillId="4" borderId="87" xfId="0" applyFont="1" applyFill="1" applyBorder="1" applyAlignment="1">
      <alignment vertical="center"/>
    </xf>
    <xf numFmtId="0" fontId="4" fillId="4" borderId="88" xfId="0" applyFont="1" applyFill="1" applyBorder="1" applyAlignment="1">
      <alignment horizontal="center" vertical="center"/>
    </xf>
    <xf numFmtId="0" fontId="4" fillId="4" borderId="88" xfId="0" applyFont="1" applyFill="1" applyBorder="1" applyAlignment="1">
      <alignment vertical="center"/>
    </xf>
    <xf numFmtId="0" fontId="4" fillId="4" borderId="89" xfId="0" applyFont="1" applyFill="1" applyBorder="1" applyAlignment="1">
      <alignment vertical="center"/>
    </xf>
    <xf numFmtId="0" fontId="4" fillId="4" borderId="16" xfId="0" applyFont="1" applyFill="1" applyBorder="1" applyAlignment="1">
      <alignment horizontal="center" vertical="center"/>
    </xf>
    <xf numFmtId="0" fontId="4" fillId="4" borderId="80" xfId="0" applyFont="1" applyFill="1" applyBorder="1" applyAlignment="1">
      <alignment horizontal="center" vertical="center" wrapText="1"/>
    </xf>
    <xf numFmtId="0" fontId="4" fillId="4" borderId="71" xfId="0" applyFont="1" applyFill="1" applyBorder="1" applyAlignment="1">
      <alignment horizontal="center" vertical="center" wrapText="1"/>
    </xf>
    <xf numFmtId="0" fontId="4" fillId="4" borderId="71" xfId="0" applyFont="1" applyFill="1" applyBorder="1" applyAlignment="1">
      <alignment horizontal="center" vertical="center"/>
    </xf>
    <xf numFmtId="0" fontId="4" fillId="4" borderId="33" xfId="0" applyFont="1" applyFill="1" applyBorder="1" applyAlignment="1">
      <alignment horizontal="center" vertical="center"/>
    </xf>
    <xf numFmtId="0" fontId="29" fillId="4" borderId="56" xfId="0" applyFont="1" applyFill="1" applyBorder="1" applyAlignment="1">
      <alignment horizontal="center" vertical="center"/>
    </xf>
    <xf numFmtId="0" fontId="4" fillId="4" borderId="90" xfId="0" applyFont="1" applyFill="1" applyBorder="1" applyAlignment="1">
      <alignment horizontal="center" vertical="center"/>
    </xf>
    <xf numFmtId="0" fontId="4" fillId="4" borderId="50" xfId="0" applyFont="1" applyFill="1" applyBorder="1" applyAlignment="1">
      <alignment horizontal="center" vertical="center"/>
    </xf>
    <xf numFmtId="0" fontId="29" fillId="4" borderId="59" xfId="0" applyFont="1" applyFill="1" applyBorder="1" applyAlignment="1">
      <alignment horizontal="center" vertical="center"/>
    </xf>
    <xf numFmtId="0" fontId="4" fillId="4" borderId="81"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73" xfId="0" applyFont="1" applyFill="1" applyBorder="1" applyAlignment="1">
      <alignment horizontal="center" vertical="center"/>
    </xf>
    <xf numFmtId="0" fontId="29" fillId="4" borderId="63" xfId="0" applyFont="1" applyFill="1" applyBorder="1" applyAlignment="1">
      <alignment horizontal="center" vertical="center"/>
    </xf>
    <xf numFmtId="0" fontId="4" fillId="4" borderId="91" xfId="0" applyFont="1" applyFill="1" applyBorder="1" applyAlignment="1">
      <alignment horizontal="center" vertical="center"/>
    </xf>
    <xf numFmtId="0" fontId="4" fillId="4" borderId="74" xfId="0" applyFont="1" applyFill="1" applyBorder="1" applyAlignment="1">
      <alignment horizontal="center" vertical="center"/>
    </xf>
    <xf numFmtId="0" fontId="29" fillId="4" borderId="59" xfId="0" applyFont="1" applyFill="1" applyBorder="1" applyAlignment="1">
      <alignment horizontal="center" vertical="center" wrapText="1"/>
    </xf>
    <xf numFmtId="2" fontId="36" fillId="4" borderId="81" xfId="0" applyNumberFormat="1" applyFont="1" applyFill="1" applyBorder="1" applyAlignment="1">
      <alignment horizontal="center" vertical="center"/>
    </xf>
    <xf numFmtId="0" fontId="29" fillId="4" borderId="63" xfId="0" applyFont="1" applyFill="1" applyBorder="1" applyAlignment="1">
      <alignment horizontal="center" vertical="center" wrapText="1"/>
    </xf>
    <xf numFmtId="2" fontId="4" fillId="4" borderId="91" xfId="0" applyNumberFormat="1" applyFont="1" applyFill="1" applyBorder="1" applyAlignment="1">
      <alignment horizontal="center" vertical="center"/>
    </xf>
    <xf numFmtId="2" fontId="38" fillId="4" borderId="21" xfId="0" applyNumberFormat="1" applyFont="1" applyFill="1" applyBorder="1" applyAlignment="1">
      <alignment horizontal="center" vertical="center"/>
    </xf>
    <xf numFmtId="0" fontId="37" fillId="4" borderId="21" xfId="0" applyFont="1" applyFill="1" applyBorder="1" applyAlignment="1">
      <alignment horizontal="center" vertical="center" wrapText="1"/>
    </xf>
    <xf numFmtId="0" fontId="38" fillId="4" borderId="21" xfId="0" applyFont="1" applyFill="1" applyBorder="1" applyAlignment="1">
      <alignment horizontal="center" vertical="center"/>
    </xf>
    <xf numFmtId="9" fontId="38" fillId="4" borderId="21" xfId="0" applyNumberFormat="1" applyFont="1" applyFill="1" applyBorder="1" applyAlignment="1">
      <alignment horizontal="center" vertical="center"/>
    </xf>
    <xf numFmtId="0" fontId="37" fillId="4" borderId="21" xfId="0" applyFont="1" applyFill="1" applyBorder="1" applyAlignment="1">
      <alignment horizontal="center" vertical="center"/>
    </xf>
    <xf numFmtId="2" fontId="39" fillId="5" borderId="87" xfId="0" applyNumberFormat="1" applyFont="1" applyFill="1" applyBorder="1" applyAlignment="1">
      <alignment vertical="center"/>
    </xf>
    <xf numFmtId="0" fontId="39" fillId="5" borderId="33" xfId="0" applyFont="1" applyFill="1" applyBorder="1" applyAlignment="1">
      <alignment vertical="center"/>
    </xf>
    <xf numFmtId="0" fontId="12" fillId="4" borderId="16" xfId="0" applyFont="1" applyFill="1" applyBorder="1" applyAlignment="1">
      <alignment horizontal="center" vertical="center" wrapText="1"/>
    </xf>
    <xf numFmtId="0" fontId="41" fillId="5" borderId="16" xfId="0" applyFont="1" applyFill="1" applyBorder="1" applyAlignment="1">
      <alignment horizontal="center" vertical="center" wrapText="1"/>
    </xf>
    <xf numFmtId="2" fontId="4" fillId="0" borderId="0" xfId="0" applyNumberFormat="1" applyFont="1"/>
    <xf numFmtId="0" fontId="42" fillId="0" borderId="4" xfId="0" applyFont="1" applyBorder="1" applyAlignment="1">
      <alignment horizontal="center" vertical="center" wrapText="1"/>
    </xf>
    <xf numFmtId="0" fontId="43" fillId="0" borderId="0" xfId="0" applyFont="1"/>
    <xf numFmtId="0" fontId="0" fillId="0" borderId="22" xfId="0" applyBorder="1"/>
    <xf numFmtId="0" fontId="0" fillId="0" borderId="92" xfId="0" applyBorder="1" applyAlignment="1">
      <alignment horizontal="center" vertical="center"/>
    </xf>
    <xf numFmtId="0" fontId="0" fillId="0" borderId="93" xfId="0" applyBorder="1" applyAlignment="1">
      <alignment horizontal="center" vertical="center"/>
    </xf>
    <xf numFmtId="0" fontId="45" fillId="0" borderId="92" xfId="0" applyFont="1" applyBorder="1" applyAlignment="1">
      <alignment horizontal="center" vertical="center"/>
    </xf>
    <xf numFmtId="0" fontId="5" fillId="17" borderId="22" xfId="0" applyFont="1" applyFill="1" applyBorder="1" applyAlignment="1">
      <alignment horizontal="center" vertical="center"/>
    </xf>
    <xf numFmtId="0" fontId="4" fillId="17" borderId="22" xfId="0" applyFont="1" applyFill="1" applyBorder="1" applyAlignment="1">
      <alignment horizontal="center" wrapText="1"/>
    </xf>
    <xf numFmtId="1" fontId="5" fillId="17" borderId="22" xfId="0" applyNumberFormat="1" applyFont="1" applyFill="1" applyBorder="1" applyAlignment="1">
      <alignment horizontal="center" vertical="center"/>
    </xf>
    <xf numFmtId="0" fontId="20" fillId="17" borderId="22" xfId="0" applyFont="1" applyFill="1" applyBorder="1" applyAlignment="1">
      <alignment horizontal="center" vertical="center" shrinkToFit="1"/>
    </xf>
    <xf numFmtId="1" fontId="20" fillId="17" borderId="22" xfId="0" applyNumberFormat="1" applyFont="1" applyFill="1" applyBorder="1" applyAlignment="1">
      <alignment horizontal="center" vertical="center" shrinkToFit="1"/>
    </xf>
    <xf numFmtId="0" fontId="4" fillId="17" borderId="22" xfId="0" applyFont="1" applyFill="1" applyBorder="1" applyAlignment="1">
      <alignment wrapText="1"/>
    </xf>
    <xf numFmtId="0" fontId="22" fillId="0" borderId="22" xfId="0" applyFont="1" applyBorder="1" applyAlignment="1">
      <alignment horizontal="center"/>
    </xf>
    <xf numFmtId="0" fontId="5" fillId="0" borderId="22" xfId="0" applyFont="1" applyBorder="1"/>
    <xf numFmtId="0" fontId="46" fillId="0" borderId="22" xfId="0" applyFont="1" applyBorder="1" applyAlignment="1">
      <alignment horizontal="center" vertical="center"/>
    </xf>
    <xf numFmtId="0" fontId="19" fillId="2" borderId="29" xfId="0" applyFont="1" applyFill="1" applyBorder="1" applyAlignment="1">
      <alignment horizontal="center" vertical="center"/>
    </xf>
    <xf numFmtId="0" fontId="20" fillId="2" borderId="29" xfId="0" applyFont="1" applyFill="1" applyBorder="1" applyAlignment="1">
      <alignment horizontal="center" vertical="center" wrapText="1"/>
    </xf>
    <xf numFmtId="0" fontId="18" fillId="2" borderId="29" xfId="0" applyFont="1" applyFill="1" applyBorder="1" applyAlignment="1">
      <alignment horizontal="center" vertical="center" wrapText="1"/>
    </xf>
    <xf numFmtId="0" fontId="18" fillId="2" borderId="25" xfId="0" applyFont="1" applyFill="1" applyBorder="1" applyAlignment="1">
      <alignment horizontal="center" vertical="center" wrapText="1"/>
    </xf>
    <xf numFmtId="0" fontId="5" fillId="2" borderId="92" xfId="0" applyFont="1" applyFill="1" applyBorder="1" applyAlignment="1">
      <alignment horizontal="center" vertical="center"/>
    </xf>
    <xf numFmtId="0" fontId="21" fillId="2" borderId="92" xfId="0" applyFont="1" applyFill="1" applyBorder="1" applyAlignment="1">
      <alignment horizontal="center"/>
    </xf>
    <xf numFmtId="0" fontId="21" fillId="2" borderId="92" xfId="0" applyFont="1" applyFill="1" applyBorder="1"/>
    <xf numFmtId="0" fontId="22" fillId="2" borderId="92" xfId="0" applyFont="1" applyFill="1" applyBorder="1" applyAlignment="1">
      <alignment horizontal="center"/>
    </xf>
    <xf numFmtId="0" fontId="5" fillId="2" borderId="92" xfId="0" applyFont="1" applyFill="1" applyBorder="1" applyAlignment="1">
      <alignment horizontal="left" vertical="center"/>
    </xf>
    <xf numFmtId="0" fontId="4" fillId="2" borderId="92" xfId="0" applyFont="1" applyFill="1" applyBorder="1" applyAlignment="1">
      <alignment horizontal="center" wrapText="1"/>
    </xf>
    <xf numFmtId="0" fontId="48" fillId="0" borderId="0" xfId="0" applyFont="1"/>
    <xf numFmtId="0" fontId="4" fillId="0" borderId="0" xfId="0" applyFont="1" applyAlignment="1">
      <alignment horizontal="center"/>
    </xf>
    <xf numFmtId="0" fontId="0" fillId="0" borderId="0" xfId="0"/>
    <xf numFmtId="0" fontId="4" fillId="6" borderId="22" xfId="0" applyFont="1" applyFill="1" applyBorder="1" applyAlignment="1">
      <alignment horizontal="center"/>
    </xf>
    <xf numFmtId="0" fontId="6" fillId="0" borderId="3" xfId="0" applyFont="1" applyBorder="1"/>
    <xf numFmtId="0" fontId="5" fillId="2" borderId="92" xfId="0" applyFont="1" applyFill="1" applyBorder="1" applyAlignment="1">
      <alignment horizontal="center"/>
    </xf>
    <xf numFmtId="0" fontId="6" fillId="0" borderId="92" xfId="0" applyFont="1" applyBorder="1"/>
    <xf numFmtId="0" fontId="7" fillId="4" borderId="10" xfId="0" applyFont="1" applyFill="1" applyBorder="1" applyAlignment="1">
      <alignment horizontal="center" vertical="center" wrapText="1"/>
    </xf>
    <xf numFmtId="0" fontId="6" fillId="0" borderId="11" xfId="0" applyFont="1" applyBorder="1"/>
    <xf numFmtId="0" fontId="6" fillId="0" borderId="12" xfId="0" applyFont="1" applyBorder="1"/>
    <xf numFmtId="0" fontId="7" fillId="4" borderId="8" xfId="0" applyFont="1" applyFill="1" applyBorder="1" applyAlignment="1">
      <alignment horizontal="center" vertical="center" wrapText="1"/>
    </xf>
    <xf numFmtId="0" fontId="6" fillId="0" borderId="9" xfId="0" applyFont="1" applyBorder="1"/>
    <xf numFmtId="0" fontId="6" fillId="0" borderId="14" xfId="0" applyFont="1" applyBorder="1"/>
    <xf numFmtId="0" fontId="6" fillId="0" borderId="15" xfId="0" applyFont="1" applyBorder="1"/>
    <xf numFmtId="0" fontId="6" fillId="0" borderId="18" xfId="0" applyFont="1" applyBorder="1"/>
    <xf numFmtId="0" fontId="6" fillId="0" borderId="19" xfId="0" applyFont="1" applyBorder="1"/>
    <xf numFmtId="0" fontId="14" fillId="4" borderId="10" xfId="0" applyFont="1" applyFill="1" applyBorder="1" applyAlignment="1">
      <alignment horizontal="center" vertical="center" wrapText="1"/>
    </xf>
    <xf numFmtId="0" fontId="14" fillId="5" borderId="10" xfId="0" applyFont="1" applyFill="1" applyBorder="1" applyAlignment="1">
      <alignment horizontal="center" vertical="center" wrapText="1"/>
    </xf>
    <xf numFmtId="0" fontId="4" fillId="0" borderId="23" xfId="0" applyFont="1" applyBorder="1" applyAlignment="1">
      <alignment horizontal="center" vertical="center"/>
    </xf>
    <xf numFmtId="0" fontId="6" fillId="0" borderId="23" xfId="0" applyFont="1" applyBorder="1"/>
    <xf numFmtId="0" fontId="15" fillId="0" borderId="24" xfId="0" applyFont="1" applyBorder="1" applyAlignment="1">
      <alignment horizontal="center" vertical="center"/>
    </xf>
    <xf numFmtId="0" fontId="16" fillId="0" borderId="24" xfId="0" applyFont="1" applyBorder="1" applyAlignment="1">
      <alignment horizontal="center" vertical="center" wrapText="1"/>
    </xf>
    <xf numFmtId="0" fontId="7" fillId="4" borderId="7" xfId="0" applyFont="1" applyFill="1" applyBorder="1" applyAlignment="1">
      <alignment horizontal="center" vertical="center" wrapText="1"/>
    </xf>
    <xf numFmtId="0" fontId="6" fillId="0" borderId="13" xfId="0" applyFont="1" applyBorder="1"/>
    <xf numFmtId="0" fontId="6" fillId="0" borderId="17" xfId="0" applyFont="1" applyBorder="1"/>
    <xf numFmtId="0" fontId="1" fillId="16" borderId="92" xfId="0" applyFont="1" applyFill="1" applyBorder="1" applyAlignment="1">
      <alignment horizontal="center" wrapText="1"/>
    </xf>
    <xf numFmtId="0" fontId="0" fillId="16" borderId="92" xfId="0" applyFill="1" applyBorder="1" applyAlignment="1">
      <alignment horizontal="center" wrapText="1"/>
    </xf>
    <xf numFmtId="2" fontId="5" fillId="4" borderId="32" xfId="0" applyNumberFormat="1" applyFont="1" applyFill="1" applyBorder="1" applyAlignment="1">
      <alignment horizontal="center" vertical="center"/>
    </xf>
    <xf numFmtId="0" fontId="5" fillId="0" borderId="13" xfId="0" applyFont="1" applyBorder="1" applyAlignment="1">
      <alignment horizontal="center" vertical="center"/>
    </xf>
    <xf numFmtId="0" fontId="5" fillId="0" borderId="7" xfId="0" applyFont="1" applyBorder="1" applyAlignment="1">
      <alignment horizontal="center" vertical="center"/>
    </xf>
    <xf numFmtId="0" fontId="5" fillId="4" borderId="7" xfId="0" applyFont="1" applyFill="1" applyBorder="1" applyAlignment="1">
      <alignment horizontal="center" vertical="center"/>
    </xf>
    <xf numFmtId="0" fontId="18" fillId="12" borderId="92" xfId="0" applyFont="1" applyFill="1" applyBorder="1" applyAlignment="1">
      <alignment horizontal="center" vertical="center" wrapText="1"/>
    </xf>
    <xf numFmtId="0" fontId="18" fillId="13" borderId="28" xfId="0" applyFont="1" applyFill="1" applyBorder="1" applyAlignment="1">
      <alignment horizontal="center" vertical="center" wrapText="1"/>
    </xf>
    <xf numFmtId="0" fontId="6" fillId="0" borderId="31" xfId="0" applyFont="1" applyBorder="1"/>
    <xf numFmtId="0" fontId="17" fillId="0" borderId="0" xfId="0" applyFont="1" applyAlignment="1">
      <alignment horizontal="center"/>
    </xf>
    <xf numFmtId="0" fontId="5" fillId="4" borderId="5" xfId="0" applyFont="1" applyFill="1" applyBorder="1" applyAlignment="1">
      <alignment horizontal="center" vertical="center"/>
    </xf>
    <xf numFmtId="0" fontId="6" fillId="0" borderId="6" xfId="0" applyFont="1" applyBorder="1"/>
    <xf numFmtId="0" fontId="48" fillId="4" borderId="5" xfId="0" applyFont="1" applyFill="1" applyBorder="1" applyAlignment="1">
      <alignment horizontal="center" vertical="center"/>
    </xf>
    <xf numFmtId="0" fontId="5" fillId="7" borderId="25" xfId="0" applyFont="1" applyFill="1" applyBorder="1" applyAlignment="1">
      <alignment horizontal="center" vertical="center" wrapText="1"/>
    </xf>
    <xf numFmtId="0" fontId="6" fillId="0" borderId="26" xfId="0" applyFont="1" applyBorder="1"/>
    <xf numFmtId="0" fontId="6" fillId="0" borderId="29" xfId="0" applyFont="1" applyBorder="1"/>
    <xf numFmtId="0" fontId="18" fillId="7" borderId="27" xfId="0" applyFont="1" applyFill="1" applyBorder="1" applyAlignment="1">
      <alignment horizontal="center" vertical="center" wrapText="1"/>
    </xf>
    <xf numFmtId="0" fontId="6" fillId="0" borderId="28" xfId="0" applyFont="1" applyBorder="1"/>
    <xf numFmtId="0" fontId="6" fillId="0" borderId="24" xfId="0" applyFont="1" applyBorder="1"/>
    <xf numFmtId="0" fontId="6" fillId="0" borderId="30" xfId="0" applyFont="1" applyBorder="1"/>
    <xf numFmtId="0" fontId="47" fillId="10" borderId="92" xfId="0" applyFont="1" applyFill="1" applyBorder="1" applyAlignment="1">
      <alignment horizontal="center" vertical="center" wrapText="1"/>
    </xf>
    <xf numFmtId="0" fontId="18" fillId="10" borderId="92" xfId="0" applyFont="1" applyFill="1" applyBorder="1" applyAlignment="1">
      <alignment horizontal="center" vertical="center" wrapText="1"/>
    </xf>
    <xf numFmtId="0" fontId="5" fillId="4" borderId="36" xfId="0" applyFont="1" applyFill="1" applyBorder="1" applyAlignment="1">
      <alignment horizontal="center" vertical="center"/>
    </xf>
    <xf numFmtId="0" fontId="18" fillId="4" borderId="46" xfId="0" applyFont="1" applyFill="1" applyBorder="1" applyAlignment="1">
      <alignment horizontal="center" vertical="center"/>
    </xf>
    <xf numFmtId="0" fontId="6" fillId="0" borderId="47" xfId="0" applyFont="1" applyBorder="1"/>
    <xf numFmtId="0" fontId="5" fillId="4" borderId="22" xfId="0" applyFont="1" applyFill="1" applyBorder="1" applyAlignment="1">
      <alignment horizontal="center"/>
    </xf>
    <xf numFmtId="0" fontId="8" fillId="4" borderId="10" xfId="0" applyFont="1" applyFill="1" applyBorder="1" applyAlignment="1">
      <alignment horizontal="center" vertical="center" wrapText="1"/>
    </xf>
    <xf numFmtId="0" fontId="18" fillId="4" borderId="10" xfId="0" applyFont="1" applyFill="1" applyBorder="1" applyAlignment="1">
      <alignment horizontal="center" vertical="center" wrapText="1"/>
    </xf>
    <xf numFmtId="0" fontId="18" fillId="4" borderId="34" xfId="0" applyFont="1" applyFill="1" applyBorder="1" applyAlignment="1">
      <alignment horizontal="center" vertical="center"/>
    </xf>
    <xf numFmtId="0" fontId="5" fillId="4" borderId="35" xfId="0" applyFont="1" applyFill="1" applyBorder="1" applyAlignment="1">
      <alignment horizontal="center" vertical="center" textRotation="90"/>
    </xf>
    <xf numFmtId="0" fontId="6" fillId="0" borderId="41" xfId="0" applyFont="1" applyBorder="1"/>
    <xf numFmtId="0" fontId="6" fillId="0" borderId="45" xfId="0" applyFont="1" applyBorder="1"/>
    <xf numFmtId="0" fontId="5" fillId="2" borderId="8" xfId="0" applyFont="1" applyFill="1" applyBorder="1" applyAlignment="1">
      <alignment horizontal="center" vertical="center"/>
    </xf>
    <xf numFmtId="0" fontId="18" fillId="4" borderId="39" xfId="0" applyFont="1" applyFill="1" applyBorder="1" applyAlignment="1">
      <alignment horizontal="center" vertical="center"/>
    </xf>
    <xf numFmtId="0" fontId="6" fillId="0" borderId="40" xfId="0" applyFont="1" applyBorder="1"/>
    <xf numFmtId="0" fontId="18" fillId="4" borderId="43" xfId="0" applyFont="1" applyFill="1" applyBorder="1" applyAlignment="1">
      <alignment horizontal="center" vertical="center"/>
    </xf>
    <xf numFmtId="0" fontId="6" fillId="0" borderId="44" xfId="0" applyFont="1" applyBorder="1"/>
    <xf numFmtId="0" fontId="18" fillId="11" borderId="92" xfId="0" applyFont="1" applyFill="1" applyBorder="1" applyAlignment="1">
      <alignment horizontal="center" vertical="center" wrapText="1"/>
    </xf>
    <xf numFmtId="0" fontId="18" fillId="7" borderId="25" xfId="0" applyFont="1" applyFill="1" applyBorder="1" applyAlignment="1">
      <alignment horizontal="center" vertical="center" wrapText="1"/>
    </xf>
    <xf numFmtId="0" fontId="18" fillId="4" borderId="27" xfId="0" applyFont="1" applyFill="1" applyBorder="1" applyAlignment="1">
      <alignment horizontal="center" vertical="center"/>
    </xf>
    <xf numFmtId="0" fontId="18" fillId="0" borderId="0" xfId="0" applyFont="1" applyAlignment="1">
      <alignment horizontal="center" vertical="center" wrapText="1"/>
    </xf>
    <xf numFmtId="0" fontId="8" fillId="0" borderId="0" xfId="0" applyFont="1" applyAlignment="1">
      <alignment horizontal="center" vertical="center" wrapText="1"/>
    </xf>
    <xf numFmtId="0" fontId="18" fillId="8" borderId="92" xfId="0" applyFont="1" applyFill="1" applyBorder="1" applyAlignment="1">
      <alignment horizontal="center" vertical="center" wrapText="1"/>
    </xf>
    <xf numFmtId="0" fontId="18" fillId="9" borderId="92" xfId="0" applyFont="1" applyFill="1" applyBorder="1" applyAlignment="1">
      <alignment horizontal="center" vertical="center" wrapText="1"/>
    </xf>
    <xf numFmtId="0" fontId="7" fillId="4" borderId="46" xfId="0" applyFont="1" applyFill="1" applyBorder="1" applyAlignment="1">
      <alignment horizontal="center" vertical="center"/>
    </xf>
    <xf numFmtId="0" fontId="6" fillId="0" borderId="66" xfId="0" applyFont="1" applyBorder="1"/>
    <xf numFmtId="0" fontId="18" fillId="4" borderId="25" xfId="0" applyFont="1" applyFill="1" applyBorder="1" applyAlignment="1">
      <alignment horizontal="center" vertical="center"/>
    </xf>
    <xf numFmtId="0" fontId="18" fillId="4" borderId="25" xfId="0" applyFont="1" applyFill="1" applyBorder="1" applyAlignment="1">
      <alignment horizontal="center" vertical="center" wrapText="1"/>
    </xf>
    <xf numFmtId="2" fontId="29" fillId="4" borderId="32" xfId="0" applyNumberFormat="1" applyFont="1" applyFill="1" applyBorder="1" applyAlignment="1">
      <alignment horizontal="center" vertical="center"/>
    </xf>
    <xf numFmtId="0" fontId="5" fillId="4" borderId="55" xfId="0" applyFont="1" applyFill="1" applyBorder="1" applyAlignment="1">
      <alignment horizontal="left" vertical="center"/>
    </xf>
    <xf numFmtId="0" fontId="6" fillId="0" borderId="37" xfId="0" applyFont="1" applyBorder="1"/>
    <xf numFmtId="0" fontId="5" fillId="2" borderId="7" xfId="0" applyFont="1" applyFill="1" applyBorder="1" applyAlignment="1">
      <alignment horizontal="center" vertical="center"/>
    </xf>
    <xf numFmtId="0" fontId="5" fillId="4" borderId="25" xfId="0" applyFont="1" applyFill="1" applyBorder="1" applyAlignment="1">
      <alignment horizontal="center" vertical="center" wrapText="1"/>
    </xf>
    <xf numFmtId="0" fontId="5" fillId="4" borderId="57" xfId="0" applyFont="1" applyFill="1" applyBorder="1" applyAlignment="1">
      <alignment horizontal="left" vertical="center"/>
    </xf>
    <xf numFmtId="0" fontId="5" fillId="4" borderId="61" xfId="0" applyFont="1" applyFill="1" applyBorder="1" applyAlignment="1">
      <alignment horizontal="left" vertical="center"/>
    </xf>
    <xf numFmtId="0" fontId="7" fillId="4" borderId="64" xfId="0" applyFont="1" applyFill="1" applyBorder="1" applyAlignment="1">
      <alignment horizontal="center" vertical="center" wrapText="1"/>
    </xf>
    <xf numFmtId="0" fontId="6" fillId="0" borderId="65" xfId="0" applyFont="1" applyBorder="1"/>
    <xf numFmtId="0" fontId="24" fillId="0" borderId="0" xfId="0" applyFont="1" applyAlignment="1">
      <alignment horizontal="center" vertical="top"/>
    </xf>
    <xf numFmtId="0" fontId="5" fillId="4" borderId="2" xfId="0" applyFont="1" applyFill="1" applyBorder="1" applyAlignment="1">
      <alignment horizontal="center" vertical="center"/>
    </xf>
    <xf numFmtId="0" fontId="7" fillId="4" borderId="46" xfId="0" applyFont="1" applyFill="1" applyBorder="1" applyAlignment="1">
      <alignment horizontal="center" vertical="center" wrapText="1"/>
    </xf>
    <xf numFmtId="0" fontId="18" fillId="4" borderId="25" xfId="0" applyFont="1" applyFill="1" applyBorder="1" applyAlignment="1">
      <alignment horizontal="center" wrapText="1"/>
    </xf>
    <xf numFmtId="0" fontId="31" fillId="4" borderId="67" xfId="0" applyFont="1" applyFill="1" applyBorder="1" applyAlignment="1">
      <alignment horizontal="center" vertical="center"/>
    </xf>
    <xf numFmtId="0" fontId="49" fillId="4" borderId="67" xfId="0" applyFont="1" applyFill="1" applyBorder="1" applyAlignment="1">
      <alignment horizontal="center" vertical="center"/>
    </xf>
    <xf numFmtId="0" fontId="50" fillId="0" borderId="26" xfId="0" applyFont="1" applyBorder="1"/>
    <xf numFmtId="0" fontId="50" fillId="0" borderId="29" xfId="0" applyFont="1" applyBorder="1"/>
    <xf numFmtId="0" fontId="23" fillId="4" borderId="32" xfId="0" applyFont="1" applyFill="1" applyBorder="1" applyAlignment="1">
      <alignment horizontal="center" vertical="center" wrapText="1"/>
    </xf>
    <xf numFmtId="0" fontId="6" fillId="0" borderId="70" xfId="0" applyFont="1" applyBorder="1"/>
    <xf numFmtId="0" fontId="7" fillId="4" borderId="64" xfId="0" applyFont="1" applyFill="1" applyBorder="1" applyAlignment="1">
      <alignment horizontal="center" vertical="center"/>
    </xf>
    <xf numFmtId="0" fontId="7" fillId="4" borderId="43" xfId="0" applyFont="1" applyFill="1" applyBorder="1" applyAlignment="1">
      <alignment horizontal="center" vertical="center" wrapText="1"/>
    </xf>
    <xf numFmtId="0" fontId="7" fillId="4" borderId="25" xfId="0" applyFont="1" applyFill="1" applyBorder="1" applyAlignment="1">
      <alignment horizontal="center" vertical="center"/>
    </xf>
    <xf numFmtId="0" fontId="18" fillId="7" borderId="7" xfId="0" applyFont="1" applyFill="1" applyBorder="1" applyAlignment="1">
      <alignment horizontal="center" vertical="center" wrapText="1"/>
    </xf>
    <xf numFmtId="0" fontId="6" fillId="0" borderId="75" xfId="0" applyFont="1" applyBorder="1"/>
    <xf numFmtId="0" fontId="8" fillId="0" borderId="10" xfId="0" applyFont="1" applyBorder="1" applyAlignment="1">
      <alignment horizontal="center" vertical="center" wrapText="1"/>
    </xf>
    <xf numFmtId="0" fontId="5" fillId="0" borderId="35" xfId="0" applyFont="1" applyBorder="1" applyAlignment="1">
      <alignment horizontal="center" vertical="center" textRotation="90"/>
    </xf>
    <xf numFmtId="0" fontId="5" fillId="0" borderId="54" xfId="0" applyFont="1" applyBorder="1" applyAlignment="1">
      <alignment horizontal="center" vertical="center"/>
    </xf>
    <xf numFmtId="0" fontId="6" fillId="0" borderId="76" xfId="0" applyFont="1" applyBorder="1"/>
    <xf numFmtId="0" fontId="5" fillId="0" borderId="5" xfId="0" applyFont="1" applyBorder="1" applyAlignment="1">
      <alignment horizontal="center" vertical="center"/>
    </xf>
    <xf numFmtId="0" fontId="6" fillId="0" borderId="77" xfId="0" applyFont="1" applyBorder="1"/>
    <xf numFmtId="0" fontId="5" fillId="0" borderId="60" xfId="0" applyFont="1" applyBorder="1" applyAlignment="1">
      <alignment horizontal="center" vertical="center"/>
    </xf>
    <xf numFmtId="0" fontId="6" fillId="0" borderId="78" xfId="0" applyFont="1" applyBorder="1"/>
    <xf numFmtId="0" fontId="7" fillId="2" borderId="10" xfId="0" applyFont="1" applyFill="1" applyBorder="1" applyAlignment="1">
      <alignment horizontal="center" vertical="center" wrapText="1"/>
    </xf>
    <xf numFmtId="0" fontId="7" fillId="2" borderId="64"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7" fillId="7" borderId="7" xfId="0" applyFont="1" applyFill="1" applyBorder="1" applyAlignment="1">
      <alignment horizontal="center" vertical="center"/>
    </xf>
    <xf numFmtId="0" fontId="14" fillId="2" borderId="10"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39" fillId="0" borderId="10" xfId="0" applyFont="1" applyBorder="1" applyAlignment="1">
      <alignment horizontal="center" vertical="center"/>
    </xf>
    <xf numFmtId="0" fontId="4" fillId="0" borderId="43" xfId="0" applyFont="1" applyBorder="1" applyAlignment="1">
      <alignment horizontal="center" vertical="center"/>
    </xf>
    <xf numFmtId="0" fontId="4" fillId="0" borderId="64" xfId="0" applyFont="1" applyBorder="1" applyAlignment="1">
      <alignment horizontal="center" vertical="center"/>
    </xf>
    <xf numFmtId="0" fontId="36" fillId="15" borderId="5" xfId="0" applyFont="1" applyFill="1" applyBorder="1" applyAlignment="1">
      <alignment horizontal="center" vertical="center"/>
    </xf>
    <xf numFmtId="0" fontId="4" fillId="0" borderId="46" xfId="0" applyFont="1" applyBorder="1" applyAlignment="1">
      <alignment horizontal="center" vertical="center"/>
    </xf>
    <xf numFmtId="0" fontId="37" fillId="0" borderId="10" xfId="0" applyFont="1" applyBorder="1" applyAlignment="1">
      <alignment horizontal="center" vertical="center"/>
    </xf>
    <xf numFmtId="0" fontId="35" fillId="0" borderId="10" xfId="0" applyFont="1" applyBorder="1" applyAlignment="1">
      <alignment horizontal="center" vertical="center"/>
    </xf>
    <xf numFmtId="0" fontId="29" fillId="0" borderId="10" xfId="0" applyFont="1" applyBorder="1" applyAlignment="1">
      <alignment horizontal="center" vertical="center"/>
    </xf>
    <xf numFmtId="0" fontId="29" fillId="0" borderId="8" xfId="0" applyFont="1" applyBorder="1" applyAlignment="1">
      <alignment horizontal="center" vertical="center" wrapText="1"/>
    </xf>
    <xf numFmtId="0" fontId="4" fillId="0" borderId="7" xfId="0" applyFont="1" applyBorder="1" applyAlignment="1">
      <alignment horizontal="left"/>
    </xf>
    <xf numFmtId="0" fontId="4" fillId="0" borderId="18" xfId="0" applyFont="1" applyBorder="1" applyAlignment="1">
      <alignment horizontal="center" vertical="center"/>
    </xf>
    <xf numFmtId="0" fontId="6" fillId="0" borderId="79" xfId="0" applyFont="1" applyBorder="1"/>
    <xf numFmtId="0" fontId="4" fillId="0" borderId="10" xfId="0" applyFont="1" applyBorder="1" applyAlignment="1">
      <alignment horizontal="center" vertical="center" wrapText="1"/>
    </xf>
    <xf numFmtId="0" fontId="39" fillId="5" borderId="10" xfId="0" applyFont="1" applyFill="1" applyBorder="1" applyAlignment="1">
      <alignment horizontal="center" vertical="center"/>
    </xf>
    <xf numFmtId="0" fontId="4" fillId="2" borderId="22" xfId="0" applyFont="1" applyFill="1" applyBorder="1" applyAlignment="1">
      <alignment horizontal="center"/>
    </xf>
    <xf numFmtId="0" fontId="4" fillId="4" borderId="43" xfId="0" applyFont="1" applyFill="1" applyBorder="1" applyAlignment="1">
      <alignment horizontal="center" vertical="center"/>
    </xf>
    <xf numFmtId="0" fontId="4" fillId="4" borderId="64" xfId="0" applyFont="1" applyFill="1" applyBorder="1" applyAlignment="1">
      <alignment horizontal="center" vertical="center"/>
    </xf>
    <xf numFmtId="0" fontId="36" fillId="4" borderId="43" xfId="0" applyFont="1" applyFill="1" applyBorder="1" applyAlignment="1">
      <alignment horizontal="center" vertical="center"/>
    </xf>
    <xf numFmtId="2" fontId="4" fillId="4" borderId="46" xfId="0" applyNumberFormat="1" applyFont="1" applyFill="1" applyBorder="1" applyAlignment="1">
      <alignment horizontal="center" vertical="center"/>
    </xf>
    <xf numFmtId="0" fontId="37" fillId="4" borderId="10" xfId="0" applyFont="1" applyFill="1" applyBorder="1" applyAlignment="1">
      <alignment horizontal="center" vertical="center"/>
    </xf>
    <xf numFmtId="0" fontId="5" fillId="4" borderId="46" xfId="0" applyFont="1" applyFill="1" applyBorder="1" applyAlignment="1">
      <alignment horizontal="center" vertical="center"/>
    </xf>
    <xf numFmtId="2" fontId="4" fillId="4" borderId="60" xfId="0" applyNumberFormat="1" applyFont="1" applyFill="1" applyBorder="1" applyAlignment="1">
      <alignment horizontal="center" vertical="center"/>
    </xf>
    <xf numFmtId="0" fontId="35" fillId="4" borderId="10" xfId="0" applyFont="1" applyFill="1" applyBorder="1" applyAlignment="1">
      <alignment horizontal="center" vertical="center"/>
    </xf>
    <xf numFmtId="0" fontId="40" fillId="4" borderId="10" xfId="0" applyFont="1" applyFill="1" applyBorder="1" applyAlignment="1">
      <alignment horizontal="center" vertical="center"/>
    </xf>
    <xf numFmtId="0" fontId="29" fillId="4" borderId="8" xfId="0" applyFont="1" applyFill="1" applyBorder="1" applyAlignment="1">
      <alignment horizontal="center" vertical="center" wrapText="1"/>
    </xf>
    <xf numFmtId="0" fontId="4" fillId="4" borderId="7" xfId="0" applyFont="1" applyFill="1" applyBorder="1" applyAlignment="1">
      <alignment horizontal="left"/>
    </xf>
    <xf numFmtId="0" fontId="4" fillId="4" borderId="10" xfId="0" applyFont="1" applyFill="1" applyBorder="1" applyAlignment="1">
      <alignment horizontal="center" vertical="center" wrapText="1"/>
    </xf>
    <xf numFmtId="0" fontId="18" fillId="4" borderId="8" xfId="0" applyFont="1" applyFill="1" applyBorder="1" applyAlignment="1">
      <alignment horizontal="center" vertical="center" wrapText="1"/>
    </xf>
    <xf numFmtId="0" fontId="6" fillId="0" borderId="82" xfId="0" applyFont="1" applyBorder="1"/>
    <xf numFmtId="0" fontId="6" fillId="0" borderId="84" xfId="0" applyFont="1" applyBorder="1"/>
    <xf numFmtId="0" fontId="4" fillId="4" borderId="54" xfId="0" applyFont="1" applyFill="1" applyBorder="1" applyAlignment="1">
      <alignment horizontal="center" vertical="center"/>
    </xf>
    <xf numFmtId="0" fontId="4" fillId="4" borderId="83" xfId="0" applyFont="1" applyFill="1" applyBorder="1" applyAlignment="1">
      <alignment horizontal="center" vertical="center"/>
    </xf>
    <xf numFmtId="0" fontId="6" fillId="0" borderId="85" xfId="0" applyFont="1" applyBorder="1"/>
    <xf numFmtId="0" fontId="5" fillId="0" borderId="64" xfId="0" applyFont="1" applyBorder="1" applyAlignment="1">
      <alignment horizontal="center" vertical="center"/>
    </xf>
    <xf numFmtId="0" fontId="4" fillId="2" borderId="54" xfId="0" applyFont="1" applyFill="1" applyBorder="1" applyAlignment="1">
      <alignment horizontal="center" vertical="center"/>
    </xf>
  </cellXfs>
  <cellStyles count="1">
    <cellStyle name="Normal" xfId="0" builtinId="0"/>
  </cellStyles>
  <dxfs count="14">
    <dxf>
      <border diagonalUp="0" diagonalDown="0">
        <left style="thin">
          <color indexed="64"/>
        </left>
        <right style="thin">
          <color indexed="64"/>
        </right>
        <top/>
        <bottom/>
        <vertical style="thin">
          <color indexed="64"/>
        </vertical>
        <horizontal style="thin">
          <color indexed="64"/>
        </horizontal>
      </border>
    </dxf>
    <dxf>
      <border diagonalUp="0" diagonalDown="0" outline="0">
        <left style="thin">
          <color indexed="64"/>
        </left>
        <right style="thin">
          <color indexed="64"/>
        </right>
        <top/>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outline="0">
        <left style="thin">
          <color indexed="64"/>
        </left>
        <right style="thin">
          <color indexed="64"/>
        </right>
        <top/>
        <bottom/>
      </border>
    </dxf>
    <dxf>
      <numFmt numFmtId="0" formatCode="General"/>
      <fill>
        <patternFill patternType="none">
          <bgColor auto="1"/>
        </patternFill>
      </fill>
    </dxf>
    <dxf>
      <font>
        <b/>
        <sz val="10"/>
        <name val="Verdana"/>
        <family val="2"/>
        <scheme val="none"/>
      </font>
      <numFmt numFmtId="0" formatCode="General"/>
      <fill>
        <patternFill patternType="none">
          <bgColor auto="1"/>
        </patternFill>
      </fill>
      <alignment horizontal="center" vertical="center" textRotation="0" wrapText="0"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s>
  <tableStyles count="3">
    <tableStyle name="CO_Attainment for Unit Tests-style" pivot="0" count="2" xr9:uid="{00000000-0011-0000-FFFF-FFFF00000000}">
      <tableStyleElement type="firstRowStripe" dxfId="13"/>
      <tableStyleElement type="secondRowStripe" dxfId="12"/>
    </tableStyle>
    <tableStyle name="CO_Attainment for Unit Tests-style 2" pivot="0" count="2" xr9:uid="{00000000-0011-0000-FFFF-FFFF01000000}">
      <tableStyleElement type="firstRowStripe" dxfId="11"/>
      <tableStyleElement type="secondRowStripe" dxfId="10"/>
    </tableStyle>
    <tableStyle name="CO_Attainment for Unit Tests-style 3" pivot="0" count="2" xr9:uid="{00000000-0011-0000-FFFF-FFFF0200000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3</xdr:col>
      <xdr:colOff>9525</xdr:colOff>
      <xdr:row>34</xdr:row>
      <xdr:rowOff>9525</xdr:rowOff>
    </xdr:from>
    <xdr:ext cx="409575" cy="219075"/>
    <xdr:sp macro="" textlink="">
      <xdr:nvSpPr>
        <xdr:cNvPr id="3" name="Shape 3">
          <a:extLst>
            <a:ext uri="{FF2B5EF4-FFF2-40B4-BE49-F238E27FC236}">
              <a16:creationId xmlns:a16="http://schemas.microsoft.com/office/drawing/2014/main" id="{00000000-0008-0000-0000-000003000000}"/>
            </a:ext>
          </a:extLst>
        </xdr:cNvPr>
        <xdr:cNvSpPr/>
      </xdr:nvSpPr>
      <xdr:spPr>
        <a:xfrm>
          <a:off x="5150738" y="3679988"/>
          <a:ext cx="390525" cy="200025"/>
        </a:xfrm>
        <a:prstGeom prst="leftArrow">
          <a:avLst>
            <a:gd name="adj1" fmla="val 50000"/>
            <a:gd name="adj2" fmla="val 50000"/>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3</xdr:col>
      <xdr:colOff>9525</xdr:colOff>
      <xdr:row>35</xdr:row>
      <xdr:rowOff>85725</xdr:rowOff>
    </xdr:from>
    <xdr:ext cx="333375" cy="276225"/>
    <xdr:sp macro="" textlink="">
      <xdr:nvSpPr>
        <xdr:cNvPr id="4" name="Shape 4">
          <a:extLst>
            <a:ext uri="{FF2B5EF4-FFF2-40B4-BE49-F238E27FC236}">
              <a16:creationId xmlns:a16="http://schemas.microsoft.com/office/drawing/2014/main" id="{00000000-0008-0000-0000-000004000000}"/>
            </a:ext>
          </a:extLst>
        </xdr:cNvPr>
        <xdr:cNvSpPr/>
      </xdr:nvSpPr>
      <xdr:spPr>
        <a:xfrm>
          <a:off x="5188838" y="3651413"/>
          <a:ext cx="314325" cy="257175"/>
        </a:xfrm>
        <a:prstGeom prst="leftArrow">
          <a:avLst>
            <a:gd name="adj1" fmla="val 50000"/>
            <a:gd name="adj2" fmla="val 50000"/>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3</xdr:col>
      <xdr:colOff>9525</xdr:colOff>
      <xdr:row>34</xdr:row>
      <xdr:rowOff>9525</xdr:rowOff>
    </xdr:from>
    <xdr:ext cx="409575" cy="219075"/>
    <xdr:sp macro="" textlink="">
      <xdr:nvSpPr>
        <xdr:cNvPr id="2" name="Shape 3">
          <a:extLst>
            <a:ext uri="{FF2B5EF4-FFF2-40B4-BE49-F238E27FC236}">
              <a16:creationId xmlns:a16="http://schemas.microsoft.com/office/drawing/2014/main" id="{00000000-0008-0000-0000-000002000000}"/>
            </a:ext>
          </a:extLst>
        </xdr:cNvPr>
        <xdr:cNvSpPr/>
      </xdr:nvSpPr>
      <xdr:spPr>
        <a:xfrm>
          <a:off x="5150738" y="3679988"/>
          <a:ext cx="390525" cy="200025"/>
        </a:xfrm>
        <a:prstGeom prst="leftArrow">
          <a:avLst>
            <a:gd name="adj1" fmla="val 50000"/>
            <a:gd name="adj2" fmla="val 50000"/>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3</xdr:col>
      <xdr:colOff>9525</xdr:colOff>
      <xdr:row>34</xdr:row>
      <xdr:rowOff>9525</xdr:rowOff>
    </xdr:from>
    <xdr:ext cx="409575" cy="219075"/>
    <xdr:sp macro="" textlink="">
      <xdr:nvSpPr>
        <xdr:cNvPr id="5" name="Shape 3">
          <a:extLst>
            <a:ext uri="{FF2B5EF4-FFF2-40B4-BE49-F238E27FC236}">
              <a16:creationId xmlns:a16="http://schemas.microsoft.com/office/drawing/2014/main" id="{00000000-0008-0000-0000-000005000000}"/>
            </a:ext>
          </a:extLst>
        </xdr:cNvPr>
        <xdr:cNvSpPr/>
      </xdr:nvSpPr>
      <xdr:spPr>
        <a:xfrm>
          <a:off x="5150738" y="3679988"/>
          <a:ext cx="390525" cy="200025"/>
        </a:xfrm>
        <a:prstGeom prst="leftArrow">
          <a:avLst>
            <a:gd name="adj1" fmla="val 50000"/>
            <a:gd name="adj2" fmla="val 50000"/>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3</xdr:col>
      <xdr:colOff>9525</xdr:colOff>
      <xdr:row>35</xdr:row>
      <xdr:rowOff>85725</xdr:rowOff>
    </xdr:from>
    <xdr:ext cx="333375" cy="276225"/>
    <xdr:sp macro="" textlink="">
      <xdr:nvSpPr>
        <xdr:cNvPr id="6" name="Shape 4">
          <a:extLst>
            <a:ext uri="{FF2B5EF4-FFF2-40B4-BE49-F238E27FC236}">
              <a16:creationId xmlns:a16="http://schemas.microsoft.com/office/drawing/2014/main" id="{00000000-0008-0000-0000-000006000000}"/>
            </a:ext>
          </a:extLst>
        </xdr:cNvPr>
        <xdr:cNvSpPr/>
      </xdr:nvSpPr>
      <xdr:spPr>
        <a:xfrm>
          <a:off x="5188838" y="3651413"/>
          <a:ext cx="314325" cy="257175"/>
        </a:xfrm>
        <a:prstGeom prst="leftArrow">
          <a:avLst>
            <a:gd name="adj1" fmla="val 50000"/>
            <a:gd name="adj2" fmla="val 50000"/>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1276350</xdr:colOff>
      <xdr:row>96</xdr:row>
      <xdr:rowOff>219075</xdr:rowOff>
    </xdr:from>
    <xdr:ext cx="171450" cy="219075"/>
    <xdr:sp macro="" textlink="">
      <xdr:nvSpPr>
        <xdr:cNvPr id="5" name="Shape 5">
          <a:extLst>
            <a:ext uri="{FF2B5EF4-FFF2-40B4-BE49-F238E27FC236}">
              <a16:creationId xmlns:a16="http://schemas.microsoft.com/office/drawing/2014/main" id="{00000000-0008-0000-0200-000005000000}"/>
            </a:ext>
          </a:extLst>
        </xdr:cNvPr>
        <xdr:cNvSpPr/>
      </xdr:nvSpPr>
      <xdr:spPr>
        <a:xfrm>
          <a:off x="5269800" y="3679988"/>
          <a:ext cx="152400" cy="200025"/>
        </a:xfrm>
        <a:prstGeom prst="downArrow">
          <a:avLst>
            <a:gd name="adj1" fmla="val 50000"/>
            <a:gd name="adj2" fmla="val 50000"/>
          </a:avLst>
        </a:prstGeom>
        <a:solidFill>
          <a:schemeClr val="accent1"/>
        </a:solidFill>
        <a:ln w="25400" cap="flat" cmpd="sng">
          <a:solidFill>
            <a:srgbClr val="0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1314450</xdr:colOff>
      <xdr:row>96</xdr:row>
      <xdr:rowOff>161925</xdr:rowOff>
    </xdr:from>
    <xdr:ext cx="171450" cy="209550"/>
    <xdr:sp macro="" textlink="">
      <xdr:nvSpPr>
        <xdr:cNvPr id="6" name="Shape 6">
          <a:extLst>
            <a:ext uri="{FF2B5EF4-FFF2-40B4-BE49-F238E27FC236}">
              <a16:creationId xmlns:a16="http://schemas.microsoft.com/office/drawing/2014/main" id="{00000000-0008-0000-0300-000006000000}"/>
            </a:ext>
          </a:extLst>
        </xdr:cNvPr>
        <xdr:cNvSpPr/>
      </xdr:nvSpPr>
      <xdr:spPr>
        <a:xfrm>
          <a:off x="5269800" y="3684750"/>
          <a:ext cx="152400" cy="190500"/>
        </a:xfrm>
        <a:prstGeom prst="downArrow">
          <a:avLst>
            <a:gd name="adj1" fmla="val 50000"/>
            <a:gd name="adj2" fmla="val 50000"/>
          </a:avLst>
        </a:prstGeom>
        <a:solidFill>
          <a:schemeClr val="accent1"/>
        </a:solidFill>
        <a:ln w="25400" cap="flat" cmpd="sng">
          <a:solidFill>
            <a:srgbClr val="0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N13:Q82" headerRowCount="0" headerRowDxfId="7" totalsRowDxfId="6">
  <tableColumns count="4">
    <tableColumn id="2" xr3:uid="{00000000-0010-0000-0000-000002000000}" name="Column2" dataDxfId="5"/>
    <tableColumn id="3" xr3:uid="{00000000-0010-0000-0000-000003000000}" name="Column3" dataDxfId="4"/>
    <tableColumn id="4" xr3:uid="{B208BAAA-A9B5-48E4-81F9-B72FECB2AEEF}" name="Column4" headerRowDxfId="3" totalsRowDxfId="2"/>
    <tableColumn id="5" xr3:uid="{2D69BA8E-E7A7-4F7F-9A6F-9FA18B87E700}" name="Column5" headerRowDxfId="1" totalsRowDxfId="0"/>
  </tableColumns>
  <tableStyleInfo name="CO_Attainment for Unit Tes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1:Y1002"/>
  <sheetViews>
    <sheetView tabSelected="1" topLeftCell="A11" workbookViewId="0">
      <selection activeCell="D3" sqref="D3:E6"/>
    </sheetView>
  </sheetViews>
  <sheetFormatPr defaultColWidth="14.42578125" defaultRowHeight="15" customHeight="1"/>
  <cols>
    <col min="1" max="1" width="11" customWidth="1"/>
    <col min="2" max="2" width="12.140625" customWidth="1"/>
    <col min="3" max="3" width="8.7109375" customWidth="1"/>
    <col min="4" max="4" width="38.28515625" customWidth="1"/>
    <col min="5" max="5" width="13.28515625" customWidth="1"/>
    <col min="6" max="7" width="8.7109375" customWidth="1"/>
    <col min="8" max="8" width="10.85546875" customWidth="1"/>
    <col min="9" max="9" width="12.85546875" customWidth="1"/>
    <col min="10" max="15" width="8.7109375" customWidth="1"/>
  </cols>
  <sheetData>
    <row r="1" spans="1:13" ht="25.5">
      <c r="D1" s="1" t="s">
        <v>0</v>
      </c>
      <c r="E1" s="2"/>
      <c r="F1" s="2"/>
      <c r="G1" s="2"/>
      <c r="H1" s="2"/>
      <c r="I1" s="2"/>
      <c r="J1" s="2"/>
      <c r="K1" s="2"/>
      <c r="L1" s="3"/>
    </row>
    <row r="3" spans="1:13">
      <c r="A3" s="4"/>
      <c r="B3" s="4"/>
      <c r="C3" s="5" t="s">
        <v>1</v>
      </c>
      <c r="D3" s="220" t="s">
        <v>2</v>
      </c>
      <c r="E3" s="221"/>
      <c r="F3" s="4"/>
    </row>
    <row r="4" spans="1:13">
      <c r="A4" s="4"/>
      <c r="B4" s="4"/>
      <c r="C4" s="5" t="s">
        <v>3</v>
      </c>
      <c r="D4" s="220">
        <v>22317</v>
      </c>
      <c r="E4" s="221"/>
      <c r="F4" s="4"/>
    </row>
    <row r="5" spans="1:13">
      <c r="A5" s="4"/>
      <c r="B5" s="4"/>
      <c r="C5" s="5" t="s">
        <v>4</v>
      </c>
      <c r="D5" s="220" t="s">
        <v>5</v>
      </c>
      <c r="E5" s="221"/>
      <c r="F5" s="4"/>
    </row>
    <row r="6" spans="1:13">
      <c r="A6" s="4"/>
      <c r="B6" s="4"/>
      <c r="C6" s="5" t="s">
        <v>6</v>
      </c>
      <c r="D6" s="220" t="s">
        <v>7</v>
      </c>
      <c r="E6" s="221"/>
      <c r="F6" s="4"/>
    </row>
    <row r="7" spans="1:13" ht="15.75">
      <c r="A7" s="4"/>
      <c r="B7" s="6" t="s">
        <v>8</v>
      </c>
      <c r="C7" s="4"/>
      <c r="D7" s="4"/>
      <c r="E7" s="4"/>
      <c r="F7" s="4"/>
    </row>
    <row r="8" spans="1:13" ht="28.5" customHeight="1">
      <c r="A8" s="4"/>
      <c r="B8" s="4"/>
      <c r="C8" s="7" t="s">
        <v>9</v>
      </c>
      <c r="D8" s="8" t="s">
        <v>10</v>
      </c>
      <c r="E8" s="9"/>
      <c r="F8" s="4"/>
    </row>
    <row r="9" spans="1:13" ht="28.5" customHeight="1">
      <c r="A9" s="4"/>
      <c r="B9" s="4"/>
      <c r="C9" s="7" t="s">
        <v>11</v>
      </c>
      <c r="D9" s="8" t="s">
        <v>12</v>
      </c>
      <c r="E9" s="9"/>
      <c r="F9" s="4"/>
    </row>
    <row r="10" spans="1:13" ht="28.5" customHeight="1">
      <c r="A10" s="4"/>
      <c r="B10" s="4"/>
      <c r="C10" s="7" t="s">
        <v>13</v>
      </c>
      <c r="D10" s="8" t="s">
        <v>14</v>
      </c>
      <c r="E10" s="9"/>
      <c r="F10" s="4"/>
    </row>
    <row r="11" spans="1:13" ht="28.5" customHeight="1">
      <c r="A11" s="4"/>
      <c r="B11" s="4"/>
      <c r="C11" s="7" t="s">
        <v>15</v>
      </c>
      <c r="D11" s="10" t="s">
        <v>16</v>
      </c>
      <c r="E11" s="9"/>
      <c r="F11" s="4"/>
    </row>
    <row r="12" spans="1:13" ht="28.5" customHeight="1">
      <c r="A12" s="4"/>
      <c r="B12" s="4"/>
      <c r="C12" s="7" t="s">
        <v>17</v>
      </c>
      <c r="D12" s="10" t="s">
        <v>18</v>
      </c>
      <c r="E12" s="9"/>
      <c r="F12" s="4"/>
    </row>
    <row r="13" spans="1:13" ht="28.5" customHeight="1">
      <c r="A13" s="4"/>
      <c r="B13" s="4"/>
      <c r="C13" s="7"/>
      <c r="D13" s="10"/>
      <c r="E13" s="9"/>
      <c r="F13" s="4"/>
    </row>
    <row r="14" spans="1:13" ht="28.5" customHeight="1">
      <c r="A14" s="4"/>
      <c r="B14" s="4"/>
      <c r="C14" s="11"/>
      <c r="D14" s="12"/>
      <c r="E14" s="13"/>
      <c r="F14" s="4"/>
    </row>
    <row r="15" spans="1:13" ht="18.75">
      <c r="B15" s="14" t="s">
        <v>19</v>
      </c>
      <c r="C15" s="15"/>
      <c r="D15" s="4"/>
      <c r="E15" s="15"/>
      <c r="F15" s="15"/>
      <c r="G15" s="15"/>
      <c r="H15" s="15"/>
      <c r="I15" s="15"/>
      <c r="J15" s="15"/>
      <c r="K15" s="15"/>
      <c r="L15" s="15"/>
      <c r="M15" s="15"/>
    </row>
    <row r="16" spans="1:13" ht="15.75">
      <c r="B16" s="16" t="s">
        <v>20</v>
      </c>
      <c r="C16" s="4"/>
      <c r="D16" s="4"/>
      <c r="E16" s="4"/>
      <c r="F16" s="4"/>
      <c r="G16" s="4"/>
      <c r="H16" s="4"/>
      <c r="I16" s="4"/>
      <c r="J16" s="4"/>
      <c r="K16" s="4"/>
      <c r="L16" s="4"/>
      <c r="M16" s="4"/>
    </row>
    <row r="17" spans="1:25">
      <c r="B17" s="237" t="s">
        <v>21</v>
      </c>
      <c r="C17" s="225" t="s">
        <v>22</v>
      </c>
      <c r="D17" s="226"/>
      <c r="E17" s="222" t="s">
        <v>23</v>
      </c>
      <c r="F17" s="223"/>
      <c r="G17" s="223"/>
      <c r="H17" s="223"/>
      <c r="I17" s="223"/>
      <c r="J17" s="223"/>
      <c r="K17" s="224"/>
      <c r="L17" s="222" t="s">
        <v>24</v>
      </c>
      <c r="M17" s="224"/>
    </row>
    <row r="18" spans="1:25">
      <c r="B18" s="238"/>
      <c r="C18" s="227"/>
      <c r="D18" s="228"/>
      <c r="E18" s="17" t="s">
        <v>25</v>
      </c>
      <c r="F18" s="17" t="s">
        <v>26</v>
      </c>
      <c r="G18" s="17" t="s">
        <v>27</v>
      </c>
      <c r="H18" s="17" t="s">
        <v>28</v>
      </c>
      <c r="I18" s="17" t="s">
        <v>29</v>
      </c>
      <c r="J18" s="17" t="s">
        <v>30</v>
      </c>
      <c r="K18" s="17" t="s">
        <v>31</v>
      </c>
      <c r="L18" s="17" t="s">
        <v>32</v>
      </c>
      <c r="M18" s="17" t="s">
        <v>33</v>
      </c>
    </row>
    <row r="19" spans="1:25" ht="122.25" customHeight="1">
      <c r="B19" s="239"/>
      <c r="C19" s="229"/>
      <c r="D19" s="230"/>
      <c r="E19" s="18" t="s">
        <v>34</v>
      </c>
      <c r="F19" s="18" t="s">
        <v>35</v>
      </c>
      <c r="G19" s="18" t="s">
        <v>36</v>
      </c>
      <c r="H19" s="18" t="s">
        <v>37</v>
      </c>
      <c r="I19" s="18" t="s">
        <v>38</v>
      </c>
      <c r="J19" s="18" t="s">
        <v>39</v>
      </c>
      <c r="K19" s="18" t="s">
        <v>40</v>
      </c>
      <c r="L19" s="18" t="s">
        <v>41</v>
      </c>
      <c r="M19" s="18" t="s">
        <v>42</v>
      </c>
    </row>
    <row r="20" spans="1:25" ht="42.75" customHeight="1">
      <c r="B20" s="19">
        <v>1</v>
      </c>
      <c r="C20" s="20" t="str">
        <f t="shared" ref="C20:D20" si="0">C8</f>
        <v>CO1</v>
      </c>
      <c r="D20" s="21" t="str">
        <f t="shared" si="0"/>
        <v>Perform basic operations on arrays</v>
      </c>
      <c r="E20" s="22">
        <v>3</v>
      </c>
      <c r="F20" s="22">
        <v>2</v>
      </c>
      <c r="G20" s="22">
        <v>2</v>
      </c>
      <c r="H20" s="22">
        <v>1</v>
      </c>
      <c r="I20" s="22">
        <v>1</v>
      </c>
      <c r="J20" s="22" t="s">
        <v>43</v>
      </c>
      <c r="K20" s="22" t="s">
        <v>43</v>
      </c>
      <c r="L20" s="22">
        <v>3</v>
      </c>
      <c r="M20" s="22">
        <v>1</v>
      </c>
    </row>
    <row r="21" spans="1:25" ht="24">
      <c r="B21" s="19">
        <v>2</v>
      </c>
      <c r="C21" s="20" t="str">
        <f t="shared" ref="C21:D21" si="1">C9</f>
        <v>CO2</v>
      </c>
      <c r="D21" s="23" t="str">
        <f t="shared" si="1"/>
        <v xml:space="preserve"> Apply different searching and sorting techniques.</v>
      </c>
      <c r="E21" s="22">
        <v>3</v>
      </c>
      <c r="F21" s="22">
        <v>3</v>
      </c>
      <c r="G21" s="22">
        <v>3</v>
      </c>
      <c r="H21" s="22">
        <v>2</v>
      </c>
      <c r="I21" s="22">
        <v>2</v>
      </c>
      <c r="J21" s="22" t="s">
        <v>43</v>
      </c>
      <c r="K21" s="22" t="s">
        <v>43</v>
      </c>
      <c r="L21" s="22">
        <v>3</v>
      </c>
      <c r="M21" s="22">
        <v>2</v>
      </c>
    </row>
    <row r="22" spans="1:25" ht="22.5" customHeight="1">
      <c r="B22" s="19">
        <v>3</v>
      </c>
      <c r="C22" s="20" t="str">
        <f t="shared" ref="C22:D22" si="2">C10</f>
        <v>CO3</v>
      </c>
      <c r="D22" s="23" t="str">
        <f t="shared" si="2"/>
        <v>Implement basic operations on stack and queue using array representation</v>
      </c>
      <c r="E22" s="22">
        <v>3</v>
      </c>
      <c r="F22" s="22">
        <v>3</v>
      </c>
      <c r="G22" s="22">
        <v>3</v>
      </c>
      <c r="H22" s="22">
        <v>2</v>
      </c>
      <c r="I22" s="22">
        <v>2</v>
      </c>
      <c r="J22" s="22" t="s">
        <v>43</v>
      </c>
      <c r="K22" s="22" t="s">
        <v>43</v>
      </c>
      <c r="L22" s="22">
        <v>3</v>
      </c>
      <c r="M22" s="22">
        <v>2</v>
      </c>
    </row>
    <row r="23" spans="1:25" ht="15.75" customHeight="1">
      <c r="B23" s="19">
        <v>4</v>
      </c>
      <c r="C23" s="20" t="str">
        <f t="shared" ref="C23:D23" si="3">C11</f>
        <v>CO4</v>
      </c>
      <c r="D23" s="23" t="str">
        <f t="shared" si="3"/>
        <v xml:space="preserve"> Implement basic operations on Linked List</v>
      </c>
      <c r="E23" s="22">
        <v>3</v>
      </c>
      <c r="F23" s="22">
        <v>3</v>
      </c>
      <c r="G23" s="22">
        <v>3</v>
      </c>
      <c r="H23" s="22">
        <v>2</v>
      </c>
      <c r="I23" s="22">
        <v>2</v>
      </c>
      <c r="J23" s="22" t="s">
        <v>43</v>
      </c>
      <c r="K23" s="22" t="s">
        <v>43</v>
      </c>
      <c r="L23" s="22">
        <v>3</v>
      </c>
      <c r="M23" s="22">
        <v>2</v>
      </c>
    </row>
    <row r="24" spans="1:25" ht="24" customHeight="1">
      <c r="B24" s="19">
        <v>5</v>
      </c>
      <c r="C24" s="20" t="str">
        <f t="shared" ref="C24:D24" si="4">C12</f>
        <v>CO5</v>
      </c>
      <c r="D24" s="23" t="str">
        <f t="shared" si="4"/>
        <v>Implement program to create and traverse tree to solve problems</v>
      </c>
      <c r="E24" s="22">
        <v>3</v>
      </c>
      <c r="F24" s="22">
        <v>3</v>
      </c>
      <c r="G24" s="22">
        <v>3</v>
      </c>
      <c r="H24" s="22">
        <v>3</v>
      </c>
      <c r="I24" s="22">
        <v>2</v>
      </c>
      <c r="J24" s="22" t="s">
        <v>43</v>
      </c>
      <c r="K24" s="22" t="s">
        <v>43</v>
      </c>
      <c r="L24" s="22">
        <v>3</v>
      </c>
      <c r="M24" s="22">
        <v>2</v>
      </c>
    </row>
    <row r="25" spans="1:25" ht="15.75" customHeight="1">
      <c r="B25" s="24"/>
      <c r="C25" s="25"/>
      <c r="D25" s="26">
        <f>D13</f>
        <v>0</v>
      </c>
      <c r="E25" s="27"/>
      <c r="F25" s="27"/>
      <c r="G25" s="27"/>
      <c r="H25" s="27"/>
      <c r="I25" s="27"/>
      <c r="J25" s="28"/>
      <c r="K25" s="27"/>
      <c r="L25" s="27"/>
      <c r="M25" s="27"/>
    </row>
    <row r="26" spans="1:25" ht="15.75" customHeight="1">
      <c r="B26" s="231" t="s">
        <v>44</v>
      </c>
      <c r="C26" s="223"/>
      <c r="D26" s="224"/>
      <c r="E26" s="20">
        <f t="shared" ref="E26:M26" si="5">IFERROR(AVERAGE(E20:E24),2)</f>
        <v>3</v>
      </c>
      <c r="F26" s="20">
        <f t="shared" si="5"/>
        <v>2.8</v>
      </c>
      <c r="G26" s="20">
        <f t="shared" si="5"/>
        <v>2.8</v>
      </c>
      <c r="H26" s="20">
        <f t="shared" si="5"/>
        <v>2</v>
      </c>
      <c r="I26" s="20">
        <f t="shared" si="5"/>
        <v>1.8</v>
      </c>
      <c r="J26" s="20">
        <f t="shared" si="5"/>
        <v>2</v>
      </c>
      <c r="K26" s="20">
        <f t="shared" si="5"/>
        <v>2</v>
      </c>
      <c r="L26" s="20">
        <f t="shared" si="5"/>
        <v>3</v>
      </c>
      <c r="M26" s="20">
        <f t="shared" si="5"/>
        <v>1.8</v>
      </c>
    </row>
    <row r="27" spans="1:25" ht="15.75" customHeight="1">
      <c r="B27" s="232" t="s">
        <v>45</v>
      </c>
      <c r="C27" s="223"/>
      <c r="D27" s="224"/>
      <c r="E27" s="29">
        <f t="shared" ref="E27:M27" si="6">E26</f>
        <v>3</v>
      </c>
      <c r="F27" s="29">
        <f t="shared" si="6"/>
        <v>2.8</v>
      </c>
      <c r="G27" s="29">
        <f t="shared" si="6"/>
        <v>2.8</v>
      </c>
      <c r="H27" s="30">
        <f t="shared" si="6"/>
        <v>2</v>
      </c>
      <c r="I27" s="30">
        <f t="shared" si="6"/>
        <v>1.8</v>
      </c>
      <c r="J27" s="29">
        <f t="shared" si="6"/>
        <v>2</v>
      </c>
      <c r="K27" s="29">
        <f t="shared" si="6"/>
        <v>2</v>
      </c>
      <c r="L27" s="29">
        <f t="shared" si="6"/>
        <v>3</v>
      </c>
      <c r="M27" s="29">
        <f t="shared" si="6"/>
        <v>1.8</v>
      </c>
    </row>
    <row r="28" spans="1:25" ht="15.75" customHeight="1"/>
    <row r="29" spans="1:25" ht="15.75" customHeight="1"/>
    <row r="30" spans="1:25" ht="15.75" customHeight="1">
      <c r="D30" s="31" t="s">
        <v>46</v>
      </c>
      <c r="I30" s="216" t="s">
        <v>47</v>
      </c>
      <c r="J30" s="217"/>
      <c r="K30" s="217"/>
      <c r="L30" s="217"/>
      <c r="M30" s="217"/>
    </row>
    <row r="31" spans="1:25" ht="15.75" customHeight="1">
      <c r="A31" s="32"/>
      <c r="B31" s="32"/>
      <c r="C31" s="218" t="s">
        <v>48</v>
      </c>
      <c r="D31" s="219"/>
      <c r="E31" s="219"/>
      <c r="F31" s="32"/>
      <c r="G31" s="32"/>
      <c r="H31" s="32"/>
      <c r="I31" s="218" t="s">
        <v>48</v>
      </c>
      <c r="J31" s="219"/>
      <c r="K31" s="219"/>
      <c r="L31" s="219"/>
      <c r="M31" s="219"/>
      <c r="N31" s="32"/>
      <c r="O31" s="32"/>
      <c r="P31" s="32"/>
      <c r="Q31" s="32"/>
      <c r="R31" s="32"/>
      <c r="S31" s="32"/>
      <c r="T31" s="32"/>
      <c r="U31" s="32"/>
      <c r="V31" s="32"/>
      <c r="W31" s="32"/>
      <c r="X31" s="32"/>
      <c r="Y31" s="32"/>
    </row>
    <row r="32" spans="1:25" ht="15.75" customHeight="1"/>
    <row r="33" spans="2:5" ht="15.75" customHeight="1"/>
    <row r="34" spans="2:5" ht="15.75" customHeight="1"/>
    <row r="35" spans="2:5" ht="28.5" customHeight="1">
      <c r="B35" s="233" t="s">
        <v>49</v>
      </c>
      <c r="C35" s="27"/>
      <c r="D35" s="235" t="s">
        <v>50</v>
      </c>
      <c r="E35" s="217"/>
    </row>
    <row r="36" spans="2:5" ht="47.25" customHeight="1">
      <c r="B36" s="234"/>
      <c r="C36" s="29"/>
      <c r="D36" s="236" t="s">
        <v>51</v>
      </c>
      <c r="E36" s="217"/>
    </row>
    <row r="37" spans="2:5" ht="15.75" customHeight="1"/>
    <row r="38" spans="2:5" ht="15.75" customHeight="1"/>
    <row r="39" spans="2:5" ht="15.75" customHeight="1"/>
    <row r="40" spans="2:5" ht="15.75" customHeight="1"/>
    <row r="41" spans="2:5" ht="15.75" customHeight="1"/>
    <row r="42" spans="2:5" ht="15.75" customHeight="1"/>
    <row r="43" spans="2:5" ht="15.75" customHeight="1"/>
    <row r="44" spans="2:5" ht="15.75" customHeight="1"/>
    <row r="45" spans="2:5" ht="15.75" customHeight="1"/>
    <row r="46" spans="2:5" ht="15.75" customHeight="1"/>
    <row r="47" spans="2:5" ht="15.75" customHeight="1"/>
    <row r="48" spans="2: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6">
    <mergeCell ref="B35:B36"/>
    <mergeCell ref="D35:E35"/>
    <mergeCell ref="D36:E36"/>
    <mergeCell ref="B17:B19"/>
    <mergeCell ref="I30:M30"/>
    <mergeCell ref="C31:E31"/>
    <mergeCell ref="I31:M31"/>
    <mergeCell ref="D3:E3"/>
    <mergeCell ref="D4:E4"/>
    <mergeCell ref="D5:E5"/>
    <mergeCell ref="D6:E6"/>
    <mergeCell ref="E17:K17"/>
    <mergeCell ref="L17:M17"/>
    <mergeCell ref="C17:D19"/>
    <mergeCell ref="B26:D26"/>
    <mergeCell ref="B27:D27"/>
  </mergeCells>
  <pageMargins left="0.7" right="0.7" top="0.75" bottom="0.75" header="0" footer="0"/>
  <pageSetup scale="69"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AH999"/>
  <sheetViews>
    <sheetView workbookViewId="0">
      <selection activeCell="C7" sqref="C7"/>
    </sheetView>
  </sheetViews>
  <sheetFormatPr defaultColWidth="14.42578125" defaultRowHeight="15" customHeight="1"/>
  <cols>
    <col min="1" max="1" width="4" customWidth="1"/>
    <col min="2" max="2" width="18.85546875" customWidth="1"/>
    <col min="3" max="3" width="42.5703125" customWidth="1"/>
    <col min="4" max="4" width="14.28515625" customWidth="1"/>
    <col min="5" max="5" width="10.28515625" customWidth="1"/>
    <col min="6" max="6" width="9.28515625" customWidth="1"/>
    <col min="7" max="7" width="11.42578125" customWidth="1"/>
    <col min="8" max="8" width="9.85546875" customWidth="1"/>
    <col min="9" max="9" width="11.85546875" customWidth="1"/>
    <col min="10" max="10" width="10.7109375" customWidth="1"/>
    <col min="11" max="11" width="11.5703125" customWidth="1"/>
    <col min="12" max="13" width="5.42578125" customWidth="1"/>
    <col min="14" max="14" width="35.85546875" style="192" bestFit="1" customWidth="1"/>
    <col min="15" max="15" width="8.42578125" style="192" bestFit="1" customWidth="1"/>
    <col min="16" max="16" width="19.140625" bestFit="1" customWidth="1"/>
    <col min="17" max="22" width="5.85546875" customWidth="1"/>
    <col min="24" max="30" width="5.5703125" customWidth="1"/>
  </cols>
  <sheetData>
    <row r="1" spans="1:31" ht="21.75">
      <c r="A1" s="249" t="s">
        <v>52</v>
      </c>
      <c r="B1" s="217"/>
      <c r="C1" s="217"/>
      <c r="D1" s="217"/>
      <c r="E1" s="217"/>
      <c r="F1" s="217"/>
      <c r="G1" s="217"/>
      <c r="H1" s="217"/>
      <c r="I1" s="217"/>
      <c r="J1" s="217"/>
      <c r="K1" s="217"/>
      <c r="L1" s="33"/>
      <c r="M1" s="33"/>
      <c r="N1" s="203"/>
    </row>
    <row r="2" spans="1:31" ht="21.75">
      <c r="A2" s="249" t="s">
        <v>53</v>
      </c>
      <c r="B2" s="217"/>
      <c r="C2" s="217"/>
      <c r="D2" s="217"/>
      <c r="E2" s="217"/>
      <c r="F2" s="217"/>
      <c r="G2" s="217"/>
      <c r="H2" s="217"/>
      <c r="I2" s="217"/>
      <c r="J2" s="217"/>
      <c r="K2" s="217"/>
      <c r="L2" s="33"/>
      <c r="M2" s="33"/>
      <c r="N2" s="203"/>
    </row>
    <row r="3" spans="1:31">
      <c r="A3" s="33"/>
      <c r="B3" s="34" t="s">
        <v>1</v>
      </c>
      <c r="C3" s="250" t="str">
        <f>'PO Set Target attain level'!D3</f>
        <v>Data Structures Using _C</v>
      </c>
      <c r="D3" s="251"/>
      <c r="E3" s="33"/>
      <c r="F3" s="33"/>
      <c r="G3" s="33"/>
      <c r="H3" s="33"/>
      <c r="I3" s="33"/>
      <c r="J3" s="33"/>
      <c r="K3" s="33"/>
      <c r="L3" s="33"/>
      <c r="M3" s="33"/>
      <c r="N3" s="203"/>
    </row>
    <row r="4" spans="1:31">
      <c r="A4" s="33"/>
      <c r="B4" s="34" t="s">
        <v>3</v>
      </c>
      <c r="C4" s="250">
        <f>'PO Set Target attain level'!D4</f>
        <v>22317</v>
      </c>
      <c r="D4" s="251"/>
      <c r="E4" s="33"/>
      <c r="F4" s="33"/>
      <c r="G4" s="33"/>
      <c r="H4" s="33"/>
      <c r="I4" s="33"/>
      <c r="J4" s="33"/>
      <c r="K4" s="33"/>
      <c r="L4" s="33"/>
      <c r="M4" s="33"/>
      <c r="N4" s="203"/>
    </row>
    <row r="5" spans="1:31">
      <c r="A5" s="33"/>
      <c r="B5" s="34" t="s">
        <v>54</v>
      </c>
      <c r="C5" s="250" t="str">
        <f>'PO Set Target attain level'!D5</f>
        <v>3rd SEM(CO3I SCHEME)</v>
      </c>
      <c r="D5" s="251"/>
      <c r="E5" s="33"/>
      <c r="F5" s="33"/>
      <c r="G5" s="33"/>
      <c r="H5" s="33"/>
      <c r="I5" s="33"/>
      <c r="J5" s="33"/>
      <c r="K5" s="33"/>
      <c r="L5" s="33"/>
      <c r="M5" s="33"/>
      <c r="N5" s="203"/>
    </row>
    <row r="6" spans="1:31">
      <c r="A6" s="33"/>
      <c r="B6" s="34" t="s">
        <v>55</v>
      </c>
      <c r="C6" s="252" t="s">
        <v>7</v>
      </c>
      <c r="D6" s="251"/>
      <c r="E6" s="33"/>
      <c r="F6" s="33"/>
      <c r="G6" s="33"/>
      <c r="H6" s="33"/>
      <c r="I6" s="33"/>
      <c r="J6" s="33"/>
      <c r="K6" s="33"/>
      <c r="L6" s="33"/>
      <c r="M6" s="33"/>
      <c r="N6" s="203"/>
      <c r="X6" s="240" t="s">
        <v>258</v>
      </c>
      <c r="Y6" s="241"/>
      <c r="Z6" s="241"/>
      <c r="AA6" s="241"/>
      <c r="AB6" s="241"/>
      <c r="AC6" s="241"/>
      <c r="AD6" s="241"/>
    </row>
    <row r="7" spans="1:31" ht="15.75">
      <c r="A7" s="33"/>
      <c r="B7" s="33"/>
      <c r="C7" s="215"/>
      <c r="D7" s="33"/>
      <c r="E7" s="33"/>
      <c r="F7" s="33"/>
      <c r="G7" s="33"/>
      <c r="H7" s="33"/>
      <c r="I7" s="33"/>
      <c r="J7" s="33"/>
      <c r="K7" s="33"/>
      <c r="L7" s="33"/>
      <c r="M7" s="33"/>
      <c r="N7" s="203"/>
      <c r="X7" s="193">
        <v>1</v>
      </c>
      <c r="Y7" s="193" t="s">
        <v>253</v>
      </c>
      <c r="Z7" s="193"/>
      <c r="AA7" s="193"/>
      <c r="AB7" s="193"/>
      <c r="AC7" s="194"/>
      <c r="AD7" s="195">
        <f>SUM(Z7:AC7)</f>
        <v>0</v>
      </c>
    </row>
    <row r="8" spans="1:31" ht="25.5" customHeight="1">
      <c r="A8" s="253" t="s">
        <v>21</v>
      </c>
      <c r="B8" s="278" t="s">
        <v>56</v>
      </c>
      <c r="C8" s="279" t="s">
        <v>57</v>
      </c>
      <c r="D8" s="282" t="s">
        <v>58</v>
      </c>
      <c r="E8" s="283" t="s">
        <v>59</v>
      </c>
      <c r="F8" s="260" t="s">
        <v>260</v>
      </c>
      <c r="G8" s="277" t="s">
        <v>60</v>
      </c>
      <c r="H8" s="246" t="s">
        <v>61</v>
      </c>
      <c r="I8" s="247" t="s">
        <v>62</v>
      </c>
      <c r="J8" s="35" t="s">
        <v>63</v>
      </c>
      <c r="K8" s="35" t="s">
        <v>64</v>
      </c>
      <c r="L8" s="33"/>
      <c r="M8" s="33"/>
      <c r="N8" s="203"/>
      <c r="X8" s="193">
        <v>2</v>
      </c>
      <c r="Y8" s="193" t="s">
        <v>254</v>
      </c>
      <c r="Z8" s="193"/>
      <c r="AA8" s="193"/>
      <c r="AB8" s="193"/>
      <c r="AC8" s="194"/>
      <c r="AD8" s="195">
        <f t="shared" ref="AD8:AD11" si="0">SUM(Z8:AC8)</f>
        <v>0</v>
      </c>
    </row>
    <row r="9" spans="1:31" ht="18.75" customHeight="1">
      <c r="A9" s="254"/>
      <c r="B9" s="254"/>
      <c r="C9" s="258"/>
      <c r="D9" s="221"/>
      <c r="E9" s="221"/>
      <c r="F9" s="261"/>
      <c r="G9" s="221"/>
      <c r="H9" s="221"/>
      <c r="I9" s="234"/>
      <c r="J9" s="256" t="s">
        <v>65</v>
      </c>
      <c r="K9" s="257"/>
      <c r="L9" s="33"/>
      <c r="M9" s="33"/>
      <c r="N9" s="203"/>
      <c r="X9" s="193">
        <v>3</v>
      </c>
      <c r="Y9" s="193" t="s">
        <v>255</v>
      </c>
      <c r="Z9" s="193">
        <v>2</v>
      </c>
      <c r="AA9" s="193">
        <v>2</v>
      </c>
      <c r="AB9" s="193">
        <v>4</v>
      </c>
      <c r="AC9" s="194"/>
      <c r="AD9" s="195">
        <f t="shared" si="0"/>
        <v>8</v>
      </c>
    </row>
    <row r="10" spans="1:31" ht="23.25" customHeight="1">
      <c r="A10" s="254"/>
      <c r="B10" s="254"/>
      <c r="C10" s="258"/>
      <c r="D10" s="221"/>
      <c r="E10" s="221"/>
      <c r="F10" s="261"/>
      <c r="G10" s="221"/>
      <c r="H10" s="221"/>
      <c r="I10" s="234"/>
      <c r="J10" s="258"/>
      <c r="K10" s="234"/>
      <c r="L10" s="33"/>
      <c r="M10" s="33"/>
      <c r="N10" s="203"/>
      <c r="X10" s="193">
        <v>4</v>
      </c>
      <c r="Y10" s="193" t="s">
        <v>256</v>
      </c>
      <c r="Z10" s="193">
        <v>2</v>
      </c>
      <c r="AA10" s="193">
        <v>2</v>
      </c>
      <c r="AB10" s="193">
        <v>4</v>
      </c>
      <c r="AC10" s="194">
        <v>4</v>
      </c>
      <c r="AD10" s="195">
        <f t="shared" si="0"/>
        <v>12</v>
      </c>
    </row>
    <row r="11" spans="1:31" ht="23.25" customHeight="1">
      <c r="A11" s="254"/>
      <c r="B11" s="254"/>
      <c r="C11" s="258"/>
      <c r="D11" s="221"/>
      <c r="E11" s="221"/>
      <c r="F11" s="261"/>
      <c r="G11" s="221"/>
      <c r="H11" s="221"/>
      <c r="I11" s="248"/>
      <c r="J11" s="259"/>
      <c r="K11" s="248"/>
      <c r="L11" s="33"/>
      <c r="M11" s="33"/>
      <c r="N11" s="203"/>
      <c r="X11" s="193">
        <v>5</v>
      </c>
      <c r="Y11" s="193" t="s">
        <v>257</v>
      </c>
      <c r="Z11" s="193">
        <v>2</v>
      </c>
      <c r="AA11" s="193">
        <v>2</v>
      </c>
      <c r="AB11" s="193">
        <v>4</v>
      </c>
      <c r="AC11" s="194"/>
      <c r="AD11" s="195">
        <f t="shared" si="0"/>
        <v>8</v>
      </c>
    </row>
    <row r="12" spans="1:31" ht="18.75" customHeight="1">
      <c r="A12" s="255"/>
      <c r="B12" s="255"/>
      <c r="C12" s="255"/>
      <c r="D12" s="205">
        <v>10</v>
      </c>
      <c r="E12" s="206">
        <v>8</v>
      </c>
      <c r="F12" s="206">
        <v>18</v>
      </c>
      <c r="G12" s="206">
        <v>12</v>
      </c>
      <c r="H12" s="207">
        <v>8</v>
      </c>
      <c r="I12" s="37"/>
      <c r="J12" s="38">
        <f t="shared" ref="J12:J43" si="1">SUM(D12:E12)</f>
        <v>18</v>
      </c>
      <c r="K12" s="38">
        <f>SUM(F12:H12)</f>
        <v>38</v>
      </c>
      <c r="L12" s="33"/>
      <c r="M12" s="33"/>
      <c r="AC12" s="192"/>
      <c r="AD12" s="195">
        <f>SUM(AD7:AD11)</f>
        <v>28</v>
      </c>
    </row>
    <row r="13" spans="1:31" ht="15.75">
      <c r="A13" s="40">
        <v>1</v>
      </c>
      <c r="B13" s="41">
        <v>2201180002</v>
      </c>
      <c r="C13" s="42" t="s">
        <v>66</v>
      </c>
      <c r="D13" s="43">
        <v>0</v>
      </c>
      <c r="E13" s="43">
        <v>1</v>
      </c>
      <c r="F13" s="43">
        <v>6</v>
      </c>
      <c r="G13" s="40">
        <v>1</v>
      </c>
      <c r="H13" s="40">
        <v>3</v>
      </c>
      <c r="I13" s="40"/>
      <c r="J13" s="38">
        <f t="shared" si="1"/>
        <v>1</v>
      </c>
      <c r="K13" s="38">
        <f t="shared" ref="K13:K76" si="2">SUM(F13:H13)</f>
        <v>10</v>
      </c>
      <c r="L13" s="33"/>
      <c r="M13" s="33"/>
      <c r="N13" s="204"/>
      <c r="O13" s="202"/>
    </row>
    <row r="14" spans="1:31" ht="15.75">
      <c r="A14" s="40">
        <v>2</v>
      </c>
      <c r="B14" s="44">
        <v>2201180003</v>
      </c>
      <c r="C14" s="45" t="s">
        <v>67</v>
      </c>
      <c r="D14" s="43">
        <v>9</v>
      </c>
      <c r="E14" s="43">
        <v>4</v>
      </c>
      <c r="F14" s="43">
        <v>10</v>
      </c>
      <c r="G14" s="40">
        <v>9</v>
      </c>
      <c r="H14" s="40">
        <v>8</v>
      </c>
      <c r="I14" s="40"/>
      <c r="J14" s="38">
        <f t="shared" si="1"/>
        <v>13</v>
      </c>
      <c r="K14" s="38">
        <f t="shared" si="2"/>
        <v>27</v>
      </c>
      <c r="L14" s="33"/>
      <c r="M14" s="33"/>
      <c r="N14" s="204"/>
      <c r="O14" s="202"/>
      <c r="Y14" s="240" t="s">
        <v>259</v>
      </c>
      <c r="Z14" s="241"/>
      <c r="AA14" s="241"/>
      <c r="AB14" s="241"/>
      <c r="AC14" s="241"/>
      <c r="AD14" s="241"/>
      <c r="AE14" s="241"/>
    </row>
    <row r="15" spans="1:31" ht="15.75">
      <c r="A15" s="40">
        <v>3</v>
      </c>
      <c r="B15" s="44">
        <v>2201180004</v>
      </c>
      <c r="C15" s="45" t="s">
        <v>68</v>
      </c>
      <c r="D15" s="43">
        <v>10</v>
      </c>
      <c r="E15" s="43">
        <v>8</v>
      </c>
      <c r="F15" s="43">
        <v>8</v>
      </c>
      <c r="G15" s="40">
        <v>12</v>
      </c>
      <c r="H15" s="40">
        <v>8</v>
      </c>
      <c r="I15" s="40"/>
      <c r="J15" s="38">
        <f t="shared" si="1"/>
        <v>18</v>
      </c>
      <c r="K15" s="38">
        <f t="shared" si="2"/>
        <v>28</v>
      </c>
      <c r="L15" s="33"/>
      <c r="M15" s="33"/>
      <c r="N15" s="204"/>
      <c r="O15" s="202"/>
      <c r="Y15" s="193">
        <v>1</v>
      </c>
      <c r="Z15" s="193" t="s">
        <v>253</v>
      </c>
      <c r="AA15" s="193">
        <v>2</v>
      </c>
      <c r="AB15" s="193">
        <v>2</v>
      </c>
      <c r="AC15" s="193">
        <v>2</v>
      </c>
      <c r="AD15" s="194">
        <v>4</v>
      </c>
      <c r="AE15" s="195">
        <f>SUM(AA15:AD15)</f>
        <v>10</v>
      </c>
    </row>
    <row r="16" spans="1:31" ht="15.75">
      <c r="A16" s="40">
        <v>4</v>
      </c>
      <c r="B16" s="44">
        <v>2201180005</v>
      </c>
      <c r="C16" s="45" t="s">
        <v>69</v>
      </c>
      <c r="D16" s="43">
        <v>9</v>
      </c>
      <c r="E16" s="43">
        <v>7</v>
      </c>
      <c r="F16" s="43">
        <v>16</v>
      </c>
      <c r="G16" s="40">
        <v>12</v>
      </c>
      <c r="H16" s="40">
        <v>6</v>
      </c>
      <c r="I16" s="40"/>
      <c r="J16" s="38">
        <f t="shared" si="1"/>
        <v>16</v>
      </c>
      <c r="K16" s="38">
        <f t="shared" si="2"/>
        <v>34</v>
      </c>
      <c r="L16" s="33"/>
      <c r="M16" s="33"/>
      <c r="N16" s="204"/>
      <c r="O16" s="202"/>
      <c r="Y16" s="193">
        <v>2</v>
      </c>
      <c r="Z16" s="193" t="s">
        <v>254</v>
      </c>
      <c r="AA16" s="193">
        <v>4</v>
      </c>
      <c r="AB16" s="193">
        <v>4</v>
      </c>
      <c r="AC16" s="193"/>
      <c r="AD16" s="194"/>
      <c r="AE16" s="195">
        <f>SUM(AA16:AD16)</f>
        <v>8</v>
      </c>
    </row>
    <row r="17" spans="1:34" ht="15.75">
      <c r="A17" s="40">
        <v>5</v>
      </c>
      <c r="B17" s="44">
        <v>2201180006</v>
      </c>
      <c r="C17" s="45" t="s">
        <v>70</v>
      </c>
      <c r="D17" s="43">
        <v>6</v>
      </c>
      <c r="E17" s="43">
        <v>5</v>
      </c>
      <c r="F17" s="43">
        <v>15</v>
      </c>
      <c r="G17" s="40">
        <v>11</v>
      </c>
      <c r="H17" s="40">
        <v>8</v>
      </c>
      <c r="I17" s="40"/>
      <c r="J17" s="38">
        <f t="shared" si="1"/>
        <v>11</v>
      </c>
      <c r="K17" s="38">
        <f t="shared" si="2"/>
        <v>34</v>
      </c>
      <c r="L17" s="33"/>
      <c r="M17" s="33"/>
      <c r="N17" s="204"/>
      <c r="O17" s="202"/>
      <c r="X17" s="196"/>
      <c r="Y17" s="193">
        <v>3</v>
      </c>
      <c r="Z17" s="193" t="s">
        <v>255</v>
      </c>
      <c r="AA17" s="193">
        <v>2</v>
      </c>
      <c r="AB17" s="193">
        <v>2</v>
      </c>
      <c r="AC17" s="193">
        <v>2</v>
      </c>
      <c r="AD17" s="194">
        <v>4</v>
      </c>
      <c r="AE17" s="195">
        <f>SUM(AA17:AD17)</f>
        <v>10</v>
      </c>
      <c r="AF17" s="196"/>
      <c r="AG17" s="199"/>
      <c r="AH17" s="200"/>
    </row>
    <row r="18" spans="1:34" ht="15.75">
      <c r="A18" s="40">
        <v>6</v>
      </c>
      <c r="B18" s="44">
        <v>2201180009</v>
      </c>
      <c r="C18" s="45" t="s">
        <v>71</v>
      </c>
      <c r="D18" s="43">
        <v>4</v>
      </c>
      <c r="E18" s="43">
        <v>4</v>
      </c>
      <c r="F18" s="43">
        <v>10</v>
      </c>
      <c r="G18" s="40">
        <v>6</v>
      </c>
      <c r="H18" s="40">
        <v>6</v>
      </c>
      <c r="I18" s="40"/>
      <c r="J18" s="38">
        <f t="shared" si="1"/>
        <v>8</v>
      </c>
      <c r="K18" s="38">
        <f t="shared" si="2"/>
        <v>22</v>
      </c>
      <c r="L18" s="33"/>
      <c r="M18" s="33"/>
      <c r="N18" s="204"/>
      <c r="O18" s="202"/>
      <c r="X18" s="196"/>
      <c r="Y18" s="193">
        <v>4</v>
      </c>
      <c r="Z18" s="193" t="s">
        <v>256</v>
      </c>
      <c r="AA18" s="193"/>
      <c r="AB18" s="193"/>
      <c r="AC18" s="193"/>
      <c r="AD18" s="194"/>
      <c r="AE18" s="195">
        <f>SUM(AA18:AD18)</f>
        <v>0</v>
      </c>
      <c r="AF18" s="196"/>
      <c r="AG18" s="199"/>
      <c r="AH18" s="200"/>
    </row>
    <row r="19" spans="1:34" ht="15.75">
      <c r="A19" s="40">
        <v>7</v>
      </c>
      <c r="B19" s="44">
        <v>2201180010</v>
      </c>
      <c r="C19" s="45" t="s">
        <v>72</v>
      </c>
      <c r="D19" s="43">
        <v>6</v>
      </c>
      <c r="E19" s="43">
        <v>3</v>
      </c>
      <c r="F19" s="43">
        <v>9</v>
      </c>
      <c r="G19" s="40">
        <v>7</v>
      </c>
      <c r="H19" s="40">
        <v>8</v>
      </c>
      <c r="I19" s="40"/>
      <c r="J19" s="38">
        <f t="shared" si="1"/>
        <v>9</v>
      </c>
      <c r="K19" s="38">
        <f t="shared" si="2"/>
        <v>24</v>
      </c>
      <c r="L19" s="33"/>
      <c r="M19" s="33"/>
      <c r="N19" s="204"/>
      <c r="O19" s="202"/>
      <c r="X19" s="196"/>
      <c r="Y19" s="193">
        <v>5</v>
      </c>
      <c r="Z19" s="193" t="s">
        <v>257</v>
      </c>
      <c r="AA19" s="193"/>
      <c r="AB19" s="193"/>
      <c r="AC19" s="193"/>
      <c r="AD19" s="194"/>
      <c r="AE19" s="195">
        <f>SUM(AA19:AD19)</f>
        <v>0</v>
      </c>
      <c r="AF19" s="196"/>
      <c r="AG19" s="199"/>
      <c r="AH19" s="200"/>
    </row>
    <row r="20" spans="1:34" ht="15.75">
      <c r="A20" s="40">
        <v>8</v>
      </c>
      <c r="B20" s="44">
        <v>2201180011</v>
      </c>
      <c r="C20" s="45" t="s">
        <v>73</v>
      </c>
      <c r="D20" s="43">
        <v>10</v>
      </c>
      <c r="E20" s="43">
        <v>0</v>
      </c>
      <c r="F20" s="43">
        <v>8</v>
      </c>
      <c r="G20" s="40">
        <v>6</v>
      </c>
      <c r="H20" s="40">
        <v>4</v>
      </c>
      <c r="I20" s="40"/>
      <c r="J20" s="38">
        <f t="shared" si="1"/>
        <v>10</v>
      </c>
      <c r="K20" s="38">
        <f t="shared" si="2"/>
        <v>18</v>
      </c>
      <c r="L20" s="33"/>
      <c r="M20" s="33"/>
      <c r="N20" s="204"/>
      <c r="O20" s="202"/>
      <c r="X20" s="196"/>
      <c r="AE20" s="195">
        <f>SUM(AE15:AE19)</f>
        <v>28</v>
      </c>
      <c r="AF20" s="196"/>
      <c r="AG20" s="199"/>
      <c r="AH20" s="200"/>
    </row>
    <row r="21" spans="1:34" ht="15.75" customHeight="1">
      <c r="A21" s="40">
        <v>9</v>
      </c>
      <c r="B21" s="44">
        <v>2201180014</v>
      </c>
      <c r="C21" s="45" t="s">
        <v>74</v>
      </c>
      <c r="D21" s="43">
        <v>6</v>
      </c>
      <c r="E21" s="43">
        <v>5</v>
      </c>
      <c r="F21" s="43">
        <v>9</v>
      </c>
      <c r="G21" s="40">
        <v>10</v>
      </c>
      <c r="H21" s="40">
        <v>1</v>
      </c>
      <c r="I21" s="40"/>
      <c r="J21" s="38">
        <f t="shared" si="1"/>
        <v>11</v>
      </c>
      <c r="K21" s="38">
        <f t="shared" si="2"/>
        <v>20</v>
      </c>
      <c r="L21" s="33"/>
      <c r="M21" s="33"/>
      <c r="N21" s="204"/>
      <c r="O21" s="202"/>
      <c r="X21" s="196"/>
      <c r="Y21" s="197"/>
      <c r="Z21" s="201"/>
      <c r="AA21" s="196"/>
      <c r="AB21" s="196"/>
      <c r="AC21" s="196"/>
      <c r="AD21" s="198"/>
      <c r="AE21" s="196"/>
      <c r="AF21" s="196"/>
      <c r="AG21" s="199"/>
      <c r="AH21" s="200"/>
    </row>
    <row r="22" spans="1:34" ht="15.75" customHeight="1">
      <c r="A22" s="40">
        <v>10</v>
      </c>
      <c r="B22" s="44">
        <v>2201180050</v>
      </c>
      <c r="C22" s="45" t="s">
        <v>75</v>
      </c>
      <c r="D22" s="43">
        <v>6</v>
      </c>
      <c r="E22" s="43">
        <v>5</v>
      </c>
      <c r="F22" s="43">
        <v>13</v>
      </c>
      <c r="G22" s="40">
        <v>7</v>
      </c>
      <c r="H22" s="40">
        <v>6</v>
      </c>
      <c r="I22" s="40"/>
      <c r="J22" s="38">
        <f t="shared" si="1"/>
        <v>11</v>
      </c>
      <c r="K22" s="38">
        <f t="shared" si="2"/>
        <v>26</v>
      </c>
      <c r="L22" s="33"/>
      <c r="M22" s="33"/>
      <c r="N22" s="204"/>
      <c r="O22" s="202"/>
      <c r="X22" s="196"/>
      <c r="Y22" s="197"/>
      <c r="Z22" s="201"/>
      <c r="AA22" s="196"/>
      <c r="AB22" s="196"/>
      <c r="AC22" s="196"/>
      <c r="AD22" s="198"/>
      <c r="AE22" s="196"/>
      <c r="AF22" s="196"/>
      <c r="AG22" s="199"/>
      <c r="AH22" s="200"/>
    </row>
    <row r="23" spans="1:34" ht="15.75" customHeight="1">
      <c r="A23" s="40">
        <v>11</v>
      </c>
      <c r="B23" s="44">
        <v>2201180051</v>
      </c>
      <c r="C23" s="45" t="s">
        <v>76</v>
      </c>
      <c r="D23" s="43">
        <v>8</v>
      </c>
      <c r="E23" s="43">
        <v>6</v>
      </c>
      <c r="F23" s="43">
        <v>15</v>
      </c>
      <c r="G23" s="40">
        <v>12</v>
      </c>
      <c r="H23" s="40">
        <v>4</v>
      </c>
      <c r="I23" s="40"/>
      <c r="J23" s="38">
        <f t="shared" si="1"/>
        <v>14</v>
      </c>
      <c r="K23" s="38">
        <f t="shared" si="2"/>
        <v>31</v>
      </c>
      <c r="L23" s="33"/>
      <c r="M23" s="33"/>
      <c r="N23" s="204"/>
      <c r="O23" s="202"/>
    </row>
    <row r="24" spans="1:34" ht="15.75" customHeight="1">
      <c r="A24" s="40">
        <v>12</v>
      </c>
      <c r="B24" s="44">
        <v>2201180052</v>
      </c>
      <c r="C24" s="45" t="s">
        <v>77</v>
      </c>
      <c r="D24" s="43">
        <v>8</v>
      </c>
      <c r="E24" s="43">
        <v>3</v>
      </c>
      <c r="F24" s="43">
        <v>3</v>
      </c>
      <c r="G24" s="40">
        <v>11</v>
      </c>
      <c r="H24" s="40">
        <v>4</v>
      </c>
      <c r="I24" s="40"/>
      <c r="J24" s="38">
        <f t="shared" si="1"/>
        <v>11</v>
      </c>
      <c r="K24" s="38">
        <f t="shared" si="2"/>
        <v>18</v>
      </c>
      <c r="L24" s="33"/>
      <c r="M24" s="33"/>
      <c r="N24" s="204"/>
      <c r="O24" s="202"/>
    </row>
    <row r="25" spans="1:34" ht="15.75" customHeight="1">
      <c r="A25" s="40">
        <v>13</v>
      </c>
      <c r="B25" s="44">
        <v>2201180053</v>
      </c>
      <c r="C25" s="45" t="s">
        <v>78</v>
      </c>
      <c r="D25" s="43">
        <v>9</v>
      </c>
      <c r="E25" s="43">
        <v>6</v>
      </c>
      <c r="F25" s="43">
        <v>12</v>
      </c>
      <c r="G25" s="40">
        <v>11</v>
      </c>
      <c r="H25" s="40">
        <v>8</v>
      </c>
      <c r="I25" s="40"/>
      <c r="J25" s="38">
        <f t="shared" si="1"/>
        <v>15</v>
      </c>
      <c r="K25" s="38">
        <f t="shared" si="2"/>
        <v>31</v>
      </c>
      <c r="L25" s="33"/>
      <c r="M25" s="33"/>
      <c r="N25" s="204"/>
      <c r="O25" s="202"/>
    </row>
    <row r="26" spans="1:34" ht="15.75" customHeight="1">
      <c r="A26" s="40">
        <v>14</v>
      </c>
      <c r="B26" s="44">
        <v>2201180055</v>
      </c>
      <c r="C26" s="45" t="s">
        <v>79</v>
      </c>
      <c r="D26" s="43">
        <v>7</v>
      </c>
      <c r="E26" s="43">
        <v>4</v>
      </c>
      <c r="F26" s="43">
        <v>10</v>
      </c>
      <c r="G26" s="40">
        <v>7</v>
      </c>
      <c r="H26" s="40">
        <v>7</v>
      </c>
      <c r="I26" s="40"/>
      <c r="J26" s="38">
        <f t="shared" si="1"/>
        <v>11</v>
      </c>
      <c r="K26" s="38">
        <f t="shared" si="2"/>
        <v>24</v>
      </c>
      <c r="L26" s="33"/>
      <c r="M26" s="33"/>
      <c r="N26" s="204"/>
      <c r="O26" s="202"/>
    </row>
    <row r="27" spans="1:34" ht="15.75" customHeight="1">
      <c r="A27" s="40">
        <v>15</v>
      </c>
      <c r="B27" s="44">
        <v>2201180056</v>
      </c>
      <c r="C27" s="45" t="s">
        <v>80</v>
      </c>
      <c r="D27" s="43">
        <v>9</v>
      </c>
      <c r="E27" s="43">
        <v>4</v>
      </c>
      <c r="F27" s="43">
        <v>15</v>
      </c>
      <c r="G27" s="40">
        <v>11</v>
      </c>
      <c r="H27" s="40">
        <v>8</v>
      </c>
      <c r="I27" s="40"/>
      <c r="J27" s="38">
        <f t="shared" si="1"/>
        <v>13</v>
      </c>
      <c r="K27" s="38">
        <f t="shared" si="2"/>
        <v>34</v>
      </c>
      <c r="L27" s="33"/>
      <c r="M27" s="33"/>
      <c r="N27" s="204"/>
      <c r="O27" s="202"/>
    </row>
    <row r="28" spans="1:34" ht="15.75" customHeight="1">
      <c r="A28" s="40">
        <v>16</v>
      </c>
      <c r="B28" s="44">
        <v>2201180058</v>
      </c>
      <c r="C28" s="45" t="s">
        <v>81</v>
      </c>
      <c r="D28" s="43">
        <v>10</v>
      </c>
      <c r="E28" s="43">
        <v>7</v>
      </c>
      <c r="F28" s="43">
        <v>7</v>
      </c>
      <c r="G28" s="40">
        <v>8</v>
      </c>
      <c r="H28" s="40">
        <v>4</v>
      </c>
      <c r="I28" s="40"/>
      <c r="J28" s="38">
        <f t="shared" si="1"/>
        <v>17</v>
      </c>
      <c r="K28" s="38">
        <f t="shared" si="2"/>
        <v>19</v>
      </c>
      <c r="L28" s="33"/>
      <c r="M28" s="33"/>
      <c r="N28" s="204"/>
      <c r="O28" s="202"/>
    </row>
    <row r="29" spans="1:34" ht="15.75" customHeight="1">
      <c r="A29" s="40">
        <v>17</v>
      </c>
      <c r="B29" s="44">
        <v>2201180059</v>
      </c>
      <c r="C29" s="45" t="s">
        <v>82</v>
      </c>
      <c r="D29" s="43">
        <v>10</v>
      </c>
      <c r="E29" s="43">
        <v>7</v>
      </c>
      <c r="F29" s="43">
        <v>9</v>
      </c>
      <c r="G29" s="40">
        <v>5</v>
      </c>
      <c r="H29" s="40">
        <v>8</v>
      </c>
      <c r="I29" s="40"/>
      <c r="J29" s="38">
        <f t="shared" si="1"/>
        <v>17</v>
      </c>
      <c r="K29" s="38">
        <f t="shared" si="2"/>
        <v>22</v>
      </c>
      <c r="L29" s="33"/>
      <c r="M29" s="33"/>
      <c r="N29" s="204"/>
      <c r="O29" s="202"/>
    </row>
    <row r="30" spans="1:34" ht="15.75" customHeight="1">
      <c r="A30" s="40">
        <v>18</v>
      </c>
      <c r="B30" s="44">
        <v>2201180060</v>
      </c>
      <c r="C30" s="45" t="s">
        <v>83</v>
      </c>
      <c r="D30" s="43">
        <v>6</v>
      </c>
      <c r="E30" s="43">
        <v>7</v>
      </c>
      <c r="F30" s="43">
        <v>16</v>
      </c>
      <c r="G30" s="40">
        <v>9</v>
      </c>
      <c r="H30" s="40">
        <v>6</v>
      </c>
      <c r="I30" s="40"/>
      <c r="J30" s="38">
        <f t="shared" si="1"/>
        <v>13</v>
      </c>
      <c r="K30" s="38">
        <f t="shared" si="2"/>
        <v>31</v>
      </c>
      <c r="L30" s="33"/>
      <c r="M30" s="33"/>
      <c r="N30" s="204"/>
      <c r="O30" s="202"/>
    </row>
    <row r="31" spans="1:34" ht="15.75" customHeight="1">
      <c r="A31" s="40">
        <v>19</v>
      </c>
      <c r="B31" s="44">
        <v>2201180061</v>
      </c>
      <c r="C31" s="45" t="s">
        <v>84</v>
      </c>
      <c r="D31" s="43">
        <v>6</v>
      </c>
      <c r="E31" s="43">
        <v>2</v>
      </c>
      <c r="F31" s="43">
        <v>10</v>
      </c>
      <c r="G31" s="40">
        <v>4</v>
      </c>
      <c r="H31" s="40">
        <v>8</v>
      </c>
      <c r="I31" s="40"/>
      <c r="J31" s="38">
        <f t="shared" si="1"/>
        <v>8</v>
      </c>
      <c r="K31" s="38">
        <f t="shared" si="2"/>
        <v>22</v>
      </c>
      <c r="L31" s="33"/>
      <c r="M31" s="33"/>
      <c r="N31" s="204"/>
      <c r="O31" s="202"/>
    </row>
    <row r="32" spans="1:34" ht="15.75" customHeight="1">
      <c r="A32" s="40">
        <v>20</v>
      </c>
      <c r="B32" s="44">
        <v>2201180062</v>
      </c>
      <c r="C32" s="45" t="s">
        <v>85</v>
      </c>
      <c r="D32" s="43">
        <v>8</v>
      </c>
      <c r="E32" s="43">
        <v>5</v>
      </c>
      <c r="F32" s="43">
        <v>17</v>
      </c>
      <c r="G32" s="40">
        <v>11</v>
      </c>
      <c r="H32" s="40">
        <v>8</v>
      </c>
      <c r="I32" s="40"/>
      <c r="J32" s="38">
        <f t="shared" si="1"/>
        <v>13</v>
      </c>
      <c r="K32" s="38">
        <f t="shared" si="2"/>
        <v>36</v>
      </c>
      <c r="L32" s="33"/>
      <c r="M32" s="33"/>
      <c r="N32" s="204"/>
      <c r="O32" s="202"/>
    </row>
    <row r="33" spans="1:15" ht="15.75" customHeight="1">
      <c r="A33" s="40">
        <v>21</v>
      </c>
      <c r="B33" s="44">
        <v>2201180063</v>
      </c>
      <c r="C33" s="45" t="s">
        <v>86</v>
      </c>
      <c r="D33" s="43">
        <v>10</v>
      </c>
      <c r="E33" s="43">
        <v>8</v>
      </c>
      <c r="F33" s="43">
        <v>16</v>
      </c>
      <c r="G33" s="40">
        <v>12</v>
      </c>
      <c r="H33" s="40">
        <v>7</v>
      </c>
      <c r="I33" s="40"/>
      <c r="J33" s="38">
        <f t="shared" si="1"/>
        <v>18</v>
      </c>
      <c r="K33" s="38">
        <f t="shared" si="2"/>
        <v>35</v>
      </c>
      <c r="L33" s="33"/>
      <c r="M33" s="33"/>
      <c r="N33" s="204"/>
      <c r="O33" s="202"/>
    </row>
    <row r="34" spans="1:15" ht="15.75" customHeight="1">
      <c r="A34" s="40">
        <v>22</v>
      </c>
      <c r="B34" s="44">
        <v>2201180064</v>
      </c>
      <c r="C34" s="45" t="s">
        <v>87</v>
      </c>
      <c r="D34" s="43">
        <v>8</v>
      </c>
      <c r="E34" s="43">
        <v>7</v>
      </c>
      <c r="F34" s="43">
        <v>13</v>
      </c>
      <c r="G34" s="40">
        <v>7</v>
      </c>
      <c r="H34" s="40">
        <v>7</v>
      </c>
      <c r="I34" s="40"/>
      <c r="J34" s="38">
        <f t="shared" si="1"/>
        <v>15</v>
      </c>
      <c r="K34" s="38">
        <f t="shared" si="2"/>
        <v>27</v>
      </c>
      <c r="L34" s="33"/>
      <c r="M34" s="33"/>
      <c r="N34" s="204"/>
      <c r="O34" s="202"/>
    </row>
    <row r="35" spans="1:15" ht="15.75" customHeight="1">
      <c r="A35" s="40">
        <v>23</v>
      </c>
      <c r="B35" s="44">
        <v>2201180065</v>
      </c>
      <c r="C35" s="45" t="s">
        <v>88</v>
      </c>
      <c r="D35" s="43">
        <v>10</v>
      </c>
      <c r="E35" s="43">
        <v>8</v>
      </c>
      <c r="F35" s="43">
        <v>17</v>
      </c>
      <c r="G35" s="40">
        <v>11</v>
      </c>
      <c r="H35" s="40">
        <v>8</v>
      </c>
      <c r="I35" s="40"/>
      <c r="J35" s="38">
        <f t="shared" si="1"/>
        <v>18</v>
      </c>
      <c r="K35" s="38">
        <f t="shared" si="2"/>
        <v>36</v>
      </c>
      <c r="L35" s="33"/>
      <c r="M35" s="33"/>
      <c r="N35" s="204"/>
      <c r="O35" s="202"/>
    </row>
    <row r="36" spans="1:15" ht="15.75" customHeight="1">
      <c r="A36" s="40">
        <v>24</v>
      </c>
      <c r="B36" s="44">
        <v>2201180148</v>
      </c>
      <c r="C36" s="45" t="s">
        <v>89</v>
      </c>
      <c r="D36" s="43">
        <v>6</v>
      </c>
      <c r="E36" s="43">
        <v>3</v>
      </c>
      <c r="F36" s="43">
        <v>14</v>
      </c>
      <c r="G36" s="40">
        <v>6</v>
      </c>
      <c r="H36" s="40">
        <v>8</v>
      </c>
      <c r="I36" s="40"/>
      <c r="J36" s="38">
        <f t="shared" si="1"/>
        <v>9</v>
      </c>
      <c r="K36" s="38">
        <f t="shared" si="2"/>
        <v>28</v>
      </c>
      <c r="L36" s="33"/>
      <c r="M36" s="33"/>
      <c r="N36" s="204"/>
      <c r="O36" s="202"/>
    </row>
    <row r="37" spans="1:15" ht="15.75" customHeight="1">
      <c r="A37" s="40">
        <v>25</v>
      </c>
      <c r="B37" s="44">
        <v>2201180227</v>
      </c>
      <c r="C37" s="45" t="s">
        <v>90</v>
      </c>
      <c r="D37" s="43">
        <v>7</v>
      </c>
      <c r="E37" s="43">
        <v>5</v>
      </c>
      <c r="F37" s="43">
        <v>12</v>
      </c>
      <c r="G37" s="40">
        <v>9</v>
      </c>
      <c r="H37" s="40">
        <v>2</v>
      </c>
      <c r="I37" s="40"/>
      <c r="J37" s="38">
        <f t="shared" si="1"/>
        <v>12</v>
      </c>
      <c r="K37" s="38">
        <f t="shared" si="2"/>
        <v>23</v>
      </c>
      <c r="L37" s="33"/>
      <c r="M37" s="33"/>
      <c r="N37" s="204"/>
    </row>
    <row r="38" spans="1:15" ht="15.75" customHeight="1">
      <c r="A38" s="40">
        <v>26</v>
      </c>
      <c r="B38" s="44">
        <v>2201180228</v>
      </c>
      <c r="C38" s="45" t="s">
        <v>91</v>
      </c>
      <c r="D38" s="43">
        <v>9</v>
      </c>
      <c r="E38" s="43">
        <v>6</v>
      </c>
      <c r="F38" s="43">
        <v>16</v>
      </c>
      <c r="G38" s="40">
        <v>9</v>
      </c>
      <c r="H38" s="40">
        <v>8</v>
      </c>
      <c r="I38" s="40"/>
      <c r="J38" s="38">
        <f t="shared" si="1"/>
        <v>15</v>
      </c>
      <c r="K38" s="38">
        <f t="shared" si="2"/>
        <v>33</v>
      </c>
      <c r="L38" s="33"/>
      <c r="M38" s="33"/>
      <c r="N38" s="204"/>
    </row>
    <row r="39" spans="1:15" ht="15.75" customHeight="1">
      <c r="A39" s="40">
        <v>27</v>
      </c>
      <c r="B39" s="44">
        <v>2201180229</v>
      </c>
      <c r="C39" s="45" t="s">
        <v>92</v>
      </c>
      <c r="D39" s="43">
        <v>6</v>
      </c>
      <c r="E39" s="43">
        <v>1</v>
      </c>
      <c r="F39" s="43">
        <v>13</v>
      </c>
      <c r="G39" s="40">
        <v>5</v>
      </c>
      <c r="H39" s="40">
        <v>4</v>
      </c>
      <c r="I39" s="40"/>
      <c r="J39" s="38">
        <f t="shared" si="1"/>
        <v>7</v>
      </c>
      <c r="K39" s="38">
        <f t="shared" si="2"/>
        <v>22</v>
      </c>
      <c r="L39" s="33"/>
      <c r="M39" s="33"/>
      <c r="N39" s="204"/>
    </row>
    <row r="40" spans="1:15" ht="15.75" customHeight="1">
      <c r="A40" s="40">
        <v>28</v>
      </c>
      <c r="B40" s="44">
        <v>2201180230</v>
      </c>
      <c r="C40" s="45" t="s">
        <v>93</v>
      </c>
      <c r="D40" s="43">
        <v>4</v>
      </c>
      <c r="E40" s="43">
        <v>0</v>
      </c>
      <c r="F40" s="43">
        <v>7</v>
      </c>
      <c r="G40" s="40">
        <v>3</v>
      </c>
      <c r="H40" s="40">
        <v>1</v>
      </c>
      <c r="I40" s="40"/>
      <c r="J40" s="38">
        <f t="shared" si="1"/>
        <v>4</v>
      </c>
      <c r="K40" s="38">
        <f t="shared" si="2"/>
        <v>11</v>
      </c>
      <c r="L40" s="33"/>
      <c r="M40" s="33"/>
      <c r="N40" s="204"/>
    </row>
    <row r="41" spans="1:15" ht="15.75" customHeight="1">
      <c r="A41" s="40">
        <v>29</v>
      </c>
      <c r="B41" s="44">
        <v>2201180232</v>
      </c>
      <c r="C41" s="45" t="s">
        <v>94</v>
      </c>
      <c r="D41" s="43">
        <v>8</v>
      </c>
      <c r="E41" s="43">
        <v>4</v>
      </c>
      <c r="F41" s="43">
        <v>17</v>
      </c>
      <c r="G41" s="40">
        <v>12</v>
      </c>
      <c r="H41" s="40">
        <v>8</v>
      </c>
      <c r="I41" s="40"/>
      <c r="J41" s="38">
        <f t="shared" si="1"/>
        <v>12</v>
      </c>
      <c r="K41" s="38">
        <f t="shared" si="2"/>
        <v>37</v>
      </c>
      <c r="L41" s="33"/>
      <c r="M41" s="33"/>
      <c r="N41" s="204"/>
    </row>
    <row r="42" spans="1:15" ht="15.75" customHeight="1">
      <c r="A42" s="40">
        <v>30</v>
      </c>
      <c r="B42" s="44">
        <v>2201180233</v>
      </c>
      <c r="C42" s="45" t="s">
        <v>95</v>
      </c>
      <c r="D42" s="43">
        <v>8</v>
      </c>
      <c r="E42" s="43">
        <v>5</v>
      </c>
      <c r="F42" s="43">
        <v>11</v>
      </c>
      <c r="G42" s="40">
        <v>11</v>
      </c>
      <c r="H42" s="40">
        <v>6</v>
      </c>
      <c r="I42" s="40"/>
      <c r="J42" s="38">
        <f t="shared" si="1"/>
        <v>13</v>
      </c>
      <c r="K42" s="38">
        <f t="shared" si="2"/>
        <v>28</v>
      </c>
      <c r="L42" s="33"/>
      <c r="M42" s="33"/>
      <c r="N42" s="204"/>
    </row>
    <row r="43" spans="1:15" ht="15.75" customHeight="1">
      <c r="A43" s="40">
        <v>31</v>
      </c>
      <c r="B43" s="44">
        <v>2201180234</v>
      </c>
      <c r="C43" s="45" t="s">
        <v>96</v>
      </c>
      <c r="D43" s="43">
        <v>6</v>
      </c>
      <c r="E43" s="43">
        <v>8</v>
      </c>
      <c r="F43" s="43">
        <v>15</v>
      </c>
      <c r="G43" s="40">
        <v>12</v>
      </c>
      <c r="H43" s="40">
        <v>5</v>
      </c>
      <c r="I43" s="40"/>
      <c r="J43" s="38">
        <f t="shared" si="1"/>
        <v>14</v>
      </c>
      <c r="K43" s="38">
        <f t="shared" si="2"/>
        <v>32</v>
      </c>
      <c r="L43" s="33"/>
      <c r="M43" s="33"/>
      <c r="N43" s="204"/>
    </row>
    <row r="44" spans="1:15" ht="15.75" customHeight="1">
      <c r="A44" s="40">
        <v>32</v>
      </c>
      <c r="B44" s="44">
        <v>2201180235</v>
      </c>
      <c r="C44" s="45" t="s">
        <v>97</v>
      </c>
      <c r="D44" s="43">
        <v>9</v>
      </c>
      <c r="E44" s="43">
        <v>4</v>
      </c>
      <c r="F44" s="43">
        <v>17</v>
      </c>
      <c r="G44" s="40">
        <v>8</v>
      </c>
      <c r="H44" s="40">
        <v>8</v>
      </c>
      <c r="I44" s="40"/>
      <c r="J44" s="38">
        <f t="shared" ref="J44:J75" si="3">SUM(D44:E44)</f>
        <v>13</v>
      </c>
      <c r="K44" s="38">
        <f t="shared" si="2"/>
        <v>33</v>
      </c>
      <c r="L44" s="33"/>
      <c r="M44" s="33"/>
      <c r="N44" s="204"/>
    </row>
    <row r="45" spans="1:15" ht="15.75" customHeight="1">
      <c r="A45" s="40">
        <v>33</v>
      </c>
      <c r="B45" s="44">
        <v>2201180237</v>
      </c>
      <c r="C45" s="45" t="s">
        <v>98</v>
      </c>
      <c r="D45" s="43">
        <v>5</v>
      </c>
      <c r="E45" s="43">
        <v>7</v>
      </c>
      <c r="F45" s="43">
        <v>16</v>
      </c>
      <c r="G45" s="40">
        <v>10</v>
      </c>
      <c r="H45" s="40">
        <v>4</v>
      </c>
      <c r="I45" s="40"/>
      <c r="J45" s="38">
        <f t="shared" si="3"/>
        <v>12</v>
      </c>
      <c r="K45" s="38">
        <f t="shared" si="2"/>
        <v>30</v>
      </c>
      <c r="L45" s="33"/>
      <c r="M45" s="33"/>
      <c r="N45" s="204"/>
    </row>
    <row r="46" spans="1:15" ht="15.75" customHeight="1">
      <c r="A46" s="40">
        <v>34</v>
      </c>
      <c r="B46" s="44">
        <v>2201180238</v>
      </c>
      <c r="C46" s="45" t="s">
        <v>99</v>
      </c>
      <c r="D46" s="43">
        <v>0</v>
      </c>
      <c r="E46" s="43">
        <v>2</v>
      </c>
      <c r="F46" s="43">
        <v>3</v>
      </c>
      <c r="G46" s="40">
        <v>1</v>
      </c>
      <c r="H46" s="40">
        <v>0</v>
      </c>
      <c r="I46" s="40"/>
      <c r="J46" s="38">
        <f t="shared" si="3"/>
        <v>2</v>
      </c>
      <c r="K46" s="38">
        <f t="shared" si="2"/>
        <v>4</v>
      </c>
      <c r="L46" s="33"/>
      <c r="M46" s="33"/>
      <c r="N46" s="204"/>
    </row>
    <row r="47" spans="1:15" ht="15.75" customHeight="1">
      <c r="A47" s="40">
        <v>35</v>
      </c>
      <c r="B47" s="44">
        <v>2201180241</v>
      </c>
      <c r="C47" s="45" t="s">
        <v>100</v>
      </c>
      <c r="D47" s="43">
        <v>6</v>
      </c>
      <c r="E47" s="43">
        <v>6</v>
      </c>
      <c r="F47" s="43">
        <v>9</v>
      </c>
      <c r="G47" s="40">
        <v>10</v>
      </c>
      <c r="H47" s="40">
        <v>8</v>
      </c>
      <c r="I47" s="40"/>
      <c r="J47" s="38">
        <f t="shared" si="3"/>
        <v>12</v>
      </c>
      <c r="K47" s="38">
        <f t="shared" si="2"/>
        <v>27</v>
      </c>
      <c r="L47" s="33"/>
      <c r="M47" s="33"/>
      <c r="N47" s="204"/>
    </row>
    <row r="48" spans="1:15" ht="15.75" customHeight="1">
      <c r="A48" s="40">
        <v>36</v>
      </c>
      <c r="B48" s="44">
        <v>2201180242</v>
      </c>
      <c r="C48" s="45" t="s">
        <v>101</v>
      </c>
      <c r="D48" s="43">
        <v>3</v>
      </c>
      <c r="E48" s="43">
        <v>0</v>
      </c>
      <c r="F48" s="43">
        <v>2</v>
      </c>
      <c r="G48" s="40">
        <v>5</v>
      </c>
      <c r="H48" s="40">
        <v>2</v>
      </c>
      <c r="I48" s="40"/>
      <c r="J48" s="38">
        <f t="shared" si="3"/>
        <v>3</v>
      </c>
      <c r="K48" s="38">
        <f t="shared" si="2"/>
        <v>9</v>
      </c>
      <c r="L48" s="33"/>
      <c r="M48" s="33"/>
      <c r="N48" s="204"/>
    </row>
    <row r="49" spans="1:14" ht="15.75" customHeight="1">
      <c r="A49" s="40">
        <v>37</v>
      </c>
      <c r="B49" s="44">
        <v>2201180243</v>
      </c>
      <c r="C49" s="45" t="s">
        <v>102</v>
      </c>
      <c r="D49" s="43">
        <v>6</v>
      </c>
      <c r="E49" s="43">
        <v>8</v>
      </c>
      <c r="F49" s="43">
        <v>14</v>
      </c>
      <c r="G49" s="40">
        <v>11</v>
      </c>
      <c r="H49" s="40">
        <v>7</v>
      </c>
      <c r="I49" s="40"/>
      <c r="J49" s="38">
        <f t="shared" si="3"/>
        <v>14</v>
      </c>
      <c r="K49" s="38">
        <f t="shared" si="2"/>
        <v>32</v>
      </c>
      <c r="L49" s="33"/>
      <c r="M49" s="33"/>
      <c r="N49" s="204"/>
    </row>
    <row r="50" spans="1:14" ht="15.75" customHeight="1">
      <c r="A50" s="40">
        <v>38</v>
      </c>
      <c r="B50" s="44">
        <v>2201180280</v>
      </c>
      <c r="C50" s="45" t="s">
        <v>103</v>
      </c>
      <c r="D50" s="43">
        <v>6</v>
      </c>
      <c r="E50" s="43">
        <v>4</v>
      </c>
      <c r="F50" s="43">
        <v>16</v>
      </c>
      <c r="G50" s="40">
        <v>4</v>
      </c>
      <c r="H50" s="40">
        <v>5</v>
      </c>
      <c r="I50" s="40"/>
      <c r="J50" s="38">
        <f t="shared" si="3"/>
        <v>10</v>
      </c>
      <c r="K50" s="38">
        <f t="shared" si="2"/>
        <v>25</v>
      </c>
      <c r="L50" s="33"/>
      <c r="M50" s="33"/>
      <c r="N50" s="204"/>
    </row>
    <row r="51" spans="1:14" ht="15.75" customHeight="1">
      <c r="A51" s="40">
        <v>39</v>
      </c>
      <c r="B51" s="44">
        <v>2201180282</v>
      </c>
      <c r="C51" s="45" t="s">
        <v>104</v>
      </c>
      <c r="D51" s="43">
        <v>7</v>
      </c>
      <c r="E51" s="43">
        <v>1</v>
      </c>
      <c r="F51" s="43">
        <v>10</v>
      </c>
      <c r="G51" s="40">
        <v>2</v>
      </c>
      <c r="H51" s="40">
        <v>3</v>
      </c>
      <c r="I51" s="40"/>
      <c r="J51" s="38">
        <f t="shared" si="3"/>
        <v>8</v>
      </c>
      <c r="K51" s="38">
        <f t="shared" si="2"/>
        <v>15</v>
      </c>
      <c r="L51" s="33"/>
      <c r="M51" s="33"/>
      <c r="N51" s="204"/>
    </row>
    <row r="52" spans="1:14" ht="15.75" customHeight="1">
      <c r="A52" s="40">
        <v>40</v>
      </c>
      <c r="B52" s="44">
        <v>2201180283</v>
      </c>
      <c r="C52" s="45" t="s">
        <v>105</v>
      </c>
      <c r="D52" s="43">
        <v>6</v>
      </c>
      <c r="E52" s="43">
        <v>8</v>
      </c>
      <c r="F52" s="43">
        <v>14</v>
      </c>
      <c r="G52" s="40">
        <v>9</v>
      </c>
      <c r="H52" s="40">
        <v>8</v>
      </c>
      <c r="I52" s="40"/>
      <c r="J52" s="38">
        <f t="shared" si="3"/>
        <v>14</v>
      </c>
      <c r="K52" s="38">
        <f t="shared" si="2"/>
        <v>31</v>
      </c>
      <c r="L52" s="33"/>
      <c r="M52" s="33"/>
      <c r="N52" s="204"/>
    </row>
    <row r="53" spans="1:14" ht="15.75" customHeight="1">
      <c r="A53" s="40">
        <v>41</v>
      </c>
      <c r="B53" s="44">
        <v>2201180401</v>
      </c>
      <c r="C53" s="45" t="s">
        <v>106</v>
      </c>
      <c r="D53" s="43">
        <v>7</v>
      </c>
      <c r="E53" s="43">
        <v>6</v>
      </c>
      <c r="F53" s="43">
        <v>12</v>
      </c>
      <c r="G53" s="40">
        <v>6</v>
      </c>
      <c r="H53" s="40">
        <v>3</v>
      </c>
      <c r="I53" s="40"/>
      <c r="J53" s="38">
        <f t="shared" si="3"/>
        <v>13</v>
      </c>
      <c r="K53" s="38">
        <f t="shared" si="2"/>
        <v>21</v>
      </c>
      <c r="L53" s="33"/>
      <c r="M53" s="33"/>
      <c r="N53" s="204"/>
    </row>
    <row r="54" spans="1:14" ht="15.75" customHeight="1">
      <c r="A54" s="40">
        <v>42</v>
      </c>
      <c r="B54" s="44">
        <v>2201180404</v>
      </c>
      <c r="C54" s="45" t="s">
        <v>107</v>
      </c>
      <c r="D54" s="43">
        <v>6</v>
      </c>
      <c r="E54" s="43">
        <v>3</v>
      </c>
      <c r="F54" s="43">
        <v>12</v>
      </c>
      <c r="G54" s="40">
        <v>9</v>
      </c>
      <c r="H54" s="40">
        <v>2</v>
      </c>
      <c r="I54" s="40"/>
      <c r="J54" s="38">
        <f t="shared" si="3"/>
        <v>9</v>
      </c>
      <c r="K54" s="38">
        <f t="shared" si="2"/>
        <v>23</v>
      </c>
      <c r="L54" s="33"/>
      <c r="M54" s="33"/>
      <c r="N54" s="204"/>
    </row>
    <row r="55" spans="1:14" ht="15.75" customHeight="1">
      <c r="A55" s="40">
        <v>43</v>
      </c>
      <c r="B55" s="44">
        <v>2201180405</v>
      </c>
      <c r="C55" s="45" t="s">
        <v>108</v>
      </c>
      <c r="D55" s="43">
        <v>2</v>
      </c>
      <c r="E55" s="43">
        <v>1</v>
      </c>
      <c r="F55" s="43">
        <v>3</v>
      </c>
      <c r="G55" s="40">
        <v>2</v>
      </c>
      <c r="H55" s="40">
        <v>1</v>
      </c>
      <c r="I55" s="40"/>
      <c r="J55" s="38">
        <f t="shared" si="3"/>
        <v>3</v>
      </c>
      <c r="K55" s="38">
        <f t="shared" si="2"/>
        <v>6</v>
      </c>
      <c r="L55" s="33"/>
      <c r="M55" s="33"/>
      <c r="N55" s="204"/>
    </row>
    <row r="56" spans="1:14" ht="15.75" customHeight="1">
      <c r="A56" s="40">
        <v>44</v>
      </c>
      <c r="B56" s="44">
        <v>2201180406</v>
      </c>
      <c r="C56" s="45" t="s">
        <v>109</v>
      </c>
      <c r="D56" s="43">
        <v>6</v>
      </c>
      <c r="E56" s="43">
        <v>8</v>
      </c>
      <c r="F56" s="43">
        <v>16</v>
      </c>
      <c r="G56" s="40">
        <v>6</v>
      </c>
      <c r="H56" s="40">
        <v>5</v>
      </c>
      <c r="I56" s="40"/>
      <c r="J56" s="38">
        <f t="shared" si="3"/>
        <v>14</v>
      </c>
      <c r="K56" s="38">
        <f t="shared" si="2"/>
        <v>27</v>
      </c>
      <c r="L56" s="33"/>
      <c r="M56" s="33"/>
      <c r="N56" s="204"/>
    </row>
    <row r="57" spans="1:14" ht="15.75" customHeight="1">
      <c r="A57" s="40">
        <v>45</v>
      </c>
      <c r="B57" s="44">
        <v>2201180407</v>
      </c>
      <c r="C57" s="45" t="s">
        <v>110</v>
      </c>
      <c r="D57" s="43">
        <v>8</v>
      </c>
      <c r="E57" s="43">
        <v>4</v>
      </c>
      <c r="F57" s="43">
        <v>8</v>
      </c>
      <c r="G57" s="40">
        <v>10</v>
      </c>
      <c r="H57" s="40">
        <v>8</v>
      </c>
      <c r="I57" s="40"/>
      <c r="J57" s="38">
        <f t="shared" si="3"/>
        <v>12</v>
      </c>
      <c r="K57" s="38">
        <f t="shared" si="2"/>
        <v>26</v>
      </c>
      <c r="L57" s="33"/>
      <c r="M57" s="33"/>
      <c r="N57" s="204"/>
    </row>
    <row r="58" spans="1:14" ht="15.75" customHeight="1">
      <c r="A58" s="40">
        <v>46</v>
      </c>
      <c r="B58" s="44">
        <v>2201180408</v>
      </c>
      <c r="C58" s="45" t="s">
        <v>111</v>
      </c>
      <c r="D58" s="43">
        <v>10</v>
      </c>
      <c r="E58" s="43">
        <v>8</v>
      </c>
      <c r="F58" s="43">
        <v>17</v>
      </c>
      <c r="G58" s="40">
        <v>12</v>
      </c>
      <c r="H58" s="40">
        <v>8</v>
      </c>
      <c r="I58" s="40"/>
      <c r="J58" s="38">
        <f t="shared" si="3"/>
        <v>18</v>
      </c>
      <c r="K58" s="38">
        <f t="shared" si="2"/>
        <v>37</v>
      </c>
      <c r="L58" s="33"/>
      <c r="M58" s="33"/>
      <c r="N58" s="204"/>
    </row>
    <row r="59" spans="1:14" ht="15.75" customHeight="1">
      <c r="A59" s="40">
        <v>47</v>
      </c>
      <c r="B59" s="44">
        <v>2201180410</v>
      </c>
      <c r="C59" s="45" t="s">
        <v>112</v>
      </c>
      <c r="D59" s="43">
        <v>6</v>
      </c>
      <c r="E59" s="43">
        <v>2</v>
      </c>
      <c r="F59" s="43">
        <v>17</v>
      </c>
      <c r="G59" s="40">
        <v>6</v>
      </c>
      <c r="H59" s="40">
        <v>7</v>
      </c>
      <c r="I59" s="40"/>
      <c r="J59" s="38">
        <f t="shared" si="3"/>
        <v>8</v>
      </c>
      <c r="K59" s="38">
        <f t="shared" si="2"/>
        <v>30</v>
      </c>
      <c r="L59" s="33"/>
      <c r="M59" s="33"/>
      <c r="N59" s="204"/>
    </row>
    <row r="60" spans="1:14" ht="15.75" customHeight="1">
      <c r="A60" s="40">
        <v>48</v>
      </c>
      <c r="B60" s="44">
        <v>2201180411</v>
      </c>
      <c r="C60" s="45" t="s">
        <v>113</v>
      </c>
      <c r="D60" s="43">
        <v>10</v>
      </c>
      <c r="E60" s="43">
        <v>8</v>
      </c>
      <c r="F60" s="43">
        <v>17</v>
      </c>
      <c r="G60" s="40">
        <v>11</v>
      </c>
      <c r="H60" s="40">
        <v>4</v>
      </c>
      <c r="I60" s="40"/>
      <c r="J60" s="38">
        <f t="shared" si="3"/>
        <v>18</v>
      </c>
      <c r="K60" s="38">
        <f t="shared" si="2"/>
        <v>32</v>
      </c>
      <c r="L60" s="33"/>
      <c r="M60" s="33"/>
      <c r="N60" s="204"/>
    </row>
    <row r="61" spans="1:14" ht="15.75" customHeight="1">
      <c r="A61" s="40">
        <v>49</v>
      </c>
      <c r="B61" s="44">
        <v>2201180412</v>
      </c>
      <c r="C61" s="45" t="s">
        <v>114</v>
      </c>
      <c r="D61" s="43">
        <v>5</v>
      </c>
      <c r="E61" s="43">
        <v>3</v>
      </c>
      <c r="F61" s="43">
        <v>5</v>
      </c>
      <c r="G61" s="40">
        <v>8</v>
      </c>
      <c r="H61" s="40">
        <v>2</v>
      </c>
      <c r="I61" s="40"/>
      <c r="J61" s="38">
        <f t="shared" si="3"/>
        <v>8</v>
      </c>
      <c r="K61" s="38">
        <f t="shared" si="2"/>
        <v>15</v>
      </c>
      <c r="L61" s="33"/>
      <c r="M61" s="33"/>
      <c r="N61" s="204"/>
    </row>
    <row r="62" spans="1:14" ht="15.75" customHeight="1">
      <c r="A62" s="40">
        <v>50</v>
      </c>
      <c r="B62" s="44">
        <v>2201180413</v>
      </c>
      <c r="C62" s="45" t="s">
        <v>115</v>
      </c>
      <c r="D62" s="43">
        <v>6</v>
      </c>
      <c r="E62" s="43">
        <v>5</v>
      </c>
      <c r="F62" s="43">
        <v>11</v>
      </c>
      <c r="G62" s="40">
        <v>8</v>
      </c>
      <c r="H62" s="40">
        <v>8</v>
      </c>
      <c r="I62" s="40"/>
      <c r="J62" s="38">
        <f t="shared" si="3"/>
        <v>11</v>
      </c>
      <c r="K62" s="38">
        <f t="shared" si="2"/>
        <v>27</v>
      </c>
      <c r="L62" s="33"/>
      <c r="M62" s="33"/>
      <c r="N62" s="204"/>
    </row>
    <row r="63" spans="1:14" ht="15.75" customHeight="1">
      <c r="A63" s="40">
        <v>51</v>
      </c>
      <c r="B63" s="44">
        <v>2201180414</v>
      </c>
      <c r="C63" s="45" t="s">
        <v>116</v>
      </c>
      <c r="D63" s="43">
        <v>9</v>
      </c>
      <c r="E63" s="43">
        <v>6</v>
      </c>
      <c r="F63" s="43">
        <v>16</v>
      </c>
      <c r="G63" s="40">
        <v>4</v>
      </c>
      <c r="H63" s="40">
        <v>8</v>
      </c>
      <c r="I63" s="40"/>
      <c r="J63" s="38">
        <f t="shared" si="3"/>
        <v>15</v>
      </c>
      <c r="K63" s="38">
        <f t="shared" si="2"/>
        <v>28</v>
      </c>
      <c r="L63" s="33"/>
      <c r="M63" s="33"/>
      <c r="N63" s="204"/>
    </row>
    <row r="64" spans="1:14" ht="15.75" customHeight="1">
      <c r="A64" s="40">
        <v>52</v>
      </c>
      <c r="B64" s="44">
        <v>2201180415</v>
      </c>
      <c r="C64" s="45" t="s">
        <v>117</v>
      </c>
      <c r="D64" s="43">
        <v>9</v>
      </c>
      <c r="E64" s="43">
        <v>2</v>
      </c>
      <c r="F64" s="43">
        <v>8</v>
      </c>
      <c r="G64" s="40">
        <v>6</v>
      </c>
      <c r="H64" s="40">
        <v>4</v>
      </c>
      <c r="I64" s="40"/>
      <c r="J64" s="38">
        <f t="shared" si="3"/>
        <v>11</v>
      </c>
      <c r="K64" s="38">
        <f t="shared" si="2"/>
        <v>18</v>
      </c>
      <c r="L64" s="33"/>
      <c r="M64" s="33"/>
      <c r="N64" s="204"/>
    </row>
    <row r="65" spans="1:14" ht="15.75" customHeight="1">
      <c r="A65" s="40">
        <v>53</v>
      </c>
      <c r="B65" s="44">
        <v>2201180416</v>
      </c>
      <c r="C65" s="45" t="s">
        <v>118</v>
      </c>
      <c r="D65" s="43">
        <v>4</v>
      </c>
      <c r="E65" s="43">
        <v>3</v>
      </c>
      <c r="F65" s="43">
        <v>13</v>
      </c>
      <c r="G65" s="40">
        <v>5</v>
      </c>
      <c r="H65" s="40">
        <v>4</v>
      </c>
      <c r="I65" s="40"/>
      <c r="J65" s="38">
        <f t="shared" si="3"/>
        <v>7</v>
      </c>
      <c r="K65" s="38">
        <f t="shared" si="2"/>
        <v>22</v>
      </c>
      <c r="L65" s="33"/>
      <c r="M65" s="33"/>
      <c r="N65" s="204"/>
    </row>
    <row r="66" spans="1:14" ht="15.75" customHeight="1">
      <c r="A66" s="40">
        <v>54</v>
      </c>
      <c r="B66" s="44">
        <v>2201180417</v>
      </c>
      <c r="C66" s="45" t="s">
        <v>119</v>
      </c>
      <c r="D66" s="43">
        <v>10</v>
      </c>
      <c r="E66" s="43">
        <v>4</v>
      </c>
      <c r="F66" s="43">
        <v>16</v>
      </c>
      <c r="G66" s="40">
        <v>12</v>
      </c>
      <c r="H66" s="40">
        <v>8</v>
      </c>
      <c r="I66" s="40"/>
      <c r="J66" s="38">
        <f t="shared" si="3"/>
        <v>14</v>
      </c>
      <c r="K66" s="38">
        <f t="shared" si="2"/>
        <v>36</v>
      </c>
      <c r="L66" s="33"/>
      <c r="M66" s="33"/>
      <c r="N66" s="204"/>
    </row>
    <row r="67" spans="1:14" ht="15.75" customHeight="1">
      <c r="A67" s="40">
        <v>55</v>
      </c>
      <c r="B67" s="44">
        <v>2201180418</v>
      </c>
      <c r="C67" s="45" t="s">
        <v>120</v>
      </c>
      <c r="D67" s="43">
        <v>8</v>
      </c>
      <c r="E67" s="43">
        <v>4</v>
      </c>
      <c r="F67" s="43">
        <v>15</v>
      </c>
      <c r="G67" s="40">
        <v>8</v>
      </c>
      <c r="H67" s="40">
        <v>4</v>
      </c>
      <c r="I67" s="40"/>
      <c r="J67" s="38">
        <f t="shared" si="3"/>
        <v>12</v>
      </c>
      <c r="K67" s="38">
        <f t="shared" si="2"/>
        <v>27</v>
      </c>
      <c r="L67" s="33"/>
      <c r="M67" s="33"/>
      <c r="N67" s="204"/>
    </row>
    <row r="68" spans="1:14" ht="15.75" customHeight="1">
      <c r="A68" s="40">
        <v>56</v>
      </c>
      <c r="B68" s="44">
        <v>2201180419</v>
      </c>
      <c r="C68" s="45" t="s">
        <v>121</v>
      </c>
      <c r="D68" s="43">
        <v>6</v>
      </c>
      <c r="E68" s="43">
        <v>7</v>
      </c>
      <c r="F68" s="43">
        <v>15</v>
      </c>
      <c r="G68" s="40">
        <v>8</v>
      </c>
      <c r="H68" s="40">
        <v>7</v>
      </c>
      <c r="I68" s="40"/>
      <c r="J68" s="38">
        <f t="shared" si="3"/>
        <v>13</v>
      </c>
      <c r="K68" s="38">
        <f t="shared" si="2"/>
        <v>30</v>
      </c>
      <c r="L68" s="33"/>
      <c r="M68" s="33"/>
      <c r="N68" s="204"/>
    </row>
    <row r="69" spans="1:14" ht="15.75" customHeight="1">
      <c r="A69" s="40">
        <v>57</v>
      </c>
      <c r="B69" s="44">
        <v>23510250259</v>
      </c>
      <c r="C69" s="45" t="s">
        <v>122</v>
      </c>
      <c r="D69" s="40">
        <v>2</v>
      </c>
      <c r="E69" s="40">
        <v>3</v>
      </c>
      <c r="F69" s="40">
        <v>8</v>
      </c>
      <c r="G69" s="40">
        <v>0</v>
      </c>
      <c r="H69" s="40">
        <v>0</v>
      </c>
      <c r="I69" s="40"/>
      <c r="J69" s="38">
        <f t="shared" si="3"/>
        <v>5</v>
      </c>
      <c r="K69" s="38">
        <f t="shared" si="2"/>
        <v>8</v>
      </c>
      <c r="L69" s="33"/>
      <c r="M69" s="33"/>
      <c r="N69" s="204"/>
    </row>
    <row r="70" spans="1:14" ht="15.75" customHeight="1">
      <c r="A70" s="40">
        <v>58</v>
      </c>
      <c r="B70" s="44">
        <v>23510250260</v>
      </c>
      <c r="C70" s="45" t="s">
        <v>123</v>
      </c>
      <c r="D70" s="40">
        <v>0</v>
      </c>
      <c r="E70" s="40">
        <v>0</v>
      </c>
      <c r="F70" s="40">
        <v>0</v>
      </c>
      <c r="G70" s="40">
        <v>0</v>
      </c>
      <c r="H70" s="40">
        <v>0</v>
      </c>
      <c r="I70" s="40"/>
      <c r="J70" s="38">
        <f t="shared" si="3"/>
        <v>0</v>
      </c>
      <c r="K70" s="38">
        <f t="shared" si="2"/>
        <v>0</v>
      </c>
      <c r="L70" s="33"/>
      <c r="M70" s="33"/>
      <c r="N70" s="204"/>
    </row>
    <row r="71" spans="1:14" ht="15.75" customHeight="1">
      <c r="A71" s="40">
        <v>59</v>
      </c>
      <c r="B71" s="44">
        <v>23510250261</v>
      </c>
      <c r="C71" s="45" t="s">
        <v>124</v>
      </c>
      <c r="D71" s="40">
        <v>6</v>
      </c>
      <c r="E71" s="40">
        <v>3</v>
      </c>
      <c r="F71" s="40">
        <v>10</v>
      </c>
      <c r="G71" s="40">
        <v>9</v>
      </c>
      <c r="H71" s="40">
        <v>3</v>
      </c>
      <c r="I71" s="40"/>
      <c r="J71" s="38">
        <f t="shared" si="3"/>
        <v>9</v>
      </c>
      <c r="K71" s="38">
        <f t="shared" si="2"/>
        <v>22</v>
      </c>
      <c r="L71" s="33"/>
      <c r="M71" s="33"/>
      <c r="N71" s="204"/>
    </row>
    <row r="72" spans="1:14" ht="15.75" customHeight="1">
      <c r="A72" s="40">
        <v>60</v>
      </c>
      <c r="B72" s="44">
        <v>23510250262</v>
      </c>
      <c r="C72" s="45" t="s">
        <v>125</v>
      </c>
      <c r="D72" s="40">
        <v>3</v>
      </c>
      <c r="E72" s="40">
        <v>0</v>
      </c>
      <c r="F72" s="40">
        <v>11</v>
      </c>
      <c r="G72" s="40">
        <v>4</v>
      </c>
      <c r="H72" s="40">
        <v>6</v>
      </c>
      <c r="I72" s="40"/>
      <c r="J72" s="38">
        <f t="shared" si="3"/>
        <v>3</v>
      </c>
      <c r="K72" s="38">
        <f t="shared" si="2"/>
        <v>21</v>
      </c>
      <c r="L72" s="33"/>
      <c r="M72" s="33"/>
      <c r="N72" s="204"/>
    </row>
    <row r="73" spans="1:14" ht="15.75" customHeight="1">
      <c r="A73" s="40">
        <v>61</v>
      </c>
      <c r="B73" s="44">
        <v>23510250263</v>
      </c>
      <c r="C73" s="45" t="s">
        <v>126</v>
      </c>
      <c r="D73" s="40">
        <v>4</v>
      </c>
      <c r="E73" s="40">
        <v>3</v>
      </c>
      <c r="F73" s="40">
        <v>4</v>
      </c>
      <c r="G73" s="40">
        <v>3</v>
      </c>
      <c r="H73" s="40">
        <v>6</v>
      </c>
      <c r="I73" s="40"/>
      <c r="J73" s="38">
        <f t="shared" si="3"/>
        <v>7</v>
      </c>
      <c r="K73" s="38">
        <f t="shared" si="2"/>
        <v>13</v>
      </c>
      <c r="L73" s="33"/>
      <c r="M73" s="33"/>
      <c r="N73" s="204"/>
    </row>
    <row r="74" spans="1:14" ht="15.75" customHeight="1">
      <c r="A74" s="40">
        <v>62</v>
      </c>
      <c r="B74" s="44">
        <v>23510250264</v>
      </c>
      <c r="C74" s="45" t="s">
        <v>127</v>
      </c>
      <c r="D74" s="40">
        <v>0</v>
      </c>
      <c r="E74" s="40">
        <v>0</v>
      </c>
      <c r="F74" s="40">
        <v>0</v>
      </c>
      <c r="G74" s="40">
        <v>0</v>
      </c>
      <c r="H74" s="40">
        <v>0</v>
      </c>
      <c r="I74" s="40"/>
      <c r="J74" s="38">
        <f t="shared" si="3"/>
        <v>0</v>
      </c>
      <c r="K74" s="38">
        <f t="shared" si="2"/>
        <v>0</v>
      </c>
      <c r="L74" s="33"/>
      <c r="M74" s="33"/>
      <c r="N74" s="204"/>
    </row>
    <row r="75" spans="1:14" ht="15.75" customHeight="1">
      <c r="A75" s="40">
        <v>63</v>
      </c>
      <c r="B75" s="44"/>
      <c r="C75" s="45"/>
      <c r="D75" s="40"/>
      <c r="E75" s="40"/>
      <c r="F75" s="40">
        <v>0</v>
      </c>
      <c r="G75" s="40"/>
      <c r="H75" s="40"/>
      <c r="I75" s="40"/>
      <c r="J75" s="38">
        <f t="shared" si="3"/>
        <v>0</v>
      </c>
      <c r="K75" s="38">
        <f t="shared" si="2"/>
        <v>0</v>
      </c>
      <c r="L75" s="33"/>
      <c r="M75" s="33"/>
      <c r="N75" s="204"/>
    </row>
    <row r="76" spans="1:14" ht="15.75" customHeight="1">
      <c r="A76" s="40">
        <v>64</v>
      </c>
      <c r="B76" s="44"/>
      <c r="C76" s="45"/>
      <c r="D76" s="40"/>
      <c r="E76" s="40"/>
      <c r="F76" s="40">
        <v>0</v>
      </c>
      <c r="G76" s="40"/>
      <c r="H76" s="40"/>
      <c r="I76" s="40"/>
      <c r="J76" s="38">
        <f t="shared" ref="J76:J94" si="4">SUM(D76:E76)</f>
        <v>0</v>
      </c>
      <c r="K76" s="38">
        <f t="shared" si="2"/>
        <v>0</v>
      </c>
      <c r="L76" s="33"/>
      <c r="M76" s="33"/>
      <c r="N76" s="204"/>
    </row>
    <row r="77" spans="1:14" ht="15.75" customHeight="1">
      <c r="A77" s="40">
        <v>65</v>
      </c>
      <c r="B77" s="44"/>
      <c r="C77" s="45"/>
      <c r="D77" s="47"/>
      <c r="E77" s="47"/>
      <c r="F77" s="47">
        <v>0</v>
      </c>
      <c r="G77" s="47"/>
      <c r="H77" s="47"/>
      <c r="I77" s="40"/>
      <c r="J77" s="38">
        <f t="shared" si="4"/>
        <v>0</v>
      </c>
      <c r="K77" s="38">
        <f t="shared" ref="K77:K94" si="5">SUM(F77:H77)</f>
        <v>0</v>
      </c>
      <c r="L77" s="33"/>
      <c r="M77" s="33"/>
      <c r="N77" s="204"/>
    </row>
    <row r="78" spans="1:14" ht="15.75" customHeight="1">
      <c r="A78" s="40">
        <v>66</v>
      </c>
      <c r="B78" s="44"/>
      <c r="C78" s="45"/>
      <c r="D78" s="47"/>
      <c r="E78" s="47"/>
      <c r="F78" s="47">
        <v>0</v>
      </c>
      <c r="G78" s="47"/>
      <c r="H78" s="47"/>
      <c r="I78" s="40"/>
      <c r="J78" s="38">
        <f t="shared" si="4"/>
        <v>0</v>
      </c>
      <c r="K78" s="38">
        <f t="shared" si="5"/>
        <v>0</v>
      </c>
      <c r="L78" s="33"/>
      <c r="M78" s="33"/>
      <c r="N78" s="204"/>
    </row>
    <row r="79" spans="1:14" ht="15.75" customHeight="1">
      <c r="A79" s="40">
        <v>67</v>
      </c>
      <c r="B79" s="44"/>
      <c r="C79" s="45"/>
      <c r="D79" s="40"/>
      <c r="E79" s="40"/>
      <c r="F79" s="40">
        <v>0</v>
      </c>
      <c r="G79" s="40"/>
      <c r="H79" s="40"/>
      <c r="I79" s="40"/>
      <c r="J79" s="38">
        <f t="shared" si="4"/>
        <v>0</v>
      </c>
      <c r="K79" s="38">
        <f t="shared" si="5"/>
        <v>0</v>
      </c>
      <c r="L79" s="33"/>
      <c r="M79" s="33"/>
      <c r="N79" s="204"/>
    </row>
    <row r="80" spans="1:14" ht="15.75" customHeight="1">
      <c r="A80" s="40">
        <v>68</v>
      </c>
      <c r="B80" s="44"/>
      <c r="C80" s="45"/>
      <c r="D80" s="40"/>
      <c r="E80" s="40"/>
      <c r="F80" s="40">
        <v>0</v>
      </c>
      <c r="G80" s="40"/>
      <c r="H80" s="40"/>
      <c r="I80" s="40"/>
      <c r="J80" s="38">
        <f t="shared" si="4"/>
        <v>0</v>
      </c>
      <c r="K80" s="38">
        <f t="shared" si="5"/>
        <v>0</v>
      </c>
      <c r="L80" s="33"/>
      <c r="M80" s="33"/>
      <c r="N80" s="204"/>
    </row>
    <row r="81" spans="1:15" ht="15.75" customHeight="1">
      <c r="A81" s="40">
        <v>69</v>
      </c>
      <c r="B81" s="44"/>
      <c r="C81" s="45"/>
      <c r="D81" s="40"/>
      <c r="E81" s="40"/>
      <c r="F81" s="40">
        <v>0</v>
      </c>
      <c r="G81" s="40"/>
      <c r="H81" s="40"/>
      <c r="I81" s="40"/>
      <c r="J81" s="38">
        <f t="shared" si="4"/>
        <v>0</v>
      </c>
      <c r="K81" s="38">
        <f t="shared" si="5"/>
        <v>0</v>
      </c>
      <c r="L81" s="33"/>
      <c r="M81" s="33"/>
      <c r="N81" s="204"/>
    </row>
    <row r="82" spans="1:15" ht="15.75" customHeight="1">
      <c r="A82" s="40">
        <v>70</v>
      </c>
      <c r="B82" s="46"/>
      <c r="C82" s="46"/>
      <c r="D82" s="40"/>
      <c r="E82" s="40"/>
      <c r="F82" s="40">
        <v>0</v>
      </c>
      <c r="G82" s="40"/>
      <c r="H82" s="40"/>
      <c r="I82" s="40"/>
      <c r="J82" s="38">
        <f t="shared" si="4"/>
        <v>0</v>
      </c>
      <c r="K82" s="38">
        <f t="shared" si="5"/>
        <v>0</v>
      </c>
      <c r="L82" s="33"/>
      <c r="M82" s="33"/>
      <c r="N82" s="204"/>
    </row>
    <row r="83" spans="1:15" ht="15.75" customHeight="1">
      <c r="A83" s="40">
        <v>71</v>
      </c>
      <c r="B83" s="46"/>
      <c r="C83" s="46"/>
      <c r="D83" s="40"/>
      <c r="E83" s="40"/>
      <c r="F83" s="40"/>
      <c r="G83" s="40"/>
      <c r="H83" s="40"/>
      <c r="I83" s="40"/>
      <c r="J83" s="38">
        <f t="shared" si="4"/>
        <v>0</v>
      </c>
      <c r="K83" s="38">
        <f t="shared" si="5"/>
        <v>0</v>
      </c>
      <c r="L83" s="33"/>
      <c r="M83" s="33"/>
      <c r="N83" s="202"/>
      <c r="O83" s="202"/>
    </row>
    <row r="84" spans="1:15" ht="15.75" customHeight="1">
      <c r="A84" s="40">
        <v>72</v>
      </c>
      <c r="B84" s="46"/>
      <c r="C84" s="46"/>
      <c r="D84" s="40"/>
      <c r="E84" s="40"/>
      <c r="F84" s="40"/>
      <c r="G84" s="40"/>
      <c r="H84" s="40"/>
      <c r="I84" s="40"/>
      <c r="J84" s="38">
        <f t="shared" si="4"/>
        <v>0</v>
      </c>
      <c r="K84" s="38">
        <f t="shared" si="5"/>
        <v>0</v>
      </c>
      <c r="L84" s="33"/>
      <c r="M84" s="33"/>
      <c r="N84" s="203"/>
    </row>
    <row r="85" spans="1:15" ht="15.75" customHeight="1">
      <c r="A85" s="40">
        <v>73</v>
      </c>
      <c r="B85" s="46"/>
      <c r="C85" s="46"/>
      <c r="D85" s="40"/>
      <c r="E85" s="40"/>
      <c r="F85" s="40"/>
      <c r="G85" s="40"/>
      <c r="H85" s="40"/>
      <c r="I85" s="40"/>
      <c r="J85" s="38">
        <f t="shared" si="4"/>
        <v>0</v>
      </c>
      <c r="K85" s="38">
        <f t="shared" si="5"/>
        <v>0</v>
      </c>
      <c r="L85" s="33"/>
      <c r="M85" s="33"/>
      <c r="N85" s="203"/>
    </row>
    <row r="86" spans="1:15" ht="15.75" customHeight="1">
      <c r="A86" s="40">
        <v>74</v>
      </c>
      <c r="B86" s="46"/>
      <c r="C86" s="46"/>
      <c r="D86" s="40"/>
      <c r="E86" s="40"/>
      <c r="F86" s="40"/>
      <c r="G86" s="40"/>
      <c r="H86" s="40"/>
      <c r="I86" s="40"/>
      <c r="J86" s="38">
        <f t="shared" si="4"/>
        <v>0</v>
      </c>
      <c r="K86" s="38">
        <f t="shared" si="5"/>
        <v>0</v>
      </c>
      <c r="L86" s="33"/>
      <c r="M86" s="33"/>
      <c r="N86" s="202"/>
      <c r="O86" s="202"/>
    </row>
    <row r="87" spans="1:15" ht="15.75" customHeight="1">
      <c r="A87" s="40">
        <v>75</v>
      </c>
      <c r="B87" s="46"/>
      <c r="C87" s="46"/>
      <c r="D87" s="40"/>
      <c r="E87" s="40"/>
      <c r="F87" s="40"/>
      <c r="G87" s="40"/>
      <c r="H87" s="40"/>
      <c r="I87" s="40"/>
      <c r="J87" s="38">
        <f t="shared" si="4"/>
        <v>0</v>
      </c>
      <c r="K87" s="38">
        <f t="shared" si="5"/>
        <v>0</v>
      </c>
      <c r="L87" s="33"/>
      <c r="M87" s="33"/>
      <c r="N87" s="202"/>
      <c r="O87" s="202"/>
    </row>
    <row r="88" spans="1:15" ht="15.75" customHeight="1">
      <c r="A88" s="40">
        <v>76</v>
      </c>
      <c r="B88" s="46"/>
      <c r="C88" s="46"/>
      <c r="D88" s="40"/>
      <c r="E88" s="40"/>
      <c r="F88" s="40"/>
      <c r="G88" s="40"/>
      <c r="H88" s="40"/>
      <c r="I88" s="40"/>
      <c r="J88" s="38">
        <f t="shared" si="4"/>
        <v>0</v>
      </c>
      <c r="K88" s="38">
        <f t="shared" si="5"/>
        <v>0</v>
      </c>
      <c r="L88" s="33"/>
      <c r="M88" s="33"/>
      <c r="N88" s="202"/>
      <c r="O88" s="202"/>
    </row>
    <row r="89" spans="1:15" ht="15.75" customHeight="1">
      <c r="A89" s="40">
        <v>77</v>
      </c>
      <c r="B89" s="46"/>
      <c r="C89" s="46"/>
      <c r="D89" s="40"/>
      <c r="E89" s="40"/>
      <c r="F89" s="40"/>
      <c r="G89" s="40"/>
      <c r="H89" s="40"/>
      <c r="I89" s="40"/>
      <c r="J89" s="38">
        <f t="shared" si="4"/>
        <v>0</v>
      </c>
      <c r="K89" s="38">
        <f t="shared" si="5"/>
        <v>0</v>
      </c>
      <c r="L89" s="33"/>
      <c r="M89" s="33"/>
      <c r="N89" s="203"/>
    </row>
    <row r="90" spans="1:15" ht="15.75" customHeight="1">
      <c r="A90" s="40">
        <v>78</v>
      </c>
      <c r="B90" s="46"/>
      <c r="C90" s="46"/>
      <c r="D90" s="40"/>
      <c r="E90" s="40"/>
      <c r="F90" s="40"/>
      <c r="G90" s="40"/>
      <c r="H90" s="40"/>
      <c r="I90" s="40"/>
      <c r="J90" s="38">
        <f t="shared" si="4"/>
        <v>0</v>
      </c>
      <c r="K90" s="38">
        <f t="shared" si="5"/>
        <v>0</v>
      </c>
      <c r="L90" s="33"/>
      <c r="M90" s="33"/>
      <c r="N90" s="203"/>
    </row>
    <row r="91" spans="1:15" ht="15.75" customHeight="1">
      <c r="A91" s="40">
        <v>79</v>
      </c>
      <c r="B91" s="46"/>
      <c r="C91" s="46"/>
      <c r="D91" s="40"/>
      <c r="E91" s="40"/>
      <c r="F91" s="40"/>
      <c r="G91" s="40"/>
      <c r="H91" s="40"/>
      <c r="I91" s="40"/>
      <c r="J91" s="38">
        <f t="shared" si="4"/>
        <v>0</v>
      </c>
      <c r="K91" s="38">
        <f t="shared" si="5"/>
        <v>0</v>
      </c>
      <c r="L91" s="33"/>
      <c r="M91" s="33"/>
      <c r="N91" s="203"/>
    </row>
    <row r="92" spans="1:15" ht="15.75" customHeight="1">
      <c r="A92" s="40">
        <v>80</v>
      </c>
      <c r="B92" s="46"/>
      <c r="C92" s="46"/>
      <c r="D92" s="40"/>
      <c r="E92" s="40"/>
      <c r="F92" s="40"/>
      <c r="G92" s="40"/>
      <c r="H92" s="40"/>
      <c r="I92" s="40"/>
      <c r="J92" s="38">
        <f t="shared" si="4"/>
        <v>0</v>
      </c>
      <c r="K92" s="38">
        <f t="shared" si="5"/>
        <v>0</v>
      </c>
      <c r="L92" s="33"/>
      <c r="M92" s="33"/>
      <c r="N92" s="203"/>
    </row>
    <row r="93" spans="1:15" ht="15.75" customHeight="1">
      <c r="A93" s="40">
        <v>81</v>
      </c>
      <c r="B93" s="46"/>
      <c r="C93" s="46"/>
      <c r="D93" s="40"/>
      <c r="E93" s="40"/>
      <c r="F93" s="40"/>
      <c r="G93" s="40"/>
      <c r="H93" s="40"/>
      <c r="I93" s="40"/>
      <c r="J93" s="38">
        <f t="shared" si="4"/>
        <v>0</v>
      </c>
      <c r="K93" s="38">
        <f t="shared" si="5"/>
        <v>0</v>
      </c>
      <c r="L93" s="33"/>
      <c r="M93" s="33"/>
      <c r="N93" s="203"/>
    </row>
    <row r="94" spans="1:15" ht="15.75" customHeight="1">
      <c r="A94" s="40">
        <v>82</v>
      </c>
      <c r="B94" s="46"/>
      <c r="C94" s="46"/>
      <c r="D94" s="40"/>
      <c r="E94" s="40"/>
      <c r="F94" s="40"/>
      <c r="G94" s="40"/>
      <c r="H94" s="40"/>
      <c r="I94" s="40"/>
      <c r="J94" s="38">
        <f t="shared" si="4"/>
        <v>0</v>
      </c>
      <c r="K94" s="38">
        <f t="shared" si="5"/>
        <v>0</v>
      </c>
      <c r="L94" s="33"/>
      <c r="M94" s="33"/>
      <c r="N94" s="203"/>
    </row>
    <row r="95" spans="1:15" ht="60.75" customHeight="1">
      <c r="A95" s="280" t="s">
        <v>128</v>
      </c>
      <c r="B95" s="217"/>
      <c r="C95" s="49">
        <v>0.4</v>
      </c>
      <c r="D95" s="242">
        <f t="shared" ref="D95:I95" si="6">$C$95*D12</f>
        <v>4</v>
      </c>
      <c r="E95" s="242">
        <f t="shared" si="6"/>
        <v>3.2</v>
      </c>
      <c r="F95" s="242">
        <f t="shared" si="6"/>
        <v>7.2</v>
      </c>
      <c r="G95" s="242">
        <f t="shared" si="6"/>
        <v>4.8000000000000007</v>
      </c>
      <c r="H95" s="242">
        <f t="shared" si="6"/>
        <v>3.2</v>
      </c>
      <c r="I95" s="242">
        <f t="shared" si="6"/>
        <v>0</v>
      </c>
      <c r="J95" s="243"/>
      <c r="K95" s="243"/>
      <c r="L95" s="33"/>
      <c r="M95" s="33"/>
      <c r="N95" s="203"/>
    </row>
    <row r="96" spans="1:15" ht="15.75" customHeight="1" thickBot="1">
      <c r="A96" s="281" t="s">
        <v>129</v>
      </c>
      <c r="B96" s="217"/>
      <c r="C96" s="228"/>
      <c r="D96" s="239"/>
      <c r="E96" s="239"/>
      <c r="F96" s="239"/>
      <c r="G96" s="239"/>
      <c r="H96" s="239"/>
      <c r="I96" s="239"/>
      <c r="J96" s="239"/>
      <c r="K96" s="239"/>
      <c r="L96" s="33"/>
      <c r="M96" s="33"/>
      <c r="N96" s="203"/>
    </row>
    <row r="97" spans="1:14" ht="15.75" customHeight="1">
      <c r="A97" s="217"/>
      <c r="B97" s="217"/>
      <c r="C97" s="228"/>
      <c r="D97" s="245">
        <f t="shared" ref="D97:I97" si="7">COUNTIF(D13:D94,"&gt;=" &amp;D95)</f>
        <v>54</v>
      </c>
      <c r="E97" s="245">
        <f t="shared" si="7"/>
        <v>39</v>
      </c>
      <c r="F97" s="245">
        <f t="shared" si="7"/>
        <v>51</v>
      </c>
      <c r="G97" s="245">
        <f t="shared" si="7"/>
        <v>49</v>
      </c>
      <c r="H97" s="245">
        <f t="shared" si="7"/>
        <v>47</v>
      </c>
      <c r="I97" s="245">
        <f t="shared" si="7"/>
        <v>0</v>
      </c>
      <c r="J97" s="244"/>
      <c r="K97" s="244"/>
      <c r="L97" s="33"/>
      <c r="M97" s="33"/>
      <c r="N97" s="203"/>
    </row>
    <row r="98" spans="1:14" ht="15.75" customHeight="1" thickBot="1">
      <c r="A98" s="33"/>
      <c r="B98" s="33"/>
      <c r="C98" s="33"/>
      <c r="D98" s="239"/>
      <c r="E98" s="239"/>
      <c r="F98" s="239"/>
      <c r="G98" s="239"/>
      <c r="H98" s="239"/>
      <c r="I98" s="239"/>
      <c r="J98" s="239"/>
      <c r="K98" s="239"/>
      <c r="L98" s="33"/>
      <c r="M98" s="33"/>
      <c r="N98" s="203"/>
    </row>
    <row r="99" spans="1:14" ht="15.75" customHeight="1">
      <c r="A99" s="33"/>
      <c r="B99" s="33"/>
      <c r="C99" s="33"/>
      <c r="D99" s="33"/>
      <c r="E99" s="33"/>
      <c r="F99" s="33"/>
      <c r="G99" s="33"/>
      <c r="H99" s="33"/>
      <c r="I99" s="33"/>
      <c r="J99" s="33"/>
      <c r="K99" s="33"/>
      <c r="L99" s="33"/>
      <c r="M99" s="33"/>
      <c r="N99" s="203"/>
    </row>
    <row r="100" spans="1:14" ht="15.75" customHeight="1">
      <c r="A100" s="33"/>
      <c r="B100" s="33"/>
      <c r="C100" s="33"/>
      <c r="D100" s="33"/>
      <c r="E100" s="33"/>
      <c r="F100" s="33"/>
      <c r="G100" s="33"/>
      <c r="H100" s="33"/>
      <c r="I100" s="33"/>
      <c r="J100" s="33"/>
      <c r="K100" s="33"/>
      <c r="L100" s="33"/>
      <c r="M100" s="33"/>
      <c r="N100" s="203"/>
    </row>
    <row r="101" spans="1:14" ht="15.75" customHeight="1" thickBot="1">
      <c r="A101" s="33"/>
      <c r="B101" s="33"/>
      <c r="C101" s="33"/>
      <c r="D101" s="33"/>
      <c r="E101" s="33"/>
      <c r="F101" s="33"/>
      <c r="G101" s="33"/>
      <c r="H101" s="33"/>
      <c r="I101" s="33"/>
      <c r="J101" s="33"/>
      <c r="K101" s="33"/>
      <c r="L101" s="33"/>
      <c r="M101" s="33"/>
      <c r="N101" s="203"/>
    </row>
    <row r="102" spans="1:14" ht="43.5" customHeight="1" thickBot="1">
      <c r="A102" s="33"/>
      <c r="B102" s="266" t="s">
        <v>130</v>
      </c>
      <c r="C102" s="223"/>
      <c r="D102" s="223"/>
      <c r="E102" s="224"/>
      <c r="F102" s="267" t="s">
        <v>131</v>
      </c>
      <c r="G102" s="224"/>
      <c r="H102" s="50"/>
      <c r="I102" s="268" t="s">
        <v>132</v>
      </c>
      <c r="J102" s="224"/>
      <c r="K102" s="33"/>
      <c r="L102" s="33"/>
      <c r="M102" s="33"/>
      <c r="N102" s="203"/>
    </row>
    <row r="103" spans="1:14" ht="15" customHeight="1" thickBot="1">
      <c r="A103" s="33"/>
      <c r="B103" s="269" t="s">
        <v>133</v>
      </c>
      <c r="C103" s="262" t="s">
        <v>134</v>
      </c>
      <c r="D103" s="223"/>
      <c r="E103" s="51">
        <v>50</v>
      </c>
      <c r="F103" s="272">
        <v>62</v>
      </c>
      <c r="G103" s="226"/>
      <c r="H103" s="52">
        <f>E103*F103/100</f>
        <v>31</v>
      </c>
      <c r="I103" s="273">
        <v>1</v>
      </c>
      <c r="J103" s="274"/>
      <c r="K103" s="33"/>
      <c r="L103" s="33"/>
      <c r="M103" s="33"/>
      <c r="N103" s="203"/>
    </row>
    <row r="104" spans="1:14" ht="15.75" customHeight="1" thickBot="1">
      <c r="A104" s="33"/>
      <c r="B104" s="270"/>
      <c r="C104" s="262" t="s">
        <v>134</v>
      </c>
      <c r="D104" s="223"/>
      <c r="E104" s="51">
        <v>60</v>
      </c>
      <c r="F104" s="227"/>
      <c r="G104" s="228"/>
      <c r="H104" s="53">
        <f>E104*F103/100</f>
        <v>37.200000000000003</v>
      </c>
      <c r="I104" s="275">
        <v>2</v>
      </c>
      <c r="J104" s="276"/>
      <c r="K104" s="33"/>
      <c r="L104" s="33"/>
      <c r="M104" s="33"/>
      <c r="N104" s="203"/>
    </row>
    <row r="105" spans="1:14" ht="15.75" customHeight="1" thickBot="1">
      <c r="A105" s="33"/>
      <c r="B105" s="271"/>
      <c r="C105" s="262" t="s">
        <v>134</v>
      </c>
      <c r="D105" s="223"/>
      <c r="E105" s="54">
        <v>70</v>
      </c>
      <c r="F105" s="229"/>
      <c r="G105" s="230"/>
      <c r="H105" s="55">
        <f>E105*F103/100</f>
        <v>43.4</v>
      </c>
      <c r="I105" s="263">
        <v>3</v>
      </c>
      <c r="J105" s="264"/>
      <c r="K105" s="33"/>
      <c r="L105" s="33"/>
      <c r="M105" s="33"/>
      <c r="N105" s="203"/>
    </row>
    <row r="106" spans="1:14" ht="15.75" customHeight="1">
      <c r="A106" s="33"/>
      <c r="B106" s="56"/>
      <c r="C106" s="56"/>
      <c r="D106" s="56"/>
      <c r="E106" s="56"/>
      <c r="F106" s="56"/>
      <c r="G106" s="56"/>
      <c r="H106" s="265"/>
      <c r="I106" s="219"/>
      <c r="J106" s="219"/>
      <c r="K106" s="33"/>
      <c r="L106" s="33"/>
      <c r="M106" s="33"/>
      <c r="N106" s="203"/>
    </row>
    <row r="107" spans="1:14" ht="15.75" customHeight="1" thickBot="1">
      <c r="A107" s="33"/>
      <c r="B107" s="56"/>
      <c r="C107" s="56"/>
      <c r="D107" s="56"/>
      <c r="E107" s="56"/>
      <c r="F107" s="56"/>
      <c r="G107" s="56"/>
      <c r="H107" s="265"/>
      <c r="I107" s="219"/>
      <c r="J107" s="219"/>
      <c r="K107" s="33"/>
      <c r="L107" s="33"/>
      <c r="M107" s="33"/>
      <c r="N107" s="203"/>
    </row>
    <row r="108" spans="1:14" ht="24" customHeight="1">
      <c r="A108" s="33"/>
      <c r="B108" s="56"/>
      <c r="C108" s="57" t="s">
        <v>135</v>
      </c>
      <c r="D108" s="58" t="s">
        <v>9</v>
      </c>
      <c r="E108" s="58" t="s">
        <v>11</v>
      </c>
      <c r="F108" s="58" t="s">
        <v>13</v>
      </c>
      <c r="G108" s="58" t="s">
        <v>15</v>
      </c>
      <c r="H108" s="58" t="s">
        <v>136</v>
      </c>
      <c r="I108" s="59" t="s">
        <v>137</v>
      </c>
      <c r="J108" s="56"/>
      <c r="K108" s="33"/>
      <c r="L108" s="33"/>
      <c r="M108" s="33"/>
      <c r="N108" s="203"/>
    </row>
    <row r="109" spans="1:14" ht="23.25" customHeight="1" thickBot="1">
      <c r="A109" s="33"/>
      <c r="B109" s="56"/>
      <c r="C109" s="60" t="s">
        <v>138</v>
      </c>
      <c r="D109" s="61">
        <f t="shared" ref="D109:I109" si="8">IF(D97&gt;=$H105,3,IF(D97&gt;=$H104,2,IF(D97&gt;=$H103,1,0)))</f>
        <v>3</v>
      </c>
      <c r="E109" s="61">
        <f t="shared" si="8"/>
        <v>2</v>
      </c>
      <c r="F109" s="61">
        <f t="shared" si="8"/>
        <v>3</v>
      </c>
      <c r="G109" s="61">
        <f t="shared" si="8"/>
        <v>3</v>
      </c>
      <c r="H109" s="61">
        <f t="shared" si="8"/>
        <v>3</v>
      </c>
      <c r="I109" s="61">
        <f t="shared" si="8"/>
        <v>0</v>
      </c>
      <c r="J109" s="56"/>
      <c r="K109" s="33"/>
      <c r="L109" s="33"/>
      <c r="M109" s="33"/>
      <c r="N109" s="203"/>
    </row>
    <row r="110" spans="1:14" ht="15.75" customHeight="1">
      <c r="A110" s="33"/>
      <c r="B110" s="33"/>
      <c r="C110" s="33"/>
      <c r="D110" s="33"/>
      <c r="E110" s="33"/>
      <c r="F110" s="33"/>
      <c r="G110" s="33"/>
      <c r="H110" s="33"/>
      <c r="I110" s="33"/>
      <c r="J110" s="33"/>
      <c r="K110" s="33"/>
      <c r="L110" s="33"/>
      <c r="M110" s="33"/>
      <c r="N110" s="203"/>
    </row>
    <row r="111" spans="1:14" ht="15.75" customHeight="1">
      <c r="A111" s="33"/>
      <c r="B111" s="33"/>
      <c r="C111" s="33"/>
      <c r="D111" s="33"/>
      <c r="E111" s="33"/>
      <c r="F111" s="33"/>
      <c r="G111" s="33"/>
      <c r="H111" s="33"/>
      <c r="I111" s="33"/>
      <c r="J111" s="33"/>
      <c r="K111" s="33"/>
      <c r="L111" s="33"/>
      <c r="M111" s="33"/>
      <c r="N111" s="203"/>
    </row>
    <row r="112" spans="1:14" ht="15.75" customHeight="1">
      <c r="A112" s="33"/>
      <c r="B112" s="33"/>
      <c r="C112" s="33"/>
      <c r="D112" s="33"/>
      <c r="E112" s="33"/>
      <c r="F112" s="33"/>
      <c r="G112" s="33"/>
      <c r="H112" s="33"/>
      <c r="I112" s="33"/>
      <c r="J112" s="33"/>
      <c r="K112" s="33"/>
      <c r="L112" s="33"/>
      <c r="M112" s="33"/>
      <c r="N112" s="203"/>
    </row>
    <row r="113" spans="1:14" ht="15.75" customHeight="1">
      <c r="A113" s="33"/>
      <c r="B113" s="33"/>
      <c r="C113" s="33"/>
      <c r="D113" s="33"/>
      <c r="E113" s="33"/>
      <c r="F113" s="33"/>
      <c r="G113" s="33"/>
      <c r="H113" s="33"/>
      <c r="I113" s="33"/>
      <c r="J113" s="33"/>
      <c r="K113" s="33"/>
      <c r="L113" s="33"/>
      <c r="M113" s="33"/>
      <c r="N113" s="203"/>
    </row>
    <row r="114" spans="1:14" ht="24.75" customHeight="1">
      <c r="A114" s="33"/>
      <c r="B114" s="33"/>
      <c r="C114" s="33"/>
      <c r="D114" s="33"/>
      <c r="E114" s="33"/>
      <c r="F114" s="33"/>
      <c r="G114" s="33"/>
      <c r="H114" s="33"/>
      <c r="I114" s="33"/>
      <c r="J114" s="33"/>
      <c r="K114" s="33"/>
      <c r="L114" s="33"/>
      <c r="M114" s="33"/>
      <c r="N114" s="203"/>
    </row>
    <row r="115" spans="1:14" ht="15.75" customHeight="1">
      <c r="A115" s="33"/>
      <c r="B115" s="33"/>
      <c r="C115" s="33"/>
      <c r="D115" s="33"/>
      <c r="E115" s="33"/>
      <c r="F115" s="33"/>
      <c r="G115" s="33"/>
      <c r="H115" s="33"/>
      <c r="I115" s="33"/>
      <c r="J115" s="33"/>
      <c r="K115" s="33"/>
      <c r="L115" s="33"/>
      <c r="M115" s="33"/>
      <c r="N115" s="203"/>
    </row>
    <row r="116" spans="1:14" ht="15.75" customHeight="1">
      <c r="A116" s="33"/>
      <c r="B116" s="33"/>
      <c r="C116" s="33"/>
      <c r="D116" s="33"/>
      <c r="E116" s="33"/>
      <c r="F116" s="33"/>
      <c r="G116" s="33"/>
      <c r="H116" s="33"/>
      <c r="I116" s="33"/>
      <c r="J116" s="33"/>
      <c r="K116" s="33"/>
      <c r="L116" s="33"/>
      <c r="M116" s="33"/>
      <c r="N116" s="203"/>
    </row>
    <row r="117" spans="1:14" ht="15.75" customHeight="1">
      <c r="A117" s="33"/>
      <c r="B117" s="33"/>
      <c r="C117" s="33"/>
      <c r="D117" s="33"/>
      <c r="E117" s="33"/>
      <c r="F117" s="33"/>
      <c r="G117" s="33"/>
      <c r="H117" s="33"/>
      <c r="I117" s="33"/>
      <c r="J117" s="33"/>
      <c r="K117" s="33"/>
      <c r="L117" s="33"/>
      <c r="M117" s="33"/>
      <c r="N117" s="203"/>
    </row>
    <row r="118" spans="1:14" ht="15.75" customHeight="1">
      <c r="A118" s="33"/>
      <c r="B118" s="33"/>
      <c r="C118" s="33"/>
      <c r="D118" s="33"/>
      <c r="E118" s="33"/>
      <c r="F118" s="33"/>
      <c r="G118" s="33"/>
      <c r="H118" s="33"/>
      <c r="I118" s="33"/>
      <c r="J118" s="33"/>
      <c r="K118" s="33"/>
      <c r="L118" s="33"/>
      <c r="M118" s="33"/>
      <c r="N118" s="203"/>
    </row>
    <row r="119" spans="1:14" ht="15.75" customHeight="1">
      <c r="A119" s="33"/>
      <c r="B119" s="33"/>
      <c r="C119" s="33"/>
      <c r="D119" s="33"/>
      <c r="E119" s="33"/>
      <c r="F119" s="33"/>
      <c r="G119" s="33"/>
      <c r="H119" s="33"/>
      <c r="I119" s="33"/>
      <c r="J119" s="33"/>
      <c r="K119" s="33"/>
      <c r="L119" s="33"/>
      <c r="M119" s="33"/>
      <c r="N119" s="203"/>
    </row>
    <row r="120" spans="1:14" ht="15.75" customHeight="1">
      <c r="A120" s="33"/>
      <c r="B120" s="33"/>
      <c r="C120" s="33"/>
      <c r="D120" s="33"/>
      <c r="E120" s="33"/>
      <c r="F120" s="33" t="s">
        <v>139</v>
      </c>
      <c r="G120" s="33"/>
      <c r="H120" s="33"/>
      <c r="I120" s="33"/>
      <c r="J120" s="33"/>
      <c r="K120" s="33"/>
      <c r="L120" s="33"/>
      <c r="M120" s="33"/>
      <c r="N120" s="203"/>
    </row>
    <row r="121" spans="1:14" ht="15.75" customHeight="1">
      <c r="A121" s="33"/>
      <c r="B121" s="33"/>
      <c r="C121" s="33"/>
      <c r="D121" s="33"/>
      <c r="E121" s="33"/>
      <c r="F121" s="33"/>
      <c r="G121" s="33"/>
      <c r="H121" s="33"/>
      <c r="I121" s="33"/>
      <c r="J121" s="33"/>
      <c r="K121" s="33"/>
      <c r="L121" s="33"/>
      <c r="M121" s="33"/>
      <c r="N121" s="203"/>
    </row>
    <row r="122" spans="1:14" ht="15.75" customHeight="1">
      <c r="A122" s="33"/>
      <c r="B122" s="33"/>
      <c r="C122" s="33"/>
      <c r="D122" s="33"/>
      <c r="E122" s="33"/>
      <c r="F122" s="33"/>
      <c r="G122" s="33"/>
      <c r="H122" s="33"/>
      <c r="I122" s="33"/>
      <c r="J122" s="33"/>
      <c r="K122" s="33"/>
      <c r="L122" s="33"/>
      <c r="M122" s="33"/>
      <c r="N122" s="203"/>
    </row>
    <row r="123" spans="1:14" ht="15.75" customHeight="1">
      <c r="A123" s="33"/>
      <c r="B123" s="33"/>
      <c r="C123" s="33"/>
      <c r="D123" s="33"/>
      <c r="E123" s="33"/>
      <c r="F123" s="33"/>
      <c r="G123" s="33"/>
      <c r="H123" s="33"/>
      <c r="I123" s="33"/>
      <c r="J123" s="33"/>
      <c r="K123" s="33"/>
      <c r="L123" s="33"/>
      <c r="M123" s="33"/>
      <c r="N123" s="203"/>
    </row>
    <row r="124" spans="1:14" ht="15.75" customHeight="1">
      <c r="A124" s="33"/>
      <c r="B124" s="33"/>
      <c r="C124" s="33"/>
      <c r="D124" s="33"/>
      <c r="E124" s="33"/>
      <c r="F124" s="33"/>
      <c r="G124" s="33"/>
      <c r="H124" s="33"/>
      <c r="I124" s="33"/>
      <c r="J124" s="33"/>
      <c r="K124" s="33"/>
      <c r="L124" s="33"/>
      <c r="M124" s="33"/>
      <c r="N124" s="203"/>
    </row>
    <row r="125" spans="1:14" ht="15.75" customHeight="1">
      <c r="A125" s="33"/>
      <c r="B125" s="33"/>
      <c r="C125" s="33"/>
      <c r="D125" s="33"/>
      <c r="E125" s="33"/>
      <c r="F125" s="33"/>
      <c r="G125" s="33"/>
      <c r="H125" s="33"/>
      <c r="I125" s="33"/>
      <c r="J125" s="33"/>
      <c r="K125" s="33"/>
      <c r="L125" s="33"/>
      <c r="M125" s="33"/>
      <c r="N125" s="203"/>
    </row>
    <row r="126" spans="1:14" ht="15.75" customHeight="1">
      <c r="A126" s="33"/>
      <c r="B126" s="33"/>
      <c r="C126" s="33"/>
      <c r="D126" s="33"/>
      <c r="E126" s="33"/>
      <c r="F126" s="33"/>
      <c r="G126" s="33"/>
      <c r="H126" s="33"/>
      <c r="I126" s="33"/>
      <c r="J126" s="33"/>
      <c r="K126" s="33"/>
      <c r="L126" s="33"/>
      <c r="M126" s="33"/>
      <c r="N126" s="203"/>
    </row>
    <row r="127" spans="1:14" ht="15.75" customHeight="1">
      <c r="A127" s="33"/>
      <c r="B127" s="33"/>
      <c r="C127" s="33"/>
      <c r="D127" s="33"/>
      <c r="E127" s="33"/>
      <c r="F127" s="33"/>
      <c r="G127" s="33"/>
      <c r="H127" s="33"/>
      <c r="I127" s="33"/>
      <c r="J127" s="33"/>
      <c r="K127" s="33"/>
      <c r="L127" s="33"/>
      <c r="M127" s="33"/>
      <c r="N127" s="203"/>
    </row>
    <row r="128" spans="1:14" ht="15.75" customHeight="1">
      <c r="A128" s="33"/>
      <c r="B128" s="33"/>
      <c r="C128" s="33"/>
      <c r="D128" s="33"/>
      <c r="E128" s="33"/>
      <c r="F128" s="33"/>
      <c r="G128" s="33"/>
      <c r="H128" s="33"/>
      <c r="I128" s="33"/>
      <c r="J128" s="33"/>
      <c r="K128" s="33"/>
      <c r="L128" s="33"/>
      <c r="M128" s="33"/>
      <c r="N128" s="203"/>
    </row>
    <row r="129" spans="1:14" ht="15.75" customHeight="1">
      <c r="A129" s="33"/>
      <c r="B129" s="33"/>
      <c r="C129" s="33"/>
      <c r="D129" s="33"/>
      <c r="E129" s="33"/>
      <c r="F129" s="33"/>
      <c r="G129" s="33"/>
      <c r="H129" s="33"/>
      <c r="I129" s="33"/>
      <c r="J129" s="33"/>
      <c r="K129" s="33"/>
      <c r="L129" s="33"/>
      <c r="M129" s="33"/>
      <c r="N129" s="203"/>
    </row>
    <row r="130" spans="1:14" ht="15.75" customHeight="1">
      <c r="A130" s="33"/>
      <c r="B130" s="33"/>
      <c r="C130" s="33"/>
      <c r="D130" s="33"/>
      <c r="E130" s="33"/>
      <c r="F130" s="33"/>
      <c r="G130" s="33"/>
      <c r="H130" s="33"/>
      <c r="I130" s="33"/>
      <c r="J130" s="33"/>
      <c r="K130" s="33"/>
      <c r="L130" s="33"/>
      <c r="M130" s="33"/>
      <c r="N130" s="203"/>
    </row>
    <row r="131" spans="1:14" ht="15.75" customHeight="1">
      <c r="A131" s="33"/>
      <c r="B131" s="33"/>
      <c r="C131" s="33"/>
      <c r="D131" s="33"/>
      <c r="E131" s="33"/>
      <c r="F131" s="33"/>
      <c r="G131" s="33"/>
      <c r="H131" s="33"/>
      <c r="I131" s="33"/>
      <c r="J131" s="33"/>
      <c r="K131" s="33"/>
      <c r="L131" s="33"/>
      <c r="M131" s="33"/>
      <c r="N131" s="203"/>
    </row>
    <row r="132" spans="1:14" ht="15.75" customHeight="1">
      <c r="A132" s="33"/>
      <c r="B132" s="33"/>
      <c r="C132" s="33"/>
      <c r="D132" s="33"/>
      <c r="E132" s="33"/>
      <c r="F132" s="33"/>
      <c r="G132" s="33"/>
      <c r="H132" s="33"/>
      <c r="I132" s="33"/>
      <c r="J132" s="33"/>
      <c r="K132" s="33"/>
      <c r="L132" s="33"/>
      <c r="M132" s="33"/>
      <c r="N132" s="203"/>
    </row>
    <row r="133" spans="1:14" ht="15.75" customHeight="1">
      <c r="A133" s="33"/>
      <c r="B133" s="33"/>
      <c r="C133" s="33"/>
      <c r="D133" s="33"/>
      <c r="E133" s="33"/>
      <c r="F133" s="33"/>
      <c r="G133" s="33"/>
      <c r="H133" s="33"/>
      <c r="I133" s="33"/>
      <c r="J133" s="33"/>
      <c r="K133" s="33"/>
      <c r="L133" s="33"/>
      <c r="M133" s="33"/>
      <c r="N133" s="203"/>
    </row>
    <row r="134" spans="1:14" ht="15.75" customHeight="1">
      <c r="A134" s="33"/>
      <c r="B134" s="33"/>
      <c r="C134" s="33"/>
      <c r="D134" s="33"/>
      <c r="E134" s="33"/>
      <c r="F134" s="33"/>
      <c r="G134" s="33"/>
      <c r="H134" s="33"/>
      <c r="I134" s="33"/>
      <c r="J134" s="33"/>
      <c r="K134" s="33"/>
      <c r="L134" s="33"/>
      <c r="M134" s="33"/>
      <c r="N134" s="203"/>
    </row>
    <row r="135" spans="1:14" ht="15.75" customHeight="1">
      <c r="A135" s="33"/>
      <c r="B135" s="33"/>
      <c r="C135" s="33"/>
      <c r="D135" s="33"/>
      <c r="E135" s="33"/>
      <c r="F135" s="33"/>
      <c r="G135" s="33"/>
      <c r="H135" s="33"/>
      <c r="I135" s="33"/>
      <c r="J135" s="33"/>
      <c r="K135" s="33"/>
      <c r="L135" s="33"/>
      <c r="M135" s="33"/>
      <c r="N135" s="203"/>
    </row>
    <row r="136" spans="1:14" ht="15.75" customHeight="1">
      <c r="A136" s="33"/>
      <c r="B136" s="33"/>
      <c r="C136" s="33"/>
      <c r="D136" s="33"/>
      <c r="E136" s="33"/>
      <c r="F136" s="33"/>
      <c r="G136" s="33"/>
      <c r="H136" s="33"/>
      <c r="I136" s="33"/>
      <c r="J136" s="33"/>
      <c r="K136" s="33"/>
      <c r="L136" s="33"/>
      <c r="M136" s="33"/>
      <c r="N136" s="203"/>
    </row>
    <row r="137" spans="1:14" ht="15.75" customHeight="1">
      <c r="A137" s="33"/>
      <c r="B137" s="33"/>
      <c r="C137" s="33"/>
      <c r="D137" s="33"/>
      <c r="E137" s="33"/>
      <c r="F137" s="33"/>
      <c r="G137" s="33"/>
      <c r="H137" s="33"/>
      <c r="I137" s="33"/>
      <c r="J137" s="33"/>
      <c r="K137" s="33"/>
      <c r="L137" s="33"/>
      <c r="M137" s="33"/>
      <c r="N137" s="203"/>
    </row>
    <row r="138" spans="1:14" ht="15.75" customHeight="1">
      <c r="A138" s="33"/>
      <c r="B138" s="33"/>
      <c r="C138" s="33"/>
      <c r="D138" s="33"/>
      <c r="E138" s="33"/>
      <c r="F138" s="33"/>
      <c r="G138" s="33"/>
      <c r="H138" s="33"/>
      <c r="I138" s="33"/>
      <c r="J138" s="33"/>
      <c r="K138" s="33"/>
      <c r="L138" s="33"/>
      <c r="M138" s="33"/>
      <c r="N138" s="203"/>
    </row>
    <row r="139" spans="1:14" ht="15.75" customHeight="1">
      <c r="A139" s="33"/>
      <c r="B139" s="33"/>
      <c r="C139" s="33"/>
      <c r="D139" s="33"/>
      <c r="E139" s="33"/>
      <c r="F139" s="33"/>
      <c r="G139" s="33"/>
      <c r="H139" s="33"/>
      <c r="I139" s="33"/>
      <c r="J139" s="33"/>
      <c r="K139" s="33"/>
      <c r="L139" s="33"/>
      <c r="M139" s="33"/>
      <c r="N139" s="203"/>
    </row>
    <row r="140" spans="1:14" ht="15.75" customHeight="1">
      <c r="A140" s="33"/>
      <c r="B140" s="33"/>
      <c r="C140" s="33"/>
      <c r="D140" s="33"/>
      <c r="E140" s="33"/>
      <c r="F140" s="33"/>
      <c r="G140" s="33"/>
      <c r="H140" s="33"/>
      <c r="I140" s="33"/>
      <c r="J140" s="33"/>
      <c r="K140" s="33"/>
      <c r="L140" s="33"/>
      <c r="M140" s="33"/>
      <c r="N140" s="203"/>
    </row>
    <row r="141" spans="1:14" ht="15.75" customHeight="1">
      <c r="A141" s="33"/>
      <c r="B141" s="33"/>
      <c r="C141" s="33"/>
      <c r="D141" s="33"/>
      <c r="E141" s="33"/>
      <c r="F141" s="33"/>
      <c r="G141" s="33"/>
      <c r="H141" s="33"/>
      <c r="I141" s="33"/>
      <c r="J141" s="33"/>
      <c r="K141" s="33"/>
      <c r="L141" s="33"/>
      <c r="M141" s="33"/>
      <c r="N141" s="203"/>
    </row>
    <row r="142" spans="1:14" ht="15.75" customHeight="1">
      <c r="A142" s="33"/>
      <c r="B142" s="33"/>
      <c r="C142" s="33"/>
      <c r="D142" s="33"/>
      <c r="E142" s="33"/>
      <c r="F142" s="33"/>
      <c r="G142" s="33"/>
      <c r="H142" s="33"/>
      <c r="I142" s="33"/>
      <c r="J142" s="33"/>
      <c r="K142" s="33"/>
      <c r="L142" s="33"/>
      <c r="M142" s="33"/>
      <c r="N142" s="203"/>
    </row>
    <row r="143" spans="1:14" ht="15.75" customHeight="1">
      <c r="A143" s="33"/>
      <c r="B143" s="33"/>
      <c r="C143" s="33"/>
      <c r="D143" s="33"/>
      <c r="E143" s="33"/>
      <c r="F143" s="33"/>
      <c r="G143" s="33"/>
      <c r="H143" s="33"/>
      <c r="I143" s="33"/>
      <c r="J143" s="33"/>
      <c r="K143" s="33"/>
      <c r="L143" s="33"/>
      <c r="M143" s="33"/>
      <c r="N143" s="203"/>
    </row>
    <row r="144" spans="1:14" ht="15.75" customHeight="1">
      <c r="A144" s="33"/>
      <c r="B144" s="33"/>
      <c r="C144" s="33"/>
      <c r="D144" s="33"/>
      <c r="E144" s="33"/>
      <c r="F144" s="33"/>
      <c r="G144" s="33"/>
      <c r="H144" s="33"/>
      <c r="I144" s="33"/>
      <c r="J144" s="33"/>
      <c r="K144" s="33"/>
      <c r="L144" s="33"/>
      <c r="M144" s="33"/>
      <c r="N144" s="203"/>
    </row>
    <row r="145" spans="1:14" ht="15.75" customHeight="1">
      <c r="A145" s="33"/>
      <c r="B145" s="33"/>
      <c r="C145" s="33"/>
      <c r="D145" s="33"/>
      <c r="E145" s="33"/>
      <c r="F145" s="33"/>
      <c r="G145" s="33"/>
      <c r="H145" s="33"/>
      <c r="I145" s="33"/>
      <c r="J145" s="33"/>
      <c r="K145" s="33"/>
      <c r="L145" s="33"/>
      <c r="M145" s="33"/>
      <c r="N145" s="203"/>
    </row>
    <row r="146" spans="1:14" ht="15.75" customHeight="1">
      <c r="A146" s="33"/>
      <c r="B146" s="33"/>
      <c r="C146" s="33"/>
      <c r="D146" s="33"/>
      <c r="E146" s="33"/>
      <c r="F146" s="33"/>
      <c r="G146" s="33"/>
      <c r="H146" s="33"/>
      <c r="I146" s="33"/>
      <c r="J146" s="33"/>
      <c r="K146" s="33"/>
      <c r="L146" s="33"/>
      <c r="M146" s="33"/>
      <c r="N146" s="203"/>
    </row>
    <row r="147" spans="1:14" ht="15.75" customHeight="1">
      <c r="A147" s="33"/>
      <c r="B147" s="33"/>
      <c r="C147" s="33"/>
      <c r="D147" s="33"/>
      <c r="E147" s="33"/>
      <c r="F147" s="33"/>
      <c r="G147" s="33"/>
      <c r="H147" s="33"/>
      <c r="I147" s="33"/>
      <c r="J147" s="33"/>
      <c r="K147" s="33"/>
      <c r="L147" s="33"/>
      <c r="M147" s="33"/>
      <c r="N147" s="203"/>
    </row>
    <row r="148" spans="1:14" ht="15.75" customHeight="1">
      <c r="A148" s="33"/>
      <c r="B148" s="33"/>
      <c r="C148" s="33"/>
      <c r="D148" s="33"/>
      <c r="E148" s="33"/>
      <c r="F148" s="33"/>
      <c r="G148" s="33"/>
      <c r="H148" s="33"/>
      <c r="I148" s="33"/>
      <c r="J148" s="33"/>
      <c r="K148" s="33"/>
      <c r="L148" s="33"/>
      <c r="M148" s="33"/>
      <c r="N148" s="203"/>
    </row>
    <row r="149" spans="1:14" ht="15.75" customHeight="1">
      <c r="A149" s="33"/>
      <c r="B149" s="33"/>
      <c r="C149" s="33"/>
      <c r="D149" s="33"/>
      <c r="E149" s="33"/>
      <c r="F149" s="33"/>
      <c r="G149" s="33"/>
      <c r="H149" s="33"/>
      <c r="I149" s="33"/>
      <c r="J149" s="33"/>
      <c r="K149" s="33"/>
      <c r="L149" s="33"/>
      <c r="M149" s="33"/>
      <c r="N149" s="203"/>
    </row>
    <row r="150" spans="1:14" ht="15.75" customHeight="1">
      <c r="A150" s="33"/>
      <c r="B150" s="33"/>
      <c r="C150" s="33"/>
      <c r="D150" s="33"/>
      <c r="E150" s="33"/>
      <c r="F150" s="33"/>
      <c r="G150" s="33"/>
      <c r="H150" s="33"/>
      <c r="I150" s="33"/>
      <c r="J150" s="33"/>
      <c r="K150" s="33"/>
      <c r="L150" s="33"/>
      <c r="M150" s="33"/>
      <c r="N150" s="203"/>
    </row>
    <row r="151" spans="1:14" ht="15.75" customHeight="1">
      <c r="A151" s="33"/>
      <c r="B151" s="33"/>
      <c r="C151" s="33"/>
      <c r="D151" s="33"/>
      <c r="E151" s="33"/>
      <c r="F151" s="33"/>
      <c r="G151" s="33"/>
      <c r="H151" s="33"/>
      <c r="I151" s="33"/>
      <c r="J151" s="33"/>
      <c r="K151" s="33"/>
      <c r="L151" s="33"/>
      <c r="M151" s="33"/>
      <c r="N151" s="203"/>
    </row>
    <row r="152" spans="1:14" ht="15.75" customHeight="1">
      <c r="A152" s="33"/>
      <c r="B152" s="33"/>
      <c r="C152" s="33"/>
      <c r="D152" s="33"/>
      <c r="E152" s="33"/>
      <c r="F152" s="33"/>
      <c r="G152" s="33"/>
      <c r="H152" s="33"/>
      <c r="I152" s="33"/>
      <c r="J152" s="33"/>
      <c r="K152" s="33"/>
      <c r="L152" s="33"/>
      <c r="M152" s="33"/>
      <c r="N152" s="203"/>
    </row>
    <row r="153" spans="1:14" ht="15.75" customHeight="1">
      <c r="A153" s="33"/>
      <c r="B153" s="33"/>
      <c r="C153" s="33"/>
      <c r="D153" s="33"/>
      <c r="E153" s="33"/>
      <c r="F153" s="33"/>
      <c r="G153" s="33"/>
      <c r="H153" s="33"/>
      <c r="I153" s="33"/>
      <c r="J153" s="33"/>
      <c r="K153" s="33"/>
      <c r="L153" s="33"/>
      <c r="M153" s="33"/>
      <c r="N153" s="203"/>
    </row>
    <row r="154" spans="1:14" ht="15.75" customHeight="1">
      <c r="A154" s="33"/>
      <c r="B154" s="33"/>
      <c r="C154" s="33"/>
      <c r="D154" s="33"/>
      <c r="E154" s="33"/>
      <c r="F154" s="33"/>
      <c r="G154" s="33"/>
      <c r="H154" s="33"/>
      <c r="I154" s="33"/>
      <c r="J154" s="33"/>
      <c r="K154" s="33"/>
      <c r="L154" s="33"/>
      <c r="M154" s="33"/>
      <c r="N154" s="203"/>
    </row>
    <row r="155" spans="1:14" ht="15.75" customHeight="1">
      <c r="A155" s="33"/>
      <c r="B155" s="33"/>
      <c r="C155" s="33"/>
      <c r="D155" s="33"/>
      <c r="E155" s="33"/>
      <c r="F155" s="33"/>
      <c r="G155" s="33"/>
      <c r="H155" s="33"/>
      <c r="I155" s="33"/>
      <c r="J155" s="33"/>
      <c r="K155" s="33"/>
      <c r="L155" s="33"/>
      <c r="M155" s="33"/>
      <c r="N155" s="203"/>
    </row>
    <row r="156" spans="1:14" ht="15.75" customHeight="1">
      <c r="A156" s="33"/>
      <c r="B156" s="33"/>
      <c r="C156" s="33"/>
      <c r="D156" s="33"/>
      <c r="E156" s="33"/>
      <c r="F156" s="33"/>
      <c r="G156" s="33"/>
      <c r="H156" s="33"/>
      <c r="I156" s="33"/>
      <c r="J156" s="33"/>
      <c r="K156" s="33"/>
      <c r="L156" s="33"/>
      <c r="M156" s="33"/>
      <c r="N156" s="203"/>
    </row>
    <row r="157" spans="1:14" ht="15.75" customHeight="1">
      <c r="A157" s="33"/>
      <c r="B157" s="33"/>
      <c r="C157" s="33"/>
      <c r="D157" s="33"/>
      <c r="E157" s="33"/>
      <c r="F157" s="33"/>
      <c r="G157" s="33"/>
      <c r="H157" s="33"/>
      <c r="I157" s="33"/>
      <c r="J157" s="33"/>
      <c r="K157" s="33"/>
      <c r="L157" s="33"/>
      <c r="M157" s="33"/>
      <c r="N157" s="203"/>
    </row>
    <row r="158" spans="1:14" ht="15.75" customHeight="1">
      <c r="A158" s="33"/>
      <c r="B158" s="33"/>
      <c r="C158" s="33"/>
      <c r="D158" s="33"/>
      <c r="E158" s="33"/>
      <c r="F158" s="33"/>
      <c r="G158" s="33"/>
      <c r="H158" s="33"/>
      <c r="I158" s="33"/>
      <c r="J158" s="33"/>
      <c r="K158" s="33"/>
      <c r="L158" s="33"/>
      <c r="M158" s="33"/>
      <c r="N158" s="203"/>
    </row>
    <row r="159" spans="1:14" ht="15.75" customHeight="1">
      <c r="A159" s="33"/>
      <c r="B159" s="33"/>
      <c r="C159" s="33"/>
      <c r="D159" s="33"/>
      <c r="E159" s="33"/>
      <c r="F159" s="33"/>
      <c r="G159" s="33"/>
      <c r="H159" s="33"/>
      <c r="I159" s="33"/>
      <c r="J159" s="33"/>
      <c r="K159" s="33"/>
      <c r="L159" s="33"/>
      <c r="M159" s="33"/>
      <c r="N159" s="203"/>
    </row>
    <row r="160" spans="1:14" ht="15.75" customHeight="1">
      <c r="A160" s="33"/>
      <c r="B160" s="33"/>
      <c r="C160" s="33"/>
      <c r="D160" s="33"/>
      <c r="E160" s="33"/>
      <c r="F160" s="33"/>
      <c r="G160" s="33"/>
      <c r="H160" s="33"/>
      <c r="I160" s="33"/>
      <c r="J160" s="33"/>
      <c r="K160" s="33"/>
      <c r="L160" s="33"/>
      <c r="M160" s="33"/>
      <c r="N160" s="203"/>
    </row>
    <row r="161" spans="1:14" ht="15.75" customHeight="1">
      <c r="A161" s="33"/>
      <c r="B161" s="33"/>
      <c r="C161" s="33"/>
      <c r="D161" s="33"/>
      <c r="E161" s="33"/>
      <c r="F161" s="33"/>
      <c r="G161" s="33"/>
      <c r="H161" s="33"/>
      <c r="I161" s="33"/>
      <c r="J161" s="33"/>
      <c r="K161" s="33"/>
      <c r="L161" s="33"/>
      <c r="M161" s="33"/>
      <c r="N161" s="203"/>
    </row>
    <row r="162" spans="1:14" ht="15.75" customHeight="1">
      <c r="A162" s="33"/>
      <c r="B162" s="33"/>
      <c r="C162" s="33"/>
      <c r="D162" s="33"/>
      <c r="E162" s="33"/>
      <c r="F162" s="33"/>
      <c r="G162" s="33"/>
      <c r="H162" s="33"/>
      <c r="I162" s="33"/>
      <c r="J162" s="33"/>
      <c r="K162" s="33"/>
      <c r="L162" s="33"/>
      <c r="M162" s="33"/>
      <c r="N162" s="203"/>
    </row>
    <row r="163" spans="1:14" ht="15.75" customHeight="1">
      <c r="A163" s="33"/>
      <c r="B163" s="33"/>
      <c r="C163" s="33"/>
      <c r="D163" s="33"/>
      <c r="E163" s="33"/>
      <c r="F163" s="33"/>
      <c r="G163" s="33"/>
      <c r="H163" s="33"/>
      <c r="I163" s="33"/>
      <c r="J163" s="33"/>
      <c r="K163" s="33"/>
      <c r="L163" s="33"/>
      <c r="M163" s="33"/>
      <c r="N163" s="203"/>
    </row>
    <row r="164" spans="1:14" ht="15.75" customHeight="1">
      <c r="A164" s="33"/>
      <c r="B164" s="33"/>
      <c r="C164" s="33"/>
      <c r="D164" s="33"/>
      <c r="E164" s="33"/>
      <c r="F164" s="33"/>
      <c r="G164" s="33"/>
      <c r="H164" s="33"/>
      <c r="I164" s="33"/>
      <c r="J164" s="33"/>
      <c r="K164" s="33"/>
      <c r="L164" s="33"/>
      <c r="M164" s="33"/>
      <c r="N164" s="203"/>
    </row>
    <row r="165" spans="1:14" ht="15.75" customHeight="1">
      <c r="A165" s="33"/>
      <c r="B165" s="33"/>
      <c r="C165" s="33"/>
      <c r="D165" s="33"/>
      <c r="E165" s="33"/>
      <c r="F165" s="33"/>
      <c r="G165" s="33"/>
      <c r="H165" s="33"/>
      <c r="I165" s="33"/>
      <c r="J165" s="33"/>
      <c r="K165" s="33"/>
      <c r="L165" s="33"/>
      <c r="M165" s="33"/>
      <c r="N165" s="203"/>
    </row>
    <row r="166" spans="1:14" ht="15.75" customHeight="1">
      <c r="A166" s="33"/>
      <c r="B166" s="33"/>
      <c r="C166" s="33"/>
      <c r="D166" s="33"/>
      <c r="E166" s="33"/>
      <c r="F166" s="33"/>
      <c r="G166" s="33"/>
      <c r="H166" s="33"/>
      <c r="I166" s="33"/>
      <c r="J166" s="33"/>
      <c r="K166" s="33"/>
      <c r="L166" s="33"/>
      <c r="M166" s="33"/>
      <c r="N166" s="203"/>
    </row>
    <row r="167" spans="1:14" ht="15.75" customHeight="1">
      <c r="A167" s="33"/>
      <c r="B167" s="33"/>
      <c r="C167" s="33"/>
      <c r="D167" s="33"/>
      <c r="E167" s="33"/>
      <c r="F167" s="33"/>
      <c r="G167" s="33"/>
      <c r="H167" s="33"/>
      <c r="I167" s="33"/>
      <c r="J167" s="33"/>
      <c r="K167" s="33"/>
      <c r="L167" s="33"/>
      <c r="M167" s="33"/>
      <c r="N167" s="203"/>
    </row>
    <row r="168" spans="1:14" ht="15.75" customHeight="1">
      <c r="A168" s="33"/>
      <c r="B168" s="33"/>
      <c r="C168" s="33"/>
      <c r="D168" s="33"/>
      <c r="E168" s="33"/>
      <c r="F168" s="33"/>
      <c r="G168" s="33"/>
      <c r="H168" s="33"/>
      <c r="I168" s="33"/>
      <c r="J168" s="33"/>
      <c r="K168" s="33"/>
      <c r="L168" s="33"/>
      <c r="M168" s="33"/>
      <c r="N168" s="203"/>
    </row>
    <row r="169" spans="1:14" ht="15.75" customHeight="1">
      <c r="A169" s="33"/>
      <c r="B169" s="33"/>
      <c r="C169" s="33"/>
      <c r="D169" s="33"/>
      <c r="E169" s="33"/>
      <c r="F169" s="33"/>
      <c r="G169" s="33"/>
      <c r="H169" s="33"/>
      <c r="I169" s="33"/>
      <c r="J169" s="33"/>
      <c r="K169" s="33"/>
      <c r="L169" s="33"/>
      <c r="M169" s="33"/>
      <c r="N169" s="203"/>
    </row>
    <row r="170" spans="1:14" ht="15.75" customHeight="1">
      <c r="A170" s="33"/>
      <c r="B170" s="33"/>
      <c r="C170" s="33"/>
      <c r="D170" s="33"/>
      <c r="E170" s="33"/>
      <c r="F170" s="33"/>
      <c r="G170" s="33"/>
      <c r="H170" s="33"/>
      <c r="I170" s="33"/>
      <c r="J170" s="33"/>
      <c r="K170" s="33"/>
      <c r="L170" s="33"/>
      <c r="M170" s="33"/>
      <c r="N170" s="203"/>
    </row>
    <row r="171" spans="1:14" ht="15.75" customHeight="1">
      <c r="A171" s="33"/>
      <c r="B171" s="33"/>
      <c r="C171" s="33"/>
      <c r="D171" s="33"/>
      <c r="E171" s="33"/>
      <c r="F171" s="33"/>
      <c r="G171" s="33"/>
      <c r="H171" s="33"/>
      <c r="I171" s="33"/>
      <c r="J171" s="33"/>
      <c r="K171" s="33"/>
      <c r="L171" s="33"/>
      <c r="M171" s="33"/>
      <c r="N171" s="203"/>
    </row>
    <row r="172" spans="1:14" ht="15.75" customHeight="1">
      <c r="A172" s="33"/>
      <c r="B172" s="33"/>
      <c r="C172" s="33"/>
      <c r="D172" s="33"/>
      <c r="E172" s="33"/>
      <c r="F172" s="33"/>
      <c r="G172" s="33"/>
      <c r="H172" s="33"/>
      <c r="I172" s="33"/>
      <c r="J172" s="33"/>
      <c r="K172" s="33"/>
      <c r="L172" s="33"/>
      <c r="M172" s="33"/>
      <c r="N172" s="203"/>
    </row>
    <row r="173" spans="1:14" ht="15.75" customHeight="1">
      <c r="A173" s="33"/>
      <c r="B173" s="33"/>
      <c r="C173" s="33"/>
      <c r="D173" s="33"/>
      <c r="E173" s="33"/>
      <c r="F173" s="33"/>
      <c r="G173" s="33"/>
      <c r="H173" s="33"/>
      <c r="I173" s="33"/>
      <c r="J173" s="33"/>
      <c r="K173" s="33"/>
      <c r="L173" s="33"/>
      <c r="M173" s="33"/>
      <c r="N173" s="203"/>
    </row>
    <row r="174" spans="1:14" ht="15.75" customHeight="1">
      <c r="A174" s="33"/>
      <c r="B174" s="33"/>
      <c r="C174" s="33"/>
      <c r="D174" s="33"/>
      <c r="E174" s="33"/>
      <c r="F174" s="33"/>
      <c r="G174" s="33"/>
      <c r="H174" s="33"/>
      <c r="I174" s="33"/>
      <c r="J174" s="33"/>
      <c r="K174" s="33"/>
      <c r="L174" s="33"/>
      <c r="M174" s="33"/>
      <c r="N174" s="203"/>
    </row>
    <row r="175" spans="1:14" ht="15.75" customHeight="1">
      <c r="A175" s="33"/>
      <c r="B175" s="33"/>
      <c r="C175" s="33"/>
      <c r="D175" s="33"/>
      <c r="E175" s="33"/>
      <c r="F175" s="33"/>
      <c r="G175" s="33"/>
      <c r="H175" s="33"/>
      <c r="I175" s="33"/>
      <c r="J175" s="33"/>
      <c r="K175" s="33"/>
      <c r="L175" s="33"/>
      <c r="M175" s="33"/>
      <c r="N175" s="203"/>
    </row>
    <row r="176" spans="1:14" ht="15.75" customHeight="1">
      <c r="A176" s="33"/>
      <c r="B176" s="33"/>
      <c r="C176" s="33"/>
      <c r="D176" s="33"/>
      <c r="E176" s="33"/>
      <c r="F176" s="33"/>
      <c r="G176" s="33"/>
      <c r="H176" s="33"/>
      <c r="I176" s="33"/>
      <c r="J176" s="33"/>
      <c r="K176" s="33"/>
      <c r="L176" s="33"/>
      <c r="M176" s="33"/>
      <c r="N176" s="203"/>
    </row>
    <row r="177" spans="1:14" ht="15.75" customHeight="1">
      <c r="A177" s="33"/>
      <c r="B177" s="33"/>
      <c r="C177" s="33"/>
      <c r="D177" s="33"/>
      <c r="E177" s="33"/>
      <c r="F177" s="33"/>
      <c r="G177" s="33"/>
      <c r="H177" s="33"/>
      <c r="I177" s="33"/>
      <c r="J177" s="33"/>
      <c r="K177" s="33"/>
      <c r="L177" s="33"/>
      <c r="M177" s="33"/>
      <c r="N177" s="203"/>
    </row>
    <row r="178" spans="1:14" ht="15.75" customHeight="1">
      <c r="A178" s="33"/>
      <c r="B178" s="33"/>
      <c r="C178" s="33"/>
      <c r="D178" s="33"/>
      <c r="E178" s="33"/>
      <c r="F178" s="33"/>
      <c r="G178" s="33"/>
      <c r="H178" s="33"/>
      <c r="I178" s="33"/>
      <c r="J178" s="33"/>
      <c r="K178" s="33"/>
      <c r="L178" s="33"/>
      <c r="M178" s="33"/>
      <c r="N178" s="203"/>
    </row>
    <row r="179" spans="1:14" ht="15.75" customHeight="1">
      <c r="A179" s="33"/>
      <c r="B179" s="33"/>
      <c r="C179" s="33"/>
      <c r="D179" s="33"/>
      <c r="E179" s="33"/>
      <c r="F179" s="33"/>
      <c r="G179" s="33"/>
      <c r="H179" s="33"/>
      <c r="I179" s="33"/>
      <c r="J179" s="33"/>
      <c r="K179" s="33"/>
      <c r="L179" s="33"/>
      <c r="M179" s="33"/>
      <c r="N179" s="203"/>
    </row>
    <row r="180" spans="1:14" ht="15.75" customHeight="1">
      <c r="A180" s="33"/>
      <c r="B180" s="33"/>
      <c r="C180" s="33"/>
      <c r="D180" s="33"/>
      <c r="E180" s="33"/>
      <c r="F180" s="33"/>
      <c r="G180" s="33"/>
      <c r="H180" s="33"/>
      <c r="I180" s="33"/>
      <c r="J180" s="33"/>
      <c r="K180" s="33"/>
      <c r="L180" s="33"/>
      <c r="M180" s="33"/>
      <c r="N180" s="203"/>
    </row>
    <row r="181" spans="1:14" ht="15.75" customHeight="1">
      <c r="A181" s="33"/>
      <c r="B181" s="33"/>
      <c r="C181" s="33"/>
      <c r="D181" s="33"/>
      <c r="E181" s="33"/>
      <c r="F181" s="33"/>
      <c r="G181" s="33"/>
      <c r="H181" s="33"/>
      <c r="I181" s="33"/>
      <c r="J181" s="33"/>
      <c r="K181" s="33"/>
      <c r="L181" s="33"/>
      <c r="M181" s="33"/>
      <c r="N181" s="203"/>
    </row>
    <row r="182" spans="1:14" ht="15.75" customHeight="1">
      <c r="A182" s="33"/>
      <c r="B182" s="33"/>
      <c r="C182" s="33"/>
      <c r="D182" s="33"/>
      <c r="E182" s="33"/>
      <c r="F182" s="33"/>
      <c r="G182" s="33"/>
      <c r="H182" s="33"/>
      <c r="I182" s="33"/>
      <c r="J182" s="33"/>
      <c r="K182" s="33"/>
      <c r="L182" s="33"/>
      <c r="M182" s="33"/>
      <c r="N182" s="203"/>
    </row>
    <row r="183" spans="1:14" ht="15.75" customHeight="1">
      <c r="A183" s="33"/>
      <c r="B183" s="33"/>
      <c r="C183" s="33"/>
      <c r="D183" s="33"/>
      <c r="E183" s="33"/>
      <c r="F183" s="33"/>
      <c r="G183" s="33"/>
      <c r="H183" s="33"/>
      <c r="I183" s="33"/>
      <c r="J183" s="33"/>
      <c r="K183" s="33"/>
      <c r="L183" s="33"/>
      <c r="M183" s="33"/>
      <c r="N183" s="203"/>
    </row>
    <row r="184" spans="1:14" ht="15.75" customHeight="1">
      <c r="A184" s="33"/>
      <c r="B184" s="33"/>
      <c r="C184" s="33"/>
      <c r="D184" s="33"/>
      <c r="E184" s="33"/>
      <c r="F184" s="33"/>
      <c r="G184" s="33"/>
      <c r="H184" s="33"/>
      <c r="I184" s="33"/>
      <c r="J184" s="33"/>
      <c r="K184" s="33"/>
      <c r="L184" s="33"/>
      <c r="M184" s="33"/>
      <c r="N184" s="203"/>
    </row>
    <row r="185" spans="1:14" ht="15.75" customHeight="1">
      <c r="A185" s="33"/>
      <c r="B185" s="33"/>
      <c r="C185" s="33"/>
      <c r="D185" s="33"/>
      <c r="E185" s="33"/>
      <c r="F185" s="33"/>
      <c r="G185" s="33"/>
      <c r="H185" s="33"/>
      <c r="I185" s="33"/>
      <c r="J185" s="33"/>
      <c r="K185" s="33"/>
      <c r="L185" s="33"/>
      <c r="M185" s="33"/>
      <c r="N185" s="203"/>
    </row>
    <row r="186" spans="1:14" ht="15.75" customHeight="1">
      <c r="A186" s="33"/>
      <c r="B186" s="33"/>
      <c r="C186" s="33"/>
      <c r="D186" s="33"/>
      <c r="E186" s="33"/>
      <c r="F186" s="33"/>
      <c r="G186" s="33"/>
      <c r="H186" s="33"/>
      <c r="I186" s="33"/>
      <c r="J186" s="33"/>
      <c r="K186" s="33"/>
      <c r="L186" s="33"/>
      <c r="M186" s="33"/>
      <c r="N186" s="203"/>
    </row>
    <row r="187" spans="1:14" ht="15.75" customHeight="1">
      <c r="A187" s="33"/>
      <c r="B187" s="33"/>
      <c r="C187" s="33"/>
      <c r="D187" s="33"/>
      <c r="E187" s="33"/>
      <c r="F187" s="33"/>
      <c r="G187" s="33"/>
      <c r="H187" s="33"/>
      <c r="I187" s="33"/>
      <c r="J187" s="33"/>
      <c r="K187" s="33"/>
      <c r="L187" s="33"/>
      <c r="M187" s="33"/>
      <c r="N187" s="203"/>
    </row>
    <row r="188" spans="1:14" ht="15.75" customHeight="1">
      <c r="A188" s="33"/>
      <c r="B188" s="33"/>
      <c r="C188" s="33"/>
      <c r="D188" s="33"/>
      <c r="E188" s="33"/>
      <c r="F188" s="33"/>
      <c r="G188" s="33"/>
      <c r="H188" s="33"/>
      <c r="I188" s="33"/>
      <c r="J188" s="33"/>
      <c r="K188" s="33"/>
      <c r="L188" s="33"/>
      <c r="M188" s="33"/>
      <c r="N188" s="203"/>
    </row>
    <row r="189" spans="1:14" ht="15.75" customHeight="1">
      <c r="A189" s="33"/>
      <c r="B189" s="33"/>
      <c r="C189" s="33"/>
      <c r="D189" s="33"/>
      <c r="E189" s="33"/>
      <c r="F189" s="33"/>
      <c r="G189" s="33"/>
      <c r="H189" s="33"/>
      <c r="I189" s="33"/>
      <c r="J189" s="33"/>
      <c r="K189" s="33"/>
      <c r="L189" s="33"/>
      <c r="M189" s="33"/>
      <c r="N189" s="203"/>
    </row>
    <row r="190" spans="1:14" ht="15.75" customHeight="1">
      <c r="A190" s="33"/>
      <c r="B190" s="33"/>
      <c r="C190" s="33"/>
      <c r="D190" s="33"/>
      <c r="E190" s="33"/>
      <c r="F190" s="33"/>
      <c r="G190" s="33"/>
      <c r="H190" s="33"/>
      <c r="I190" s="33"/>
      <c r="J190" s="33"/>
      <c r="K190" s="33"/>
      <c r="L190" s="33"/>
      <c r="M190" s="33"/>
      <c r="N190" s="203"/>
    </row>
    <row r="191" spans="1:14" ht="15.75" customHeight="1">
      <c r="A191" s="33"/>
      <c r="B191" s="33"/>
      <c r="C191" s="33"/>
      <c r="D191" s="33"/>
      <c r="E191" s="33"/>
      <c r="F191" s="33"/>
      <c r="G191" s="33"/>
      <c r="H191" s="33"/>
      <c r="I191" s="33"/>
      <c r="J191" s="33"/>
      <c r="K191" s="33"/>
      <c r="L191" s="33"/>
      <c r="M191" s="33"/>
      <c r="N191" s="203"/>
    </row>
    <row r="192" spans="1:14" ht="15.75" customHeight="1">
      <c r="A192" s="33"/>
      <c r="B192" s="33"/>
      <c r="C192" s="33"/>
      <c r="D192" s="33"/>
      <c r="E192" s="33"/>
      <c r="F192" s="33"/>
      <c r="G192" s="33"/>
      <c r="H192" s="33"/>
      <c r="I192" s="33"/>
      <c r="J192" s="33"/>
      <c r="K192" s="33"/>
      <c r="L192" s="33"/>
      <c r="M192" s="33"/>
      <c r="N192" s="203"/>
    </row>
    <row r="193" spans="1:14" ht="15.75" customHeight="1">
      <c r="A193" s="33"/>
      <c r="B193" s="33"/>
      <c r="C193" s="33"/>
      <c r="D193" s="33"/>
      <c r="E193" s="33"/>
      <c r="F193" s="33"/>
      <c r="G193" s="33"/>
      <c r="H193" s="33"/>
      <c r="I193" s="33"/>
      <c r="J193" s="33"/>
      <c r="K193" s="33"/>
      <c r="L193" s="33"/>
      <c r="M193" s="33"/>
      <c r="N193" s="203"/>
    </row>
    <row r="194" spans="1:14" ht="15.75" customHeight="1">
      <c r="A194" s="33"/>
      <c r="B194" s="33"/>
      <c r="C194" s="33"/>
      <c r="D194" s="33"/>
      <c r="E194" s="33"/>
      <c r="F194" s="33"/>
      <c r="G194" s="33"/>
      <c r="H194" s="33"/>
      <c r="I194" s="33"/>
      <c r="J194" s="33"/>
      <c r="K194" s="33"/>
      <c r="L194" s="33"/>
      <c r="M194" s="33"/>
      <c r="N194" s="203"/>
    </row>
    <row r="195" spans="1:14" ht="15.75" customHeight="1">
      <c r="A195" s="33"/>
      <c r="B195" s="33"/>
      <c r="C195" s="33"/>
      <c r="D195" s="33"/>
      <c r="E195" s="33"/>
      <c r="F195" s="33"/>
      <c r="G195" s="33"/>
      <c r="H195" s="33"/>
      <c r="I195" s="33"/>
      <c r="J195" s="33"/>
      <c r="K195" s="33"/>
      <c r="L195" s="33"/>
      <c r="M195" s="33"/>
      <c r="N195" s="203"/>
    </row>
    <row r="196" spans="1:14" ht="15.75" customHeight="1">
      <c r="A196" s="33"/>
      <c r="B196" s="33"/>
      <c r="C196" s="33"/>
      <c r="D196" s="33"/>
      <c r="E196" s="33"/>
      <c r="F196" s="33"/>
      <c r="G196" s="33"/>
      <c r="H196" s="33"/>
      <c r="I196" s="33"/>
      <c r="J196" s="33"/>
      <c r="K196" s="33"/>
      <c r="L196" s="33"/>
      <c r="M196" s="33"/>
      <c r="N196" s="203"/>
    </row>
    <row r="197" spans="1:14" ht="15.75" customHeight="1">
      <c r="A197" s="33"/>
      <c r="B197" s="33"/>
      <c r="C197" s="33"/>
      <c r="D197" s="33"/>
      <c r="E197" s="33"/>
      <c r="F197" s="33"/>
      <c r="G197" s="33"/>
      <c r="H197" s="33"/>
      <c r="I197" s="33"/>
      <c r="J197" s="33"/>
      <c r="K197" s="33"/>
      <c r="L197" s="33"/>
      <c r="M197" s="33"/>
      <c r="N197" s="203"/>
    </row>
    <row r="198" spans="1:14" ht="15.75" customHeight="1">
      <c r="A198" s="33"/>
      <c r="B198" s="33"/>
      <c r="C198" s="33"/>
      <c r="D198" s="33"/>
      <c r="E198" s="33"/>
      <c r="F198" s="33"/>
      <c r="G198" s="33"/>
      <c r="H198" s="33"/>
      <c r="I198" s="33"/>
      <c r="J198" s="33"/>
      <c r="K198" s="33"/>
      <c r="L198" s="33"/>
      <c r="M198" s="33"/>
      <c r="N198" s="203"/>
    </row>
    <row r="199" spans="1:14" ht="15.75" customHeight="1">
      <c r="A199" s="33"/>
      <c r="B199" s="33"/>
      <c r="C199" s="33"/>
      <c r="D199" s="33"/>
      <c r="E199" s="33"/>
      <c r="F199" s="33"/>
      <c r="G199" s="33"/>
      <c r="H199" s="33"/>
      <c r="I199" s="33"/>
      <c r="J199" s="33"/>
      <c r="K199" s="33"/>
      <c r="L199" s="33"/>
      <c r="M199" s="33"/>
      <c r="N199" s="203"/>
    </row>
    <row r="200" spans="1:14" ht="15.75" customHeight="1">
      <c r="A200" s="33"/>
      <c r="B200" s="33"/>
      <c r="C200" s="33"/>
      <c r="D200" s="33"/>
      <c r="E200" s="33"/>
      <c r="F200" s="33"/>
      <c r="G200" s="33"/>
      <c r="H200" s="33"/>
      <c r="I200" s="33"/>
      <c r="J200" s="33"/>
      <c r="K200" s="33"/>
      <c r="L200" s="33"/>
      <c r="M200" s="33"/>
      <c r="N200" s="203"/>
    </row>
    <row r="201" spans="1:14" ht="15.75" customHeight="1">
      <c r="A201" s="33"/>
      <c r="B201" s="33"/>
      <c r="C201" s="33"/>
      <c r="D201" s="33"/>
      <c r="E201" s="33"/>
      <c r="F201" s="33"/>
      <c r="G201" s="33"/>
      <c r="H201" s="33"/>
      <c r="I201" s="33"/>
      <c r="J201" s="33"/>
      <c r="K201" s="33"/>
      <c r="L201" s="33"/>
      <c r="M201" s="33"/>
      <c r="N201" s="203"/>
    </row>
    <row r="202" spans="1:14" ht="15.75" customHeight="1">
      <c r="A202" s="33"/>
      <c r="B202" s="33"/>
      <c r="C202" s="33"/>
      <c r="D202" s="33"/>
      <c r="E202" s="33"/>
      <c r="F202" s="33"/>
      <c r="G202" s="33"/>
      <c r="H202" s="33"/>
      <c r="I202" s="33"/>
      <c r="J202" s="33"/>
      <c r="K202" s="33"/>
      <c r="L202" s="33"/>
      <c r="M202" s="33"/>
      <c r="N202" s="203"/>
    </row>
    <row r="203" spans="1:14" ht="15.75" customHeight="1">
      <c r="A203" s="33"/>
      <c r="B203" s="33"/>
      <c r="C203" s="33"/>
      <c r="D203" s="33"/>
      <c r="E203" s="33"/>
      <c r="F203" s="33"/>
      <c r="G203" s="33"/>
      <c r="H203" s="33"/>
      <c r="I203" s="33"/>
      <c r="J203" s="33"/>
      <c r="K203" s="33"/>
      <c r="L203" s="33"/>
      <c r="M203" s="33"/>
      <c r="N203" s="203"/>
    </row>
    <row r="204" spans="1:14" ht="15.75" customHeight="1">
      <c r="A204" s="33"/>
      <c r="B204" s="33"/>
      <c r="C204" s="33"/>
      <c r="D204" s="33"/>
      <c r="E204" s="33"/>
      <c r="F204" s="33"/>
      <c r="G204" s="33"/>
      <c r="H204" s="33"/>
      <c r="I204" s="33"/>
      <c r="J204" s="33"/>
      <c r="K204" s="33"/>
      <c r="L204" s="33"/>
      <c r="M204" s="33"/>
      <c r="N204" s="203"/>
    </row>
    <row r="205" spans="1:14" ht="15.75" customHeight="1">
      <c r="A205" s="33"/>
      <c r="B205" s="33"/>
      <c r="C205" s="33"/>
      <c r="D205" s="33"/>
      <c r="E205" s="33"/>
      <c r="F205" s="33"/>
      <c r="G205" s="33"/>
      <c r="H205" s="33"/>
      <c r="I205" s="33"/>
      <c r="J205" s="33"/>
      <c r="K205" s="33"/>
      <c r="L205" s="33"/>
      <c r="M205" s="33"/>
      <c r="N205" s="203"/>
    </row>
    <row r="206" spans="1:14" ht="15.75" customHeight="1">
      <c r="A206" s="33"/>
      <c r="B206" s="33"/>
      <c r="C206" s="33"/>
      <c r="D206" s="33"/>
      <c r="E206" s="33"/>
      <c r="F206" s="33"/>
      <c r="G206" s="33"/>
      <c r="H206" s="33"/>
      <c r="I206" s="33"/>
      <c r="J206" s="33"/>
      <c r="K206" s="33"/>
      <c r="L206" s="33"/>
      <c r="M206" s="33"/>
      <c r="N206" s="203"/>
    </row>
    <row r="207" spans="1:14" ht="15.75" customHeight="1">
      <c r="A207" s="33"/>
      <c r="B207" s="33"/>
      <c r="C207" s="33"/>
      <c r="D207" s="33"/>
      <c r="E207" s="33"/>
      <c r="F207" s="33"/>
      <c r="G207" s="33"/>
      <c r="H207" s="33"/>
      <c r="I207" s="33"/>
      <c r="J207" s="33"/>
      <c r="K207" s="33"/>
      <c r="L207" s="33"/>
      <c r="M207" s="33"/>
      <c r="N207" s="203"/>
    </row>
    <row r="208" spans="1:14" ht="15.75" customHeight="1">
      <c r="A208" s="33"/>
      <c r="B208" s="33"/>
      <c r="C208" s="33"/>
      <c r="D208" s="33"/>
      <c r="E208" s="33"/>
      <c r="F208" s="33"/>
      <c r="G208" s="33"/>
      <c r="H208" s="33"/>
      <c r="I208" s="33"/>
      <c r="J208" s="33"/>
      <c r="K208" s="33"/>
      <c r="L208" s="33"/>
      <c r="M208" s="33"/>
      <c r="N208" s="203"/>
    </row>
    <row r="209" spans="1:14" ht="15.75" customHeight="1">
      <c r="A209" s="33"/>
      <c r="B209" s="33"/>
      <c r="C209" s="33"/>
      <c r="D209" s="33"/>
      <c r="E209" s="33"/>
      <c r="F209" s="33"/>
      <c r="G209" s="33"/>
      <c r="H209" s="33"/>
      <c r="I209" s="33"/>
      <c r="J209" s="33"/>
      <c r="K209" s="33"/>
      <c r="L209" s="33"/>
      <c r="M209" s="33"/>
      <c r="N209" s="203"/>
    </row>
    <row r="210" spans="1:14" ht="15.75" customHeight="1">
      <c r="A210" s="33"/>
      <c r="B210" s="33"/>
      <c r="C210" s="33"/>
      <c r="D210" s="33"/>
      <c r="E210" s="33"/>
      <c r="F210" s="33"/>
      <c r="G210" s="33"/>
      <c r="H210" s="33"/>
      <c r="I210" s="33"/>
      <c r="J210" s="33"/>
      <c r="K210" s="33"/>
      <c r="L210" s="33"/>
      <c r="M210" s="33"/>
      <c r="N210" s="203"/>
    </row>
    <row r="211" spans="1:14" ht="15.75" customHeight="1">
      <c r="A211" s="33"/>
      <c r="B211" s="33"/>
      <c r="C211" s="33"/>
      <c r="D211" s="33"/>
      <c r="E211" s="33"/>
      <c r="F211" s="33"/>
      <c r="G211" s="33"/>
      <c r="H211" s="33"/>
      <c r="I211" s="33"/>
      <c r="J211" s="33"/>
      <c r="K211" s="33"/>
      <c r="L211" s="33"/>
      <c r="M211" s="33"/>
      <c r="N211" s="203"/>
    </row>
    <row r="212" spans="1:14" ht="15.75" customHeight="1">
      <c r="A212" s="33"/>
      <c r="B212" s="33"/>
      <c r="C212" s="33"/>
      <c r="D212" s="33"/>
      <c r="E212" s="33"/>
      <c r="F212" s="33"/>
      <c r="G212" s="33"/>
      <c r="H212" s="33"/>
      <c r="I212" s="33"/>
      <c r="J212" s="33"/>
      <c r="K212" s="33"/>
      <c r="L212" s="33"/>
      <c r="M212" s="33"/>
      <c r="N212" s="203"/>
    </row>
    <row r="213" spans="1:14" ht="15.75" customHeight="1">
      <c r="A213" s="33"/>
      <c r="B213" s="33"/>
      <c r="C213" s="33"/>
      <c r="D213" s="33"/>
      <c r="E213" s="33"/>
      <c r="F213" s="33"/>
      <c r="G213" s="33"/>
      <c r="H213" s="33"/>
      <c r="I213" s="33"/>
      <c r="J213" s="33"/>
      <c r="K213" s="33"/>
      <c r="L213" s="33"/>
      <c r="M213" s="33"/>
      <c r="N213" s="203"/>
    </row>
    <row r="214" spans="1:14" ht="15.75" customHeight="1">
      <c r="A214" s="33"/>
      <c r="B214" s="33"/>
      <c r="C214" s="33"/>
      <c r="D214" s="33"/>
      <c r="E214" s="33"/>
      <c r="F214" s="33"/>
      <c r="G214" s="33"/>
      <c r="H214" s="33"/>
      <c r="I214" s="33"/>
      <c r="J214" s="33"/>
      <c r="K214" s="33"/>
      <c r="L214" s="33"/>
      <c r="M214" s="33"/>
      <c r="N214" s="203"/>
    </row>
    <row r="215" spans="1:14" ht="15.75" customHeight="1">
      <c r="A215" s="33"/>
      <c r="B215" s="33"/>
      <c r="C215" s="33"/>
      <c r="D215" s="33"/>
      <c r="E215" s="33"/>
      <c r="F215" s="33"/>
      <c r="G215" s="33"/>
      <c r="H215" s="33"/>
      <c r="I215" s="33"/>
      <c r="J215" s="33"/>
      <c r="K215" s="33"/>
      <c r="L215" s="33"/>
      <c r="M215" s="33"/>
      <c r="N215" s="203"/>
    </row>
    <row r="216" spans="1:14" ht="15.75" customHeight="1">
      <c r="A216" s="33"/>
      <c r="B216" s="33"/>
      <c r="C216" s="33"/>
      <c r="D216" s="33"/>
      <c r="E216" s="33"/>
      <c r="F216" s="33"/>
      <c r="G216" s="33"/>
      <c r="H216" s="33"/>
      <c r="I216" s="33"/>
      <c r="J216" s="33"/>
      <c r="K216" s="33"/>
      <c r="L216" s="33"/>
      <c r="M216" s="33"/>
      <c r="N216" s="203"/>
    </row>
    <row r="217" spans="1:14" ht="15.75" customHeight="1">
      <c r="A217" s="33"/>
      <c r="B217" s="33"/>
      <c r="C217" s="33"/>
      <c r="D217" s="33"/>
      <c r="E217" s="33"/>
      <c r="F217" s="33"/>
      <c r="G217" s="33"/>
      <c r="H217" s="33"/>
      <c r="I217" s="33"/>
      <c r="J217" s="33"/>
      <c r="K217" s="33"/>
      <c r="L217" s="33"/>
      <c r="M217" s="33"/>
      <c r="N217" s="203"/>
    </row>
    <row r="218" spans="1:14" ht="15.75" customHeight="1">
      <c r="A218" s="33"/>
      <c r="B218" s="33"/>
      <c r="C218" s="33"/>
      <c r="D218" s="33"/>
      <c r="E218" s="33"/>
      <c r="F218" s="33"/>
      <c r="G218" s="33"/>
      <c r="H218" s="33"/>
      <c r="I218" s="33"/>
      <c r="J218" s="33"/>
      <c r="K218" s="33"/>
      <c r="L218" s="33"/>
      <c r="M218" s="33"/>
      <c r="N218" s="203"/>
    </row>
    <row r="219" spans="1:14" ht="15.75" customHeight="1">
      <c r="A219" s="33"/>
      <c r="B219" s="33"/>
      <c r="C219" s="33"/>
      <c r="D219" s="33"/>
      <c r="E219" s="33"/>
      <c r="F219" s="33"/>
      <c r="G219" s="33"/>
      <c r="H219" s="33"/>
      <c r="I219" s="33"/>
      <c r="J219" s="33"/>
      <c r="K219" s="33"/>
      <c r="L219" s="33"/>
      <c r="M219" s="33"/>
      <c r="N219" s="203"/>
    </row>
    <row r="220" spans="1:14" ht="15.75" customHeight="1">
      <c r="A220" s="33"/>
      <c r="B220" s="33"/>
      <c r="C220" s="33"/>
      <c r="D220" s="33"/>
      <c r="E220" s="33"/>
      <c r="F220" s="33"/>
      <c r="G220" s="33"/>
      <c r="H220" s="33"/>
      <c r="I220" s="33"/>
      <c r="J220" s="33"/>
      <c r="K220" s="33"/>
      <c r="L220" s="33"/>
      <c r="M220" s="33"/>
      <c r="N220" s="203"/>
    </row>
    <row r="221" spans="1:14" ht="15.75" customHeight="1">
      <c r="A221" s="33"/>
      <c r="B221" s="33"/>
      <c r="C221" s="33"/>
      <c r="D221" s="33"/>
      <c r="E221" s="33"/>
      <c r="F221" s="33"/>
      <c r="G221" s="33"/>
      <c r="H221" s="33"/>
      <c r="I221" s="33"/>
      <c r="J221" s="33"/>
      <c r="K221" s="33"/>
      <c r="L221" s="33"/>
      <c r="M221" s="33"/>
      <c r="N221" s="203"/>
    </row>
    <row r="222" spans="1:14" ht="15.75" customHeight="1">
      <c r="A222" s="33"/>
      <c r="B222" s="33"/>
      <c r="C222" s="33"/>
      <c r="D222" s="33"/>
      <c r="E222" s="33"/>
      <c r="F222" s="33"/>
      <c r="G222" s="33"/>
      <c r="H222" s="33"/>
      <c r="I222" s="33"/>
      <c r="J222" s="33"/>
      <c r="K222" s="33"/>
      <c r="L222" s="33"/>
      <c r="M222" s="33"/>
      <c r="N222" s="203"/>
    </row>
    <row r="223" spans="1:14" ht="15.75" customHeight="1">
      <c r="A223" s="33"/>
      <c r="B223" s="33"/>
      <c r="C223" s="33"/>
      <c r="D223" s="33"/>
      <c r="E223" s="33"/>
      <c r="F223" s="33"/>
      <c r="G223" s="33"/>
      <c r="H223" s="33"/>
      <c r="I223" s="33"/>
      <c r="J223" s="33"/>
      <c r="K223" s="33"/>
      <c r="L223" s="33"/>
      <c r="M223" s="33"/>
      <c r="N223" s="203"/>
    </row>
    <row r="224" spans="1:14" ht="15.75" customHeight="1">
      <c r="A224" s="33"/>
      <c r="B224" s="33"/>
      <c r="C224" s="33"/>
      <c r="D224" s="33"/>
      <c r="E224" s="33"/>
      <c r="F224" s="33"/>
      <c r="G224" s="33"/>
      <c r="H224" s="33"/>
      <c r="I224" s="33"/>
      <c r="J224" s="33"/>
      <c r="K224" s="33"/>
      <c r="L224" s="33"/>
      <c r="M224" s="33"/>
      <c r="N224" s="203"/>
    </row>
    <row r="225" spans="1:14" ht="15.75" customHeight="1">
      <c r="A225" s="33"/>
      <c r="B225" s="33"/>
      <c r="C225" s="33"/>
      <c r="D225" s="33"/>
      <c r="E225" s="33"/>
      <c r="F225" s="33"/>
      <c r="G225" s="33"/>
      <c r="H225" s="33"/>
      <c r="I225" s="33"/>
      <c r="J225" s="33"/>
      <c r="K225" s="33"/>
      <c r="L225" s="33"/>
      <c r="M225" s="33"/>
      <c r="N225" s="203"/>
    </row>
    <row r="226" spans="1:14" ht="15.75" customHeight="1">
      <c r="A226" s="33"/>
      <c r="B226" s="33"/>
      <c r="C226" s="33"/>
      <c r="D226" s="33"/>
      <c r="E226" s="33"/>
      <c r="F226" s="33"/>
      <c r="G226" s="33"/>
      <c r="H226" s="33"/>
      <c r="I226" s="33"/>
      <c r="J226" s="33"/>
      <c r="K226" s="33"/>
      <c r="L226" s="33"/>
      <c r="M226" s="33"/>
      <c r="N226" s="203"/>
    </row>
    <row r="227" spans="1:14" ht="15.75" customHeight="1">
      <c r="A227" s="33"/>
      <c r="B227" s="33"/>
      <c r="C227" s="33"/>
      <c r="D227" s="33"/>
      <c r="E227" s="33"/>
      <c r="F227" s="33"/>
      <c r="G227" s="33"/>
      <c r="H227" s="33"/>
      <c r="I227" s="33"/>
      <c r="J227" s="33"/>
      <c r="K227" s="33"/>
      <c r="L227" s="33"/>
      <c r="M227" s="33"/>
      <c r="N227" s="203"/>
    </row>
    <row r="228" spans="1:14" ht="15.75" customHeight="1">
      <c r="A228" s="33"/>
      <c r="B228" s="33"/>
      <c r="C228" s="33"/>
      <c r="D228" s="33"/>
      <c r="E228" s="33"/>
      <c r="F228" s="33"/>
      <c r="G228" s="33"/>
      <c r="H228" s="33"/>
      <c r="I228" s="33"/>
      <c r="J228" s="33"/>
      <c r="K228" s="33"/>
      <c r="L228" s="33"/>
      <c r="M228" s="33"/>
      <c r="N228" s="203"/>
    </row>
    <row r="229" spans="1:14" ht="15.75" customHeight="1">
      <c r="A229" s="33"/>
      <c r="B229" s="33"/>
      <c r="C229" s="33"/>
      <c r="D229" s="33"/>
      <c r="E229" s="33"/>
      <c r="F229" s="33"/>
      <c r="G229" s="33"/>
      <c r="H229" s="33"/>
      <c r="I229" s="33"/>
      <c r="J229" s="33"/>
      <c r="K229" s="33"/>
      <c r="L229" s="33"/>
      <c r="M229" s="33"/>
      <c r="N229" s="203"/>
    </row>
    <row r="230" spans="1:14" ht="15.75" customHeight="1">
      <c r="A230" s="33"/>
      <c r="B230" s="33"/>
      <c r="C230" s="33"/>
      <c r="D230" s="33"/>
      <c r="E230" s="33"/>
      <c r="F230" s="33"/>
      <c r="G230" s="33"/>
      <c r="H230" s="33"/>
      <c r="I230" s="33"/>
      <c r="J230" s="33"/>
      <c r="K230" s="33"/>
      <c r="L230" s="33"/>
      <c r="M230" s="33"/>
      <c r="N230" s="203"/>
    </row>
    <row r="231" spans="1:14" ht="15.75" customHeight="1">
      <c r="A231" s="33"/>
      <c r="B231" s="33"/>
      <c r="C231" s="33"/>
      <c r="D231" s="33"/>
      <c r="E231" s="33"/>
      <c r="F231" s="33"/>
      <c r="G231" s="33"/>
      <c r="H231" s="33"/>
      <c r="I231" s="33"/>
      <c r="J231" s="33"/>
      <c r="K231" s="33"/>
      <c r="L231" s="33"/>
      <c r="M231" s="33"/>
      <c r="N231" s="203"/>
    </row>
    <row r="232" spans="1:14" ht="15.75" customHeight="1">
      <c r="A232" s="33"/>
      <c r="B232" s="33"/>
      <c r="C232" s="33"/>
      <c r="D232" s="33"/>
      <c r="E232" s="33"/>
      <c r="F232" s="33"/>
      <c r="G232" s="33"/>
      <c r="H232" s="33"/>
      <c r="I232" s="33"/>
      <c r="J232" s="33"/>
      <c r="K232" s="33"/>
      <c r="L232" s="33"/>
      <c r="M232" s="33"/>
      <c r="N232" s="203"/>
    </row>
    <row r="233" spans="1:14" ht="15.75" customHeight="1">
      <c r="A233" s="33"/>
      <c r="B233" s="33"/>
      <c r="C233" s="33"/>
      <c r="D233" s="33"/>
      <c r="E233" s="33"/>
      <c r="F233" s="33"/>
      <c r="G233" s="33"/>
      <c r="H233" s="33"/>
      <c r="I233" s="33"/>
      <c r="J233" s="33"/>
      <c r="K233" s="33"/>
      <c r="L233" s="33"/>
      <c r="M233" s="33"/>
      <c r="N233" s="203"/>
    </row>
    <row r="234" spans="1:14" ht="15.75" customHeight="1">
      <c r="A234" s="33"/>
      <c r="B234" s="33"/>
      <c r="C234" s="33"/>
      <c r="D234" s="33"/>
      <c r="E234" s="33"/>
      <c r="F234" s="33"/>
      <c r="G234" s="33"/>
      <c r="H234" s="33"/>
      <c r="I234" s="33"/>
      <c r="J234" s="33"/>
      <c r="K234" s="33"/>
      <c r="L234" s="33"/>
      <c r="M234" s="33"/>
      <c r="N234" s="203"/>
    </row>
    <row r="235" spans="1:14" ht="15.75" customHeight="1">
      <c r="A235" s="33"/>
      <c r="B235" s="33"/>
      <c r="C235" s="33"/>
      <c r="D235" s="33"/>
      <c r="E235" s="33"/>
      <c r="F235" s="33"/>
      <c r="G235" s="33"/>
      <c r="H235" s="33"/>
      <c r="I235" s="33"/>
      <c r="J235" s="33"/>
      <c r="K235" s="33"/>
      <c r="L235" s="33"/>
      <c r="M235" s="33"/>
      <c r="N235" s="203"/>
    </row>
    <row r="236" spans="1:14" ht="15.75" customHeight="1">
      <c r="A236" s="33"/>
      <c r="B236" s="33"/>
      <c r="C236" s="33"/>
      <c r="D236" s="33"/>
      <c r="E236" s="33"/>
      <c r="F236" s="33"/>
      <c r="G236" s="33"/>
      <c r="H236" s="33"/>
      <c r="I236" s="33"/>
      <c r="J236" s="33"/>
      <c r="K236" s="33"/>
      <c r="L236" s="33"/>
      <c r="M236" s="33"/>
      <c r="N236" s="203"/>
    </row>
    <row r="237" spans="1:14" ht="15.75" customHeight="1">
      <c r="A237" s="33"/>
      <c r="B237" s="33"/>
      <c r="C237" s="33"/>
      <c r="D237" s="33"/>
      <c r="E237" s="33"/>
      <c r="F237" s="33"/>
      <c r="G237" s="33"/>
      <c r="H237" s="33"/>
      <c r="I237" s="33"/>
      <c r="J237" s="33"/>
      <c r="K237" s="33"/>
      <c r="L237" s="33"/>
      <c r="M237" s="33"/>
      <c r="N237" s="203"/>
    </row>
    <row r="238" spans="1:14" ht="15.75" customHeight="1">
      <c r="A238" s="33"/>
      <c r="B238" s="33"/>
      <c r="C238" s="33"/>
      <c r="D238" s="33"/>
      <c r="E238" s="33"/>
      <c r="F238" s="33"/>
      <c r="G238" s="33"/>
      <c r="H238" s="33"/>
      <c r="I238" s="33"/>
      <c r="J238" s="33"/>
      <c r="K238" s="33"/>
      <c r="L238" s="33"/>
      <c r="M238" s="33"/>
      <c r="N238" s="203"/>
    </row>
    <row r="239" spans="1:14" ht="15.75" customHeight="1">
      <c r="A239" s="33"/>
      <c r="B239" s="33"/>
      <c r="C239" s="33"/>
      <c r="D239" s="33"/>
      <c r="E239" s="33"/>
      <c r="F239" s="33"/>
      <c r="G239" s="33"/>
      <c r="H239" s="33"/>
      <c r="I239" s="33"/>
      <c r="J239" s="33"/>
      <c r="K239" s="33"/>
      <c r="L239" s="33"/>
      <c r="M239" s="33"/>
      <c r="N239" s="203"/>
    </row>
    <row r="240" spans="1:14" ht="15.75" customHeight="1">
      <c r="A240" s="33"/>
      <c r="B240" s="33"/>
      <c r="C240" s="33"/>
      <c r="D240" s="33"/>
      <c r="E240" s="33"/>
      <c r="F240" s="33"/>
      <c r="G240" s="33"/>
      <c r="H240" s="33"/>
      <c r="I240" s="33"/>
      <c r="J240" s="33"/>
      <c r="K240" s="33"/>
      <c r="L240" s="33"/>
      <c r="M240" s="33"/>
      <c r="N240" s="203"/>
    </row>
    <row r="241" spans="1:14" ht="15.75" customHeight="1">
      <c r="A241" s="33"/>
      <c r="B241" s="33"/>
      <c r="C241" s="33"/>
      <c r="D241" s="33"/>
      <c r="E241" s="33"/>
      <c r="F241" s="33"/>
      <c r="G241" s="33"/>
      <c r="H241" s="33"/>
      <c r="I241" s="33"/>
      <c r="J241" s="33"/>
      <c r="K241" s="33"/>
      <c r="L241" s="33"/>
      <c r="M241" s="33"/>
      <c r="N241" s="203"/>
    </row>
    <row r="242" spans="1:14" ht="15.75" customHeight="1">
      <c r="A242" s="33"/>
      <c r="B242" s="33"/>
      <c r="C242" s="33"/>
      <c r="D242" s="33"/>
      <c r="E242" s="33"/>
      <c r="F242" s="33"/>
      <c r="G242" s="33"/>
      <c r="H242" s="33"/>
      <c r="I242" s="33"/>
      <c r="J242" s="33"/>
      <c r="K242" s="33"/>
      <c r="L242" s="33"/>
      <c r="M242" s="33"/>
      <c r="N242" s="203"/>
    </row>
    <row r="243" spans="1:14" ht="15.75" customHeight="1">
      <c r="A243" s="33"/>
      <c r="B243" s="33"/>
      <c r="C243" s="33"/>
      <c r="D243" s="33"/>
      <c r="E243" s="33"/>
      <c r="F243" s="33"/>
      <c r="G243" s="33"/>
      <c r="H243" s="33"/>
      <c r="I243" s="33"/>
      <c r="J243" s="33"/>
      <c r="K243" s="33"/>
      <c r="L243" s="33"/>
      <c r="M243" s="33"/>
      <c r="N243" s="203"/>
    </row>
    <row r="244" spans="1:14" ht="15.75" customHeight="1">
      <c r="A244" s="33"/>
      <c r="B244" s="33"/>
      <c r="C244" s="33"/>
      <c r="D244" s="33"/>
      <c r="E244" s="33"/>
      <c r="F244" s="33"/>
      <c r="G244" s="33"/>
      <c r="H244" s="33"/>
      <c r="I244" s="33"/>
      <c r="J244" s="33"/>
      <c r="K244" s="33"/>
      <c r="L244" s="33"/>
      <c r="M244" s="33"/>
      <c r="N244" s="203"/>
    </row>
    <row r="245" spans="1:14" ht="15.75" customHeight="1">
      <c r="A245" s="33"/>
      <c r="B245" s="33"/>
      <c r="C245" s="33"/>
      <c r="D245" s="33"/>
      <c r="E245" s="33"/>
      <c r="F245" s="33"/>
      <c r="G245" s="33"/>
      <c r="H245" s="33"/>
      <c r="I245" s="33"/>
      <c r="J245" s="33"/>
      <c r="K245" s="33"/>
      <c r="L245" s="33"/>
      <c r="M245" s="33"/>
      <c r="N245" s="203"/>
    </row>
    <row r="246" spans="1:14" ht="15.75" customHeight="1">
      <c r="A246" s="33"/>
      <c r="B246" s="33"/>
      <c r="C246" s="33"/>
      <c r="D246" s="33"/>
      <c r="E246" s="33"/>
      <c r="F246" s="33"/>
      <c r="G246" s="33"/>
      <c r="H246" s="33"/>
      <c r="I246" s="33"/>
      <c r="J246" s="33"/>
      <c r="K246" s="33"/>
      <c r="L246" s="33"/>
      <c r="M246" s="33"/>
      <c r="N246" s="203"/>
    </row>
    <row r="247" spans="1:14" ht="15.75" customHeight="1">
      <c r="A247" s="33"/>
      <c r="B247" s="33"/>
      <c r="C247" s="33"/>
      <c r="D247" s="33"/>
      <c r="E247" s="33"/>
      <c r="F247" s="33"/>
      <c r="G247" s="33"/>
      <c r="H247" s="33"/>
      <c r="I247" s="33"/>
      <c r="J247" s="33"/>
      <c r="K247" s="33"/>
      <c r="L247" s="33"/>
      <c r="M247" s="33"/>
      <c r="N247" s="203"/>
    </row>
    <row r="248" spans="1:14" ht="15.75" customHeight="1">
      <c r="A248" s="33"/>
      <c r="B248" s="33"/>
      <c r="C248" s="33"/>
      <c r="D248" s="33"/>
      <c r="E248" s="33"/>
      <c r="F248" s="33"/>
      <c r="G248" s="33"/>
      <c r="H248" s="33"/>
      <c r="I248" s="33"/>
      <c r="J248" s="33"/>
      <c r="K248" s="33"/>
      <c r="L248" s="33"/>
      <c r="M248" s="33"/>
      <c r="N248" s="203"/>
    </row>
    <row r="249" spans="1:14" ht="15.75" customHeight="1">
      <c r="A249" s="33"/>
      <c r="B249" s="33"/>
      <c r="C249" s="33"/>
      <c r="D249" s="33"/>
      <c r="E249" s="33"/>
      <c r="F249" s="33"/>
      <c r="G249" s="33"/>
      <c r="H249" s="33"/>
      <c r="I249" s="33"/>
      <c r="J249" s="33"/>
      <c r="K249" s="33"/>
      <c r="L249" s="33"/>
      <c r="M249" s="33"/>
      <c r="N249" s="203"/>
    </row>
    <row r="250" spans="1:14" ht="15.75" customHeight="1">
      <c r="A250" s="33"/>
      <c r="B250" s="33"/>
      <c r="C250" s="33"/>
      <c r="D250" s="33"/>
      <c r="E250" s="33"/>
      <c r="F250" s="33"/>
      <c r="G250" s="33"/>
      <c r="H250" s="33"/>
      <c r="I250" s="33"/>
      <c r="J250" s="33"/>
      <c r="K250" s="33"/>
      <c r="L250" s="33"/>
      <c r="M250" s="33"/>
      <c r="N250" s="203"/>
    </row>
    <row r="251" spans="1:14" ht="15.75" customHeight="1">
      <c r="A251" s="33"/>
      <c r="B251" s="33"/>
      <c r="C251" s="33"/>
      <c r="D251" s="33"/>
      <c r="E251" s="33"/>
      <c r="F251" s="33"/>
      <c r="G251" s="33"/>
      <c r="H251" s="33"/>
      <c r="I251" s="33"/>
      <c r="J251" s="33"/>
      <c r="K251" s="33"/>
      <c r="L251" s="33"/>
      <c r="M251" s="33"/>
      <c r="N251" s="203"/>
    </row>
    <row r="252" spans="1:14" ht="15.75" customHeight="1">
      <c r="A252" s="33"/>
      <c r="B252" s="33"/>
      <c r="C252" s="33"/>
      <c r="D252" s="33"/>
      <c r="E252" s="33"/>
      <c r="F252" s="33"/>
      <c r="G252" s="33"/>
      <c r="H252" s="33"/>
      <c r="I252" s="33"/>
      <c r="J252" s="33"/>
      <c r="K252" s="33"/>
      <c r="L252" s="33"/>
      <c r="M252" s="33"/>
      <c r="N252" s="203"/>
    </row>
    <row r="253" spans="1:14" ht="15.75" customHeight="1">
      <c r="A253" s="33"/>
      <c r="B253" s="33"/>
      <c r="C253" s="33"/>
      <c r="D253" s="33"/>
      <c r="E253" s="33"/>
      <c r="F253" s="33"/>
      <c r="G253" s="33"/>
      <c r="H253" s="33"/>
      <c r="I253" s="33"/>
      <c r="J253" s="33"/>
      <c r="K253" s="33"/>
      <c r="L253" s="33"/>
      <c r="M253" s="33"/>
      <c r="N253" s="203"/>
    </row>
    <row r="254" spans="1:14" ht="15.75" customHeight="1">
      <c r="A254" s="33"/>
      <c r="B254" s="33"/>
      <c r="C254" s="33"/>
      <c r="D254" s="33"/>
      <c r="E254" s="33"/>
      <c r="F254" s="33"/>
      <c r="G254" s="33"/>
      <c r="H254" s="33"/>
      <c r="I254" s="33"/>
      <c r="J254" s="33"/>
      <c r="K254" s="33"/>
      <c r="L254" s="33"/>
      <c r="M254" s="33"/>
      <c r="N254" s="203"/>
    </row>
    <row r="255" spans="1:14" ht="15.75" customHeight="1">
      <c r="A255" s="33"/>
      <c r="B255" s="33"/>
      <c r="C255" s="33"/>
      <c r="D255" s="33"/>
      <c r="E255" s="33"/>
      <c r="F255" s="33"/>
      <c r="G255" s="33"/>
      <c r="H255" s="33"/>
      <c r="I255" s="33"/>
      <c r="J255" s="33"/>
      <c r="K255" s="33"/>
      <c r="L255" s="33"/>
      <c r="M255" s="33"/>
      <c r="N255" s="203"/>
    </row>
    <row r="256" spans="1:14" ht="15.75" customHeight="1">
      <c r="A256" s="33"/>
      <c r="B256" s="33"/>
      <c r="C256" s="33"/>
      <c r="D256" s="33"/>
      <c r="E256" s="33"/>
      <c r="F256" s="33"/>
      <c r="G256" s="33"/>
      <c r="H256" s="33"/>
      <c r="I256" s="33"/>
      <c r="J256" s="33"/>
      <c r="K256" s="33"/>
      <c r="L256" s="33"/>
      <c r="M256" s="33"/>
      <c r="N256" s="203"/>
    </row>
    <row r="257" spans="1:14" ht="15.75" customHeight="1">
      <c r="A257" s="33"/>
      <c r="B257" s="33"/>
      <c r="C257" s="33"/>
      <c r="D257" s="33"/>
      <c r="E257" s="33"/>
      <c r="F257" s="33"/>
      <c r="G257" s="33"/>
      <c r="H257" s="33"/>
      <c r="I257" s="33"/>
      <c r="J257" s="33"/>
      <c r="K257" s="33"/>
      <c r="L257" s="33"/>
      <c r="M257" s="33"/>
      <c r="N257" s="203"/>
    </row>
    <row r="258" spans="1:14" ht="15.75" customHeight="1">
      <c r="A258" s="33"/>
      <c r="B258" s="33"/>
      <c r="C258" s="33"/>
      <c r="D258" s="33"/>
      <c r="E258" s="33"/>
      <c r="F258" s="33"/>
      <c r="G258" s="33"/>
      <c r="H258" s="33"/>
      <c r="I258" s="33"/>
      <c r="J258" s="33"/>
      <c r="K258" s="33"/>
      <c r="L258" s="33"/>
      <c r="M258" s="33"/>
      <c r="N258" s="203"/>
    </row>
    <row r="259" spans="1:14" ht="15.75" customHeight="1">
      <c r="A259" s="33"/>
      <c r="B259" s="33"/>
      <c r="C259" s="33"/>
      <c r="D259" s="33"/>
      <c r="E259" s="33"/>
      <c r="F259" s="33"/>
      <c r="G259" s="33"/>
      <c r="H259" s="33"/>
      <c r="I259" s="33"/>
      <c r="J259" s="33"/>
      <c r="K259" s="33"/>
      <c r="L259" s="33"/>
      <c r="M259" s="33"/>
      <c r="N259" s="203"/>
    </row>
    <row r="260" spans="1:14" ht="15.75" customHeight="1">
      <c r="A260" s="33"/>
      <c r="B260" s="33"/>
      <c r="C260" s="33"/>
      <c r="D260" s="33"/>
      <c r="E260" s="33"/>
      <c r="F260" s="33"/>
      <c r="G260" s="33"/>
      <c r="H260" s="33"/>
      <c r="I260" s="33"/>
      <c r="J260" s="33"/>
      <c r="K260" s="33"/>
      <c r="L260" s="33"/>
      <c r="M260" s="33"/>
      <c r="N260" s="203"/>
    </row>
    <row r="261" spans="1:14" ht="15.75" customHeight="1">
      <c r="A261" s="33"/>
      <c r="B261" s="33"/>
      <c r="C261" s="33"/>
      <c r="D261" s="33"/>
      <c r="E261" s="33"/>
      <c r="F261" s="33"/>
      <c r="G261" s="33"/>
      <c r="H261" s="33"/>
      <c r="I261" s="33"/>
      <c r="J261" s="33"/>
      <c r="K261" s="33"/>
      <c r="L261" s="33"/>
      <c r="M261" s="33"/>
      <c r="N261" s="203"/>
    </row>
    <row r="262" spans="1:14" ht="15.75" customHeight="1">
      <c r="A262" s="33"/>
      <c r="B262" s="33"/>
      <c r="C262" s="33"/>
      <c r="D262" s="33"/>
      <c r="E262" s="33"/>
      <c r="F262" s="33"/>
      <c r="G262" s="33"/>
      <c r="H262" s="33"/>
      <c r="I262" s="33"/>
      <c r="J262" s="33"/>
      <c r="K262" s="33"/>
      <c r="L262" s="33"/>
      <c r="M262" s="33"/>
      <c r="N262" s="203"/>
    </row>
    <row r="263" spans="1:14" ht="15.75" customHeight="1">
      <c r="A263" s="33"/>
      <c r="B263" s="33"/>
      <c r="C263" s="33"/>
      <c r="D263" s="33"/>
      <c r="E263" s="33"/>
      <c r="F263" s="33"/>
      <c r="G263" s="33"/>
      <c r="H263" s="33"/>
      <c r="I263" s="33"/>
      <c r="J263" s="33"/>
      <c r="K263" s="33"/>
      <c r="L263" s="33"/>
      <c r="M263" s="33"/>
      <c r="N263" s="203"/>
    </row>
    <row r="264" spans="1:14" ht="15.75" customHeight="1">
      <c r="A264" s="33"/>
      <c r="B264" s="33"/>
      <c r="C264" s="33"/>
      <c r="D264" s="33"/>
      <c r="E264" s="33"/>
      <c r="F264" s="33"/>
      <c r="G264" s="33"/>
      <c r="H264" s="33"/>
      <c r="I264" s="33"/>
      <c r="J264" s="33"/>
      <c r="K264" s="33"/>
      <c r="L264" s="33"/>
      <c r="M264" s="33"/>
      <c r="N264" s="203"/>
    </row>
    <row r="265" spans="1:14" ht="15.75" customHeight="1">
      <c r="A265" s="33"/>
      <c r="B265" s="33"/>
      <c r="C265" s="33"/>
      <c r="D265" s="33"/>
      <c r="E265" s="33"/>
      <c r="F265" s="33"/>
      <c r="G265" s="33"/>
      <c r="H265" s="33"/>
      <c r="I265" s="33"/>
      <c r="J265" s="33"/>
      <c r="K265" s="33"/>
      <c r="L265" s="33"/>
      <c r="M265" s="33"/>
      <c r="N265" s="203"/>
    </row>
    <row r="266" spans="1:14" ht="15.75" customHeight="1">
      <c r="A266" s="33"/>
      <c r="B266" s="33"/>
      <c r="C266" s="33"/>
      <c r="D266" s="33"/>
      <c r="E266" s="33"/>
      <c r="F266" s="33"/>
      <c r="G266" s="33"/>
      <c r="H266" s="33"/>
      <c r="I266" s="33"/>
      <c r="J266" s="33"/>
      <c r="K266" s="33"/>
      <c r="L266" s="33"/>
      <c r="M266" s="33"/>
      <c r="N266" s="203"/>
    </row>
    <row r="267" spans="1:14" ht="15.75" customHeight="1">
      <c r="A267" s="33"/>
      <c r="B267" s="33"/>
      <c r="C267" s="33"/>
      <c r="D267" s="33"/>
      <c r="E267" s="33"/>
      <c r="F267" s="33"/>
      <c r="G267" s="33"/>
      <c r="H267" s="33"/>
      <c r="I267" s="33"/>
      <c r="J267" s="33"/>
      <c r="K267" s="33"/>
      <c r="L267" s="33"/>
      <c r="M267" s="33"/>
      <c r="N267" s="203"/>
    </row>
    <row r="268" spans="1:14" ht="15.75" customHeight="1">
      <c r="A268" s="33"/>
      <c r="B268" s="33"/>
      <c r="C268" s="33"/>
      <c r="D268" s="33"/>
      <c r="E268" s="33"/>
      <c r="F268" s="33"/>
      <c r="G268" s="33"/>
      <c r="H268" s="33"/>
      <c r="I268" s="33"/>
      <c r="J268" s="33"/>
      <c r="K268" s="33"/>
      <c r="L268" s="33"/>
      <c r="M268" s="33"/>
      <c r="N268" s="203"/>
    </row>
    <row r="269" spans="1:14" ht="15.75" customHeight="1">
      <c r="A269" s="33"/>
      <c r="B269" s="33"/>
      <c r="C269" s="33"/>
      <c r="D269" s="33"/>
      <c r="E269" s="33"/>
      <c r="F269" s="33"/>
      <c r="G269" s="33"/>
      <c r="H269" s="33"/>
      <c r="I269" s="33"/>
      <c r="J269" s="33"/>
      <c r="K269" s="33"/>
      <c r="L269" s="33"/>
      <c r="M269" s="33"/>
      <c r="N269" s="203"/>
    </row>
    <row r="270" spans="1:14" ht="15.75" customHeight="1">
      <c r="A270" s="33"/>
      <c r="B270" s="33"/>
      <c r="C270" s="33"/>
      <c r="D270" s="33"/>
      <c r="E270" s="33"/>
      <c r="F270" s="33"/>
      <c r="G270" s="33"/>
      <c r="H270" s="33"/>
      <c r="I270" s="33"/>
      <c r="J270" s="33"/>
      <c r="K270" s="33"/>
      <c r="L270" s="33"/>
      <c r="M270" s="33"/>
      <c r="N270" s="203"/>
    </row>
    <row r="271" spans="1:14" ht="15.75" customHeight="1">
      <c r="A271" s="33"/>
      <c r="B271" s="33"/>
      <c r="C271" s="33"/>
      <c r="D271" s="33"/>
      <c r="E271" s="33"/>
      <c r="F271" s="33"/>
      <c r="G271" s="33"/>
      <c r="H271" s="33"/>
      <c r="I271" s="33"/>
      <c r="J271" s="33"/>
      <c r="K271" s="33"/>
      <c r="L271" s="33"/>
      <c r="M271" s="33"/>
      <c r="N271" s="203"/>
    </row>
    <row r="272" spans="1:14" ht="15.75" customHeight="1">
      <c r="A272" s="33"/>
      <c r="B272" s="33"/>
      <c r="C272" s="33"/>
      <c r="D272" s="33"/>
      <c r="E272" s="33"/>
      <c r="F272" s="33"/>
      <c r="G272" s="33"/>
      <c r="H272" s="33"/>
      <c r="I272" s="33"/>
      <c r="J272" s="33"/>
      <c r="K272" s="33"/>
      <c r="L272" s="33"/>
      <c r="M272" s="33"/>
      <c r="N272" s="203"/>
    </row>
    <row r="273" spans="1:14" ht="15.75" customHeight="1">
      <c r="A273" s="33"/>
      <c r="B273" s="33"/>
      <c r="C273" s="33"/>
      <c r="D273" s="33"/>
      <c r="E273" s="33"/>
      <c r="F273" s="33"/>
      <c r="G273" s="33"/>
      <c r="H273" s="33"/>
      <c r="I273" s="33"/>
      <c r="J273" s="33"/>
      <c r="K273" s="33"/>
      <c r="L273" s="33"/>
      <c r="M273" s="33"/>
      <c r="N273" s="203"/>
    </row>
    <row r="274" spans="1:14" ht="15.75" customHeight="1">
      <c r="A274" s="33"/>
      <c r="B274" s="33"/>
      <c r="C274" s="33"/>
      <c r="D274" s="33"/>
      <c r="E274" s="33"/>
      <c r="F274" s="33"/>
      <c r="G274" s="33"/>
      <c r="H274" s="33"/>
      <c r="I274" s="33"/>
      <c r="J274" s="33"/>
      <c r="K274" s="33"/>
      <c r="L274" s="33"/>
      <c r="M274" s="33"/>
      <c r="N274" s="203"/>
    </row>
    <row r="275" spans="1:14" ht="15.75" customHeight="1">
      <c r="A275" s="33"/>
      <c r="B275" s="33"/>
      <c r="C275" s="33"/>
      <c r="D275" s="33"/>
      <c r="E275" s="33"/>
      <c r="F275" s="33"/>
      <c r="G275" s="33"/>
      <c r="H275" s="33"/>
      <c r="I275" s="33"/>
      <c r="J275" s="33"/>
      <c r="K275" s="33"/>
      <c r="L275" s="33"/>
      <c r="M275" s="33"/>
      <c r="N275" s="203"/>
    </row>
    <row r="276" spans="1:14" ht="15.75" customHeight="1">
      <c r="A276" s="33"/>
      <c r="B276" s="33"/>
      <c r="C276" s="33"/>
      <c r="D276" s="33"/>
      <c r="E276" s="33"/>
      <c r="F276" s="33"/>
      <c r="G276" s="33"/>
      <c r="H276" s="33"/>
      <c r="I276" s="33"/>
      <c r="J276" s="33"/>
      <c r="K276" s="33"/>
      <c r="L276" s="33"/>
      <c r="M276" s="33"/>
      <c r="N276" s="203"/>
    </row>
    <row r="277" spans="1:14" ht="15.75" customHeight="1">
      <c r="A277" s="33"/>
      <c r="B277" s="33"/>
      <c r="C277" s="33"/>
      <c r="D277" s="33"/>
      <c r="E277" s="33"/>
      <c r="F277" s="33"/>
      <c r="G277" s="33"/>
      <c r="H277" s="33"/>
      <c r="I277" s="33"/>
      <c r="J277" s="33"/>
      <c r="K277" s="33"/>
      <c r="L277" s="33"/>
      <c r="M277" s="33"/>
      <c r="N277" s="203"/>
    </row>
    <row r="278" spans="1:14" ht="15.75" customHeight="1">
      <c r="A278" s="33"/>
      <c r="B278" s="33"/>
      <c r="C278" s="33"/>
      <c r="D278" s="33"/>
      <c r="E278" s="33"/>
      <c r="F278" s="33"/>
      <c r="G278" s="33"/>
      <c r="H278" s="33"/>
      <c r="I278" s="33"/>
      <c r="J278" s="33"/>
      <c r="K278" s="33"/>
      <c r="L278" s="33"/>
      <c r="M278" s="33"/>
      <c r="N278" s="203"/>
    </row>
    <row r="279" spans="1:14" ht="15.75" customHeight="1">
      <c r="A279" s="33"/>
      <c r="B279" s="33"/>
      <c r="C279" s="33"/>
      <c r="D279" s="33"/>
      <c r="E279" s="33"/>
      <c r="F279" s="33"/>
      <c r="G279" s="33"/>
      <c r="H279" s="33"/>
      <c r="I279" s="33"/>
      <c r="J279" s="33"/>
      <c r="K279" s="33"/>
      <c r="L279" s="33"/>
      <c r="M279" s="33"/>
      <c r="N279" s="203"/>
    </row>
    <row r="280" spans="1:14" ht="15.75" customHeight="1">
      <c r="A280" s="33"/>
      <c r="B280" s="33"/>
      <c r="C280" s="33"/>
      <c r="D280" s="33"/>
      <c r="E280" s="33"/>
      <c r="F280" s="33"/>
      <c r="G280" s="33"/>
      <c r="H280" s="33"/>
      <c r="I280" s="33"/>
      <c r="J280" s="33"/>
      <c r="K280" s="33"/>
      <c r="L280" s="33"/>
      <c r="M280" s="33"/>
      <c r="N280" s="203"/>
    </row>
    <row r="281" spans="1:14" ht="15.75" customHeight="1">
      <c r="A281" s="33"/>
      <c r="B281" s="33"/>
      <c r="C281" s="33"/>
      <c r="D281" s="33"/>
      <c r="E281" s="33"/>
      <c r="F281" s="33"/>
      <c r="G281" s="33"/>
      <c r="H281" s="33"/>
      <c r="I281" s="33"/>
      <c r="J281" s="33"/>
      <c r="K281" s="33"/>
      <c r="L281" s="33"/>
      <c r="M281" s="33"/>
      <c r="N281" s="203"/>
    </row>
    <row r="282" spans="1:14" ht="15.75" customHeight="1">
      <c r="A282" s="33"/>
      <c r="B282" s="33"/>
      <c r="C282" s="33"/>
      <c r="D282" s="33"/>
      <c r="E282" s="33"/>
      <c r="F282" s="33"/>
      <c r="G282" s="33"/>
      <c r="H282" s="33"/>
      <c r="I282" s="33"/>
      <c r="J282" s="33"/>
      <c r="K282" s="33"/>
      <c r="L282" s="33"/>
      <c r="M282" s="33"/>
      <c r="N282" s="203"/>
    </row>
    <row r="283" spans="1:14" ht="15.75" customHeight="1">
      <c r="A283" s="33"/>
      <c r="B283" s="33"/>
      <c r="C283" s="33"/>
      <c r="D283" s="33"/>
      <c r="E283" s="33"/>
      <c r="F283" s="33"/>
      <c r="G283" s="33"/>
      <c r="H283" s="33"/>
      <c r="I283" s="33"/>
      <c r="J283" s="33"/>
      <c r="K283" s="33"/>
      <c r="L283" s="33"/>
      <c r="M283" s="33"/>
      <c r="N283" s="203"/>
    </row>
    <row r="284" spans="1:14" ht="15.75" customHeight="1">
      <c r="A284" s="33"/>
      <c r="B284" s="33"/>
      <c r="C284" s="33"/>
      <c r="D284" s="33"/>
      <c r="E284" s="33"/>
      <c r="F284" s="33"/>
      <c r="G284" s="33"/>
      <c r="H284" s="33"/>
      <c r="I284" s="33"/>
      <c r="J284" s="33"/>
      <c r="K284" s="33"/>
      <c r="L284" s="33"/>
      <c r="M284" s="33"/>
      <c r="N284" s="203"/>
    </row>
    <row r="285" spans="1:14" ht="15.75" customHeight="1">
      <c r="A285" s="33"/>
      <c r="B285" s="33"/>
      <c r="C285" s="33"/>
      <c r="D285" s="33"/>
      <c r="E285" s="33"/>
      <c r="F285" s="33"/>
      <c r="G285" s="33"/>
      <c r="H285" s="33"/>
      <c r="I285" s="33"/>
      <c r="J285" s="33"/>
      <c r="K285" s="33"/>
      <c r="L285" s="33"/>
      <c r="M285" s="33"/>
      <c r="N285" s="203"/>
    </row>
    <row r="286" spans="1:14" ht="15.75" customHeight="1">
      <c r="A286" s="33"/>
      <c r="B286" s="33"/>
      <c r="C286" s="33"/>
      <c r="D286" s="33"/>
      <c r="E286" s="33"/>
      <c r="F286" s="33"/>
      <c r="G286" s="33"/>
      <c r="H286" s="33"/>
      <c r="I286" s="33"/>
      <c r="J286" s="33"/>
      <c r="K286" s="33"/>
      <c r="L286" s="33"/>
      <c r="M286" s="33"/>
      <c r="N286" s="203"/>
    </row>
    <row r="287" spans="1:14" ht="15.75" customHeight="1">
      <c r="A287" s="33"/>
      <c r="B287" s="33"/>
      <c r="C287" s="33"/>
      <c r="D287" s="33"/>
      <c r="E287" s="33"/>
      <c r="F287" s="33"/>
      <c r="G287" s="33"/>
      <c r="H287" s="33"/>
      <c r="I287" s="33"/>
      <c r="J287" s="33"/>
      <c r="K287" s="33"/>
      <c r="L287" s="33"/>
      <c r="M287" s="33"/>
      <c r="N287" s="203"/>
    </row>
    <row r="288" spans="1:14" ht="15.75" customHeight="1">
      <c r="A288" s="33"/>
      <c r="B288" s="33"/>
      <c r="C288" s="33"/>
      <c r="D288" s="33"/>
      <c r="E288" s="33"/>
      <c r="F288" s="33"/>
      <c r="G288" s="33"/>
      <c r="H288" s="33"/>
      <c r="I288" s="33"/>
      <c r="J288" s="33"/>
      <c r="K288" s="33"/>
      <c r="L288" s="33"/>
      <c r="M288" s="33"/>
      <c r="N288" s="203"/>
    </row>
    <row r="289" spans="1:14" ht="15.75" customHeight="1">
      <c r="A289" s="33"/>
      <c r="B289" s="33"/>
      <c r="C289" s="33"/>
      <c r="D289" s="33"/>
      <c r="E289" s="33"/>
      <c r="F289" s="33"/>
      <c r="G289" s="33"/>
      <c r="H289" s="33"/>
      <c r="I289" s="33"/>
      <c r="J289" s="33"/>
      <c r="K289" s="33"/>
      <c r="L289" s="33"/>
      <c r="M289" s="33"/>
      <c r="N289" s="203"/>
    </row>
    <row r="290" spans="1:14" ht="15.75" customHeight="1">
      <c r="A290" s="33"/>
      <c r="B290" s="33"/>
      <c r="C290" s="33"/>
      <c r="D290" s="33"/>
      <c r="E290" s="33"/>
      <c r="F290" s="33"/>
      <c r="G290" s="33"/>
      <c r="H290" s="33"/>
      <c r="I290" s="33"/>
      <c r="J290" s="33"/>
      <c r="K290" s="33"/>
      <c r="L290" s="33"/>
      <c r="M290" s="33"/>
      <c r="N290" s="203"/>
    </row>
    <row r="291" spans="1:14" ht="15.75" customHeight="1">
      <c r="A291" s="33"/>
      <c r="B291" s="33"/>
      <c r="C291" s="33"/>
      <c r="D291" s="33"/>
      <c r="E291" s="33"/>
      <c r="F291" s="33"/>
      <c r="G291" s="33"/>
      <c r="H291" s="33"/>
      <c r="I291" s="33"/>
      <c r="J291" s="33"/>
      <c r="K291" s="33"/>
      <c r="L291" s="33"/>
      <c r="M291" s="33"/>
      <c r="N291" s="203"/>
    </row>
    <row r="292" spans="1:14" ht="15.75" customHeight="1">
      <c r="A292" s="33"/>
      <c r="B292" s="33"/>
      <c r="C292" s="33"/>
      <c r="D292" s="33"/>
      <c r="E292" s="33"/>
      <c r="F292" s="33"/>
      <c r="G292" s="33"/>
      <c r="H292" s="33"/>
      <c r="I292" s="33"/>
      <c r="J292" s="33"/>
      <c r="K292" s="33"/>
      <c r="L292" s="33"/>
      <c r="M292" s="33"/>
      <c r="N292" s="203"/>
    </row>
    <row r="293" spans="1:14" ht="15.75" customHeight="1">
      <c r="A293" s="33"/>
      <c r="B293" s="33"/>
      <c r="C293" s="33"/>
      <c r="D293" s="33"/>
      <c r="E293" s="33"/>
      <c r="F293" s="33"/>
      <c r="G293" s="33"/>
      <c r="H293" s="33"/>
      <c r="I293" s="33"/>
      <c r="J293" s="33"/>
      <c r="K293" s="33"/>
      <c r="L293" s="33"/>
      <c r="M293" s="33"/>
      <c r="N293" s="203"/>
    </row>
    <row r="294" spans="1:14" ht="15.75" customHeight="1">
      <c r="A294" s="33"/>
      <c r="B294" s="33"/>
      <c r="C294" s="33"/>
      <c r="D294" s="33"/>
      <c r="E294" s="33"/>
      <c r="F294" s="33"/>
      <c r="G294" s="33"/>
      <c r="H294" s="33"/>
      <c r="I294" s="33"/>
      <c r="J294" s="33"/>
      <c r="K294" s="33"/>
      <c r="L294" s="33"/>
      <c r="M294" s="33"/>
      <c r="N294" s="203"/>
    </row>
    <row r="295" spans="1:14" ht="15.75" customHeight="1">
      <c r="A295" s="33"/>
      <c r="B295" s="33"/>
      <c r="C295" s="33"/>
      <c r="D295" s="33"/>
      <c r="E295" s="33"/>
      <c r="F295" s="33"/>
      <c r="G295" s="33"/>
      <c r="H295" s="33"/>
      <c r="I295" s="33"/>
      <c r="J295" s="33"/>
      <c r="K295" s="33"/>
      <c r="L295" s="33"/>
      <c r="M295" s="33"/>
      <c r="N295" s="203"/>
    </row>
    <row r="296" spans="1:14" ht="15.75" customHeight="1">
      <c r="A296" s="33"/>
      <c r="B296" s="33"/>
      <c r="C296" s="33"/>
      <c r="D296" s="33"/>
      <c r="E296" s="33"/>
      <c r="F296" s="33"/>
      <c r="G296" s="33"/>
      <c r="H296" s="33"/>
      <c r="I296" s="33"/>
      <c r="J296" s="33"/>
      <c r="K296" s="33"/>
      <c r="L296" s="33"/>
      <c r="M296" s="33"/>
      <c r="N296" s="203"/>
    </row>
    <row r="297" spans="1:14" ht="15.75" customHeight="1">
      <c r="A297" s="33"/>
      <c r="B297" s="33"/>
      <c r="C297" s="33"/>
      <c r="D297" s="33"/>
      <c r="E297" s="33"/>
      <c r="F297" s="33"/>
      <c r="G297" s="33"/>
      <c r="H297" s="33"/>
      <c r="I297" s="33"/>
      <c r="J297" s="33"/>
      <c r="K297" s="33"/>
      <c r="L297" s="33"/>
      <c r="M297" s="33"/>
      <c r="N297" s="203"/>
    </row>
    <row r="298" spans="1:14" ht="15.75" customHeight="1">
      <c r="A298" s="33"/>
      <c r="B298" s="33"/>
      <c r="C298" s="33"/>
      <c r="D298" s="33"/>
      <c r="E298" s="33"/>
      <c r="F298" s="33"/>
      <c r="G298" s="33"/>
      <c r="H298" s="33"/>
      <c r="I298" s="33"/>
      <c r="J298" s="33"/>
      <c r="K298" s="33"/>
      <c r="L298" s="33"/>
      <c r="M298" s="33"/>
      <c r="N298" s="203"/>
    </row>
    <row r="299" spans="1:14" ht="15.75" customHeight="1">
      <c r="A299" s="33"/>
      <c r="B299" s="33"/>
      <c r="C299" s="33"/>
      <c r="D299" s="33"/>
      <c r="E299" s="33"/>
      <c r="F299" s="33"/>
      <c r="G299" s="33"/>
      <c r="H299" s="33"/>
      <c r="I299" s="33"/>
      <c r="J299" s="33"/>
      <c r="K299" s="33"/>
      <c r="L299" s="33"/>
      <c r="M299" s="33"/>
      <c r="N299" s="203"/>
    </row>
    <row r="300" spans="1:14" ht="15.75" customHeight="1">
      <c r="A300" s="33"/>
      <c r="B300" s="33"/>
      <c r="C300" s="33"/>
      <c r="D300" s="33"/>
      <c r="E300" s="33"/>
      <c r="F300" s="33"/>
      <c r="G300" s="33"/>
      <c r="H300" s="33"/>
      <c r="I300" s="33"/>
      <c r="J300" s="33"/>
      <c r="K300" s="33"/>
      <c r="L300" s="33"/>
      <c r="M300" s="33"/>
      <c r="N300" s="203"/>
    </row>
    <row r="301" spans="1:14" ht="15.75" customHeight="1">
      <c r="A301" s="33"/>
      <c r="B301" s="33"/>
      <c r="C301" s="33"/>
      <c r="D301" s="33"/>
      <c r="E301" s="33"/>
      <c r="F301" s="33"/>
      <c r="G301" s="33"/>
      <c r="H301" s="33"/>
      <c r="I301" s="33"/>
      <c r="J301" s="33"/>
      <c r="K301" s="33"/>
      <c r="L301" s="33"/>
      <c r="M301" s="33"/>
      <c r="N301" s="203"/>
    </row>
    <row r="302" spans="1:14" ht="15.75" customHeight="1">
      <c r="A302" s="33"/>
      <c r="B302" s="33"/>
      <c r="C302" s="33"/>
      <c r="D302" s="33"/>
      <c r="E302" s="33"/>
      <c r="F302" s="33"/>
      <c r="G302" s="33"/>
      <c r="H302" s="33"/>
      <c r="I302" s="33"/>
      <c r="J302" s="33"/>
      <c r="K302" s="33"/>
      <c r="L302" s="33"/>
      <c r="M302" s="33"/>
      <c r="N302" s="203"/>
    </row>
    <row r="303" spans="1:14" ht="15.75" customHeight="1">
      <c r="A303" s="33"/>
      <c r="B303" s="33"/>
      <c r="C303" s="33"/>
      <c r="D303" s="33"/>
      <c r="E303" s="33"/>
      <c r="F303" s="33"/>
      <c r="G303" s="33"/>
      <c r="H303" s="33"/>
      <c r="I303" s="33"/>
      <c r="J303" s="33"/>
      <c r="K303" s="33"/>
      <c r="L303" s="33"/>
      <c r="M303" s="33"/>
      <c r="N303" s="203"/>
    </row>
    <row r="304" spans="1:14" ht="15.75" customHeight="1">
      <c r="A304" s="33"/>
      <c r="B304" s="33"/>
      <c r="C304" s="33"/>
      <c r="D304" s="33"/>
      <c r="E304" s="33"/>
      <c r="F304" s="33"/>
      <c r="G304" s="33"/>
      <c r="H304" s="33"/>
      <c r="I304" s="33"/>
      <c r="J304" s="33"/>
      <c r="K304" s="33"/>
      <c r="L304" s="33"/>
      <c r="M304" s="33"/>
      <c r="N304" s="203"/>
    </row>
    <row r="305" spans="1:14" ht="15.75" customHeight="1">
      <c r="A305" s="33"/>
      <c r="B305" s="33"/>
      <c r="C305" s="33"/>
      <c r="D305" s="33"/>
      <c r="E305" s="33"/>
      <c r="F305" s="33"/>
      <c r="G305" s="33"/>
      <c r="H305" s="33"/>
      <c r="I305" s="33"/>
      <c r="J305" s="33"/>
      <c r="K305" s="33"/>
      <c r="L305" s="33"/>
      <c r="M305" s="33"/>
      <c r="N305" s="203"/>
    </row>
    <row r="306" spans="1:14" ht="15.75" customHeight="1">
      <c r="A306" s="33"/>
      <c r="B306" s="33"/>
      <c r="C306" s="33"/>
      <c r="D306" s="33"/>
      <c r="E306" s="33"/>
      <c r="F306" s="33"/>
      <c r="G306" s="33"/>
      <c r="H306" s="33"/>
      <c r="I306" s="33"/>
      <c r="J306" s="33"/>
      <c r="K306" s="33"/>
      <c r="L306" s="33"/>
      <c r="M306" s="33"/>
      <c r="N306" s="203"/>
    </row>
    <row r="307" spans="1:14" ht="15.75" customHeight="1">
      <c r="A307" s="33"/>
      <c r="B307" s="33"/>
      <c r="C307" s="33"/>
      <c r="D307" s="33"/>
      <c r="E307" s="33"/>
      <c r="F307" s="33"/>
      <c r="G307" s="33"/>
      <c r="H307" s="33"/>
      <c r="I307" s="33"/>
      <c r="J307" s="33"/>
      <c r="K307" s="33"/>
      <c r="L307" s="33"/>
      <c r="M307" s="33"/>
      <c r="N307" s="203"/>
    </row>
    <row r="308" spans="1:14" ht="15.75" customHeight="1">
      <c r="A308" s="33"/>
      <c r="B308" s="33"/>
      <c r="C308" s="33"/>
      <c r="D308" s="33"/>
      <c r="E308" s="33"/>
      <c r="F308" s="33"/>
      <c r="G308" s="33"/>
      <c r="H308" s="33"/>
      <c r="I308" s="33"/>
      <c r="J308" s="33"/>
      <c r="K308" s="33"/>
      <c r="L308" s="33"/>
      <c r="M308" s="33"/>
      <c r="N308" s="203"/>
    </row>
    <row r="309" spans="1:14" ht="15.75" customHeight="1">
      <c r="A309" s="33"/>
      <c r="B309" s="33"/>
      <c r="C309" s="33"/>
      <c r="D309" s="33"/>
      <c r="E309" s="33"/>
      <c r="F309" s="33"/>
      <c r="G309" s="33"/>
      <c r="H309" s="33"/>
      <c r="I309" s="33"/>
      <c r="J309" s="33"/>
      <c r="K309" s="33"/>
      <c r="L309" s="33"/>
      <c r="M309" s="33"/>
      <c r="N309" s="203"/>
    </row>
    <row r="310" spans="1:14" ht="15.75" customHeight="1">
      <c r="A310" s="33"/>
      <c r="B310" s="33"/>
      <c r="C310" s="33"/>
      <c r="D310" s="33"/>
      <c r="E310" s="33"/>
      <c r="F310" s="33"/>
      <c r="G310" s="33"/>
      <c r="H310" s="33"/>
      <c r="I310" s="33"/>
      <c r="J310" s="33"/>
      <c r="K310" s="33"/>
      <c r="L310" s="33"/>
      <c r="M310" s="33"/>
      <c r="N310" s="203"/>
    </row>
    <row r="311" spans="1:14" ht="15.75" customHeight="1">
      <c r="A311" s="33"/>
      <c r="B311" s="33"/>
      <c r="C311" s="33"/>
      <c r="D311" s="33"/>
      <c r="E311" s="33"/>
      <c r="F311" s="33"/>
      <c r="G311" s="33"/>
      <c r="H311" s="33"/>
      <c r="I311" s="33"/>
      <c r="J311" s="33"/>
      <c r="K311" s="33"/>
      <c r="L311" s="33"/>
      <c r="M311" s="33"/>
      <c r="N311" s="203"/>
    </row>
    <row r="312" spans="1:14" ht="15.75" customHeight="1">
      <c r="A312" s="33"/>
      <c r="B312" s="33"/>
      <c r="C312" s="33"/>
      <c r="D312" s="33"/>
      <c r="E312" s="33"/>
      <c r="F312" s="33"/>
      <c r="G312" s="33"/>
      <c r="H312" s="33"/>
      <c r="I312" s="33"/>
      <c r="J312" s="33"/>
      <c r="K312" s="33"/>
      <c r="L312" s="33"/>
      <c r="M312" s="33"/>
      <c r="N312" s="203"/>
    </row>
    <row r="313" spans="1:14" ht="15.75" customHeight="1">
      <c r="A313" s="33"/>
      <c r="B313" s="33"/>
      <c r="C313" s="33"/>
      <c r="D313" s="33"/>
      <c r="E313" s="33"/>
      <c r="F313" s="33"/>
      <c r="G313" s="33"/>
      <c r="H313" s="33"/>
      <c r="I313" s="33"/>
      <c r="J313" s="33"/>
      <c r="K313" s="33"/>
      <c r="L313" s="33"/>
      <c r="M313" s="33"/>
      <c r="N313" s="203"/>
    </row>
    <row r="314" spans="1:14" ht="15.75" customHeight="1">
      <c r="A314" s="33"/>
      <c r="B314" s="33"/>
      <c r="C314" s="33"/>
      <c r="D314" s="33"/>
      <c r="E314" s="33"/>
      <c r="F314" s="33"/>
      <c r="G314" s="33"/>
      <c r="H314" s="33"/>
      <c r="I314" s="33"/>
      <c r="J314" s="33"/>
      <c r="K314" s="33"/>
      <c r="L314" s="33"/>
      <c r="M314" s="33"/>
      <c r="N314" s="203"/>
    </row>
    <row r="315" spans="1:14" ht="15.75" customHeight="1">
      <c r="A315" s="33"/>
      <c r="B315" s="33"/>
      <c r="C315" s="33"/>
      <c r="D315" s="33"/>
      <c r="E315" s="33"/>
      <c r="F315" s="33"/>
      <c r="G315" s="33"/>
      <c r="H315" s="33"/>
      <c r="I315" s="33"/>
      <c r="J315" s="33"/>
      <c r="K315" s="33"/>
      <c r="L315" s="33"/>
      <c r="M315" s="33"/>
      <c r="N315" s="203"/>
    </row>
    <row r="316" spans="1:14" ht="15.75" customHeight="1">
      <c r="A316" s="33"/>
      <c r="B316" s="33"/>
      <c r="C316" s="33"/>
      <c r="D316" s="33"/>
      <c r="E316" s="33"/>
      <c r="F316" s="33"/>
      <c r="G316" s="33"/>
      <c r="H316" s="33"/>
      <c r="I316" s="33"/>
      <c r="J316" s="33"/>
      <c r="K316" s="33"/>
      <c r="L316" s="33"/>
      <c r="M316" s="33"/>
      <c r="N316" s="203"/>
    </row>
    <row r="317" spans="1:14" ht="15.75" customHeight="1">
      <c r="A317" s="33"/>
      <c r="B317" s="33"/>
      <c r="C317" s="33"/>
      <c r="D317" s="33"/>
      <c r="E317" s="33"/>
      <c r="F317" s="33"/>
      <c r="G317" s="33"/>
      <c r="H317" s="33"/>
      <c r="I317" s="33"/>
      <c r="J317" s="33"/>
      <c r="K317" s="33"/>
      <c r="L317" s="33"/>
      <c r="M317" s="33"/>
      <c r="N317" s="203"/>
    </row>
    <row r="318" spans="1:14" ht="15.75" customHeight="1">
      <c r="A318" s="33"/>
      <c r="B318" s="33"/>
      <c r="C318" s="33"/>
      <c r="D318" s="33"/>
      <c r="E318" s="33"/>
      <c r="F318" s="33"/>
      <c r="G318" s="33"/>
      <c r="H318" s="33"/>
      <c r="I318" s="33"/>
      <c r="J318" s="33"/>
      <c r="K318" s="33"/>
      <c r="L318" s="33"/>
      <c r="M318" s="33"/>
      <c r="N318" s="203"/>
    </row>
    <row r="319" spans="1:14" ht="15.75" customHeight="1">
      <c r="A319" s="33"/>
      <c r="B319" s="33"/>
      <c r="C319" s="33"/>
      <c r="D319" s="33"/>
      <c r="E319" s="33"/>
      <c r="F319" s="33"/>
      <c r="G319" s="33"/>
      <c r="H319" s="33"/>
      <c r="I319" s="33"/>
      <c r="J319" s="33"/>
      <c r="K319" s="33"/>
      <c r="L319" s="33"/>
      <c r="M319" s="33"/>
      <c r="N319" s="203"/>
    </row>
    <row r="320" spans="1:14" ht="15.75" customHeight="1">
      <c r="A320" s="33"/>
      <c r="B320" s="33"/>
      <c r="C320" s="33"/>
      <c r="D320" s="33"/>
      <c r="E320" s="33"/>
      <c r="F320" s="33"/>
      <c r="G320" s="33"/>
      <c r="H320" s="33"/>
      <c r="I320" s="33"/>
      <c r="J320" s="33"/>
      <c r="K320" s="33"/>
      <c r="L320" s="33"/>
      <c r="M320" s="33"/>
      <c r="N320" s="203"/>
    </row>
    <row r="321" spans="14:14" ht="15.75" customHeight="1">
      <c r="N321" s="203"/>
    </row>
    <row r="322" spans="14:14" ht="15.75" customHeight="1">
      <c r="N322" s="203"/>
    </row>
    <row r="323" spans="14:14" ht="15.75" customHeight="1">
      <c r="N323" s="203"/>
    </row>
    <row r="324" spans="14:14" ht="15.75" customHeight="1">
      <c r="N324" s="203"/>
    </row>
    <row r="325" spans="14:14" ht="15.75" customHeight="1">
      <c r="N325" s="203"/>
    </row>
    <row r="326" spans="14:14" ht="15.75" customHeight="1">
      <c r="N326" s="203"/>
    </row>
    <row r="327" spans="14:14" ht="15.75" customHeight="1">
      <c r="N327" s="203"/>
    </row>
    <row r="328" spans="14:14" ht="15.75" customHeight="1">
      <c r="N328" s="203"/>
    </row>
    <row r="329" spans="14:14" ht="15.75" customHeight="1">
      <c r="N329" s="203"/>
    </row>
    <row r="330" spans="14:14" ht="15.75" customHeight="1">
      <c r="N330" s="203"/>
    </row>
    <row r="331" spans="14:14" ht="15.75" customHeight="1">
      <c r="N331" s="203"/>
    </row>
    <row r="332" spans="14:14" ht="15.75" customHeight="1">
      <c r="N332" s="203"/>
    </row>
    <row r="333" spans="14:14" ht="15.75" customHeight="1">
      <c r="N333" s="203"/>
    </row>
    <row r="334" spans="14:14" ht="15.75" customHeight="1">
      <c r="N334" s="203"/>
    </row>
    <row r="335" spans="14:14" ht="15.75" customHeight="1">
      <c r="N335" s="203"/>
    </row>
    <row r="336" spans="14:1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9">
    <mergeCell ref="D95:D96"/>
    <mergeCell ref="D97:D98"/>
    <mergeCell ref="E97:E98"/>
    <mergeCell ref="F97:F98"/>
    <mergeCell ref="G97:G98"/>
    <mergeCell ref="H106:J106"/>
    <mergeCell ref="H107:J107"/>
    <mergeCell ref="B102:E102"/>
    <mergeCell ref="F102:G102"/>
    <mergeCell ref="I102:J102"/>
    <mergeCell ref="B103:B105"/>
    <mergeCell ref="C103:D103"/>
    <mergeCell ref="F103:G105"/>
    <mergeCell ref="C104:D104"/>
    <mergeCell ref="I103:J103"/>
    <mergeCell ref="I104:J104"/>
    <mergeCell ref="C6:D6"/>
    <mergeCell ref="A8:A12"/>
    <mergeCell ref="J9:K11"/>
    <mergeCell ref="F8:F11"/>
    <mergeCell ref="C105:D105"/>
    <mergeCell ref="I105:J105"/>
    <mergeCell ref="G8:G11"/>
    <mergeCell ref="B8:B12"/>
    <mergeCell ref="C8:C12"/>
    <mergeCell ref="A95:B95"/>
    <mergeCell ref="E95:E96"/>
    <mergeCell ref="F95:F96"/>
    <mergeCell ref="G95:G96"/>
    <mergeCell ref="A96:C97"/>
    <mergeCell ref="D8:D11"/>
    <mergeCell ref="E8:E11"/>
    <mergeCell ref="A1:K1"/>
    <mergeCell ref="A2:K2"/>
    <mergeCell ref="C3:D3"/>
    <mergeCell ref="C4:D4"/>
    <mergeCell ref="C5:D5"/>
    <mergeCell ref="J97:J98"/>
    <mergeCell ref="K97:K98"/>
    <mergeCell ref="H97:H98"/>
    <mergeCell ref="I97:I98"/>
    <mergeCell ref="H8:H11"/>
    <mergeCell ref="I8:I11"/>
    <mergeCell ref="X6:AD6"/>
    <mergeCell ref="Y14:AE14"/>
    <mergeCell ref="H95:H96"/>
    <mergeCell ref="I95:I96"/>
    <mergeCell ref="J95:J96"/>
    <mergeCell ref="K95:K96"/>
  </mergeCells>
  <pageMargins left="0.7" right="0.7" top="0.75" bottom="0.75" header="0" footer="0"/>
  <pageSetup orientation="landscape"/>
  <ignoredErrors>
    <ignoredError sqref="J12:K12 J74" formulaRange="1"/>
  </ignoredErrors>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V1000"/>
  <sheetViews>
    <sheetView workbookViewId="0">
      <selection activeCell="D7" sqref="D7:E7"/>
    </sheetView>
  </sheetViews>
  <sheetFormatPr defaultColWidth="14.42578125" defaultRowHeight="15" customHeight="1"/>
  <cols>
    <col min="1" max="1" width="13.7109375" customWidth="1"/>
    <col min="2" max="2" width="12.85546875" customWidth="1"/>
    <col min="3" max="3" width="16.28515625" customWidth="1"/>
    <col min="4" max="4" width="42.42578125" customWidth="1"/>
    <col min="5" max="5" width="13.42578125" customWidth="1"/>
    <col min="6" max="8" width="6.5703125" customWidth="1"/>
    <col min="9" max="22" width="8.7109375" customWidth="1"/>
  </cols>
  <sheetData>
    <row r="1" spans="2:22" ht="20.25">
      <c r="B1" s="297" t="s">
        <v>140</v>
      </c>
      <c r="C1" s="217"/>
      <c r="D1" s="217"/>
      <c r="E1" s="217"/>
      <c r="F1" s="217"/>
      <c r="G1" s="33"/>
      <c r="H1" s="33"/>
      <c r="I1" s="33"/>
      <c r="J1" s="33"/>
      <c r="K1" s="33"/>
      <c r="L1" s="33"/>
      <c r="M1" s="33"/>
      <c r="N1" s="33"/>
      <c r="O1" s="33"/>
      <c r="P1" s="33"/>
      <c r="Q1" s="33"/>
      <c r="R1" s="33"/>
      <c r="S1" s="33"/>
      <c r="T1" s="33"/>
      <c r="U1" s="33"/>
      <c r="V1" s="33"/>
    </row>
    <row r="2" spans="2:22" ht="20.25">
      <c r="B2" s="33"/>
      <c r="C2" s="33"/>
      <c r="D2" s="62" t="s">
        <v>141</v>
      </c>
      <c r="E2" s="15"/>
      <c r="F2" s="33"/>
      <c r="G2" s="33"/>
      <c r="I2" s="33"/>
      <c r="J2" s="33"/>
      <c r="K2" s="33"/>
      <c r="L2" s="33"/>
      <c r="M2" s="33"/>
      <c r="N2" s="33"/>
      <c r="O2" s="33"/>
      <c r="P2" s="33"/>
      <c r="Q2" s="33"/>
      <c r="R2" s="33"/>
      <c r="S2" s="33"/>
      <c r="T2" s="33"/>
      <c r="U2" s="33"/>
      <c r="V2" s="33"/>
    </row>
    <row r="3" spans="2:22" ht="13.5" customHeight="1">
      <c r="B3" s="33"/>
      <c r="C3" s="33"/>
      <c r="D3" s="62"/>
      <c r="E3" s="15"/>
      <c r="F3" s="33"/>
      <c r="G3" s="33"/>
      <c r="I3" s="33"/>
      <c r="J3" s="33"/>
      <c r="K3" s="33"/>
      <c r="L3" s="33"/>
      <c r="M3" s="33"/>
      <c r="N3" s="33"/>
      <c r="O3" s="33"/>
      <c r="P3" s="33"/>
      <c r="Q3" s="33"/>
      <c r="R3" s="33"/>
      <c r="S3" s="33"/>
      <c r="T3" s="33"/>
      <c r="U3" s="33"/>
      <c r="V3" s="33"/>
    </row>
    <row r="4" spans="2:22">
      <c r="B4" s="33"/>
      <c r="C4" s="34" t="s">
        <v>1</v>
      </c>
      <c r="D4" s="298" t="str">
        <f>'CO_Attainment for Unit Tests'!C3</f>
        <v>Data Structures Using _C</v>
      </c>
      <c r="E4" s="219"/>
      <c r="F4" s="33"/>
      <c r="G4" s="33"/>
      <c r="H4" s="33"/>
      <c r="I4" s="33"/>
      <c r="J4" s="33"/>
      <c r="K4" s="33"/>
      <c r="L4" s="33"/>
      <c r="M4" s="33"/>
      <c r="N4" s="33"/>
      <c r="O4" s="33"/>
      <c r="P4" s="33"/>
      <c r="Q4" s="33"/>
      <c r="R4" s="33"/>
      <c r="S4" s="33"/>
      <c r="T4" s="33"/>
      <c r="U4" s="33"/>
      <c r="V4" s="33"/>
    </row>
    <row r="5" spans="2:22">
      <c r="B5" s="33"/>
      <c r="C5" s="34" t="s">
        <v>3</v>
      </c>
      <c r="D5" s="298">
        <f>'CO_Attainment for Unit Tests'!C4</f>
        <v>22317</v>
      </c>
      <c r="E5" s="219"/>
      <c r="F5" s="33"/>
      <c r="G5" s="33"/>
      <c r="H5" s="33"/>
      <c r="I5" s="33"/>
      <c r="J5" s="33"/>
      <c r="K5" s="33"/>
      <c r="L5" s="33"/>
      <c r="M5" s="33"/>
      <c r="N5" s="33"/>
      <c r="O5" s="33"/>
      <c r="P5" s="33"/>
      <c r="Q5" s="33"/>
      <c r="R5" s="33"/>
      <c r="S5" s="33"/>
      <c r="T5" s="33"/>
      <c r="U5" s="33"/>
      <c r="V5" s="33"/>
    </row>
    <row r="6" spans="2:22">
      <c r="B6" s="33"/>
      <c r="C6" s="34" t="s">
        <v>54</v>
      </c>
      <c r="D6" s="298" t="str">
        <f>'CO_Attainment for Unit Tests'!C5</f>
        <v>3rd SEM(CO3I SCHEME)</v>
      </c>
      <c r="E6" s="219"/>
      <c r="F6" s="33"/>
      <c r="G6" s="33"/>
      <c r="H6" s="33"/>
      <c r="I6" s="33"/>
      <c r="J6" s="33"/>
      <c r="K6" s="33"/>
      <c r="L6" s="33"/>
      <c r="M6" s="33"/>
      <c r="N6" s="33"/>
      <c r="O6" s="33"/>
      <c r="P6" s="33"/>
      <c r="Q6" s="33"/>
      <c r="R6" s="33"/>
      <c r="S6" s="33"/>
      <c r="T6" s="33"/>
      <c r="U6" s="33"/>
      <c r="V6" s="33"/>
    </row>
    <row r="7" spans="2:22">
      <c r="B7" s="33"/>
      <c r="C7" s="34" t="s">
        <v>6</v>
      </c>
      <c r="D7" s="298" t="str">
        <f>'CO_Attainment for Unit Tests'!C6</f>
        <v>2023-24</v>
      </c>
      <c r="E7" s="219"/>
      <c r="F7" s="33"/>
      <c r="G7" s="33"/>
      <c r="H7" s="33"/>
      <c r="I7" s="33"/>
      <c r="J7" s="33"/>
      <c r="K7" s="33"/>
      <c r="L7" s="33"/>
      <c r="M7" s="33"/>
      <c r="N7" s="33"/>
      <c r="O7" s="33"/>
      <c r="P7" s="33"/>
      <c r="Q7" s="33"/>
      <c r="R7" s="33"/>
      <c r="S7" s="33"/>
      <c r="T7" s="33"/>
      <c r="U7" s="33"/>
      <c r="V7" s="33"/>
    </row>
    <row r="8" spans="2:22">
      <c r="E8" s="15"/>
    </row>
    <row r="9" spans="2:22" ht="15.75" customHeight="1">
      <c r="B9" s="292" t="s">
        <v>21</v>
      </c>
      <c r="C9" s="287" t="s">
        <v>56</v>
      </c>
      <c r="D9" s="286" t="s">
        <v>57</v>
      </c>
      <c r="E9" s="287" t="s">
        <v>142</v>
      </c>
      <c r="J9" s="63"/>
    </row>
    <row r="10" spans="2:22">
      <c r="B10" s="254"/>
      <c r="C10" s="254"/>
      <c r="D10" s="254"/>
      <c r="E10" s="254"/>
      <c r="J10" s="64"/>
    </row>
    <row r="11" spans="2:22">
      <c r="B11" s="254"/>
      <c r="C11" s="254"/>
      <c r="D11" s="254"/>
      <c r="E11" s="254"/>
    </row>
    <row r="12" spans="2:22" ht="27.75" customHeight="1">
      <c r="B12" s="254"/>
      <c r="C12" s="254"/>
      <c r="D12" s="254"/>
      <c r="E12" s="255"/>
    </row>
    <row r="13" spans="2:22">
      <c r="B13" s="255"/>
      <c r="C13" s="255"/>
      <c r="D13" s="255"/>
      <c r="E13" s="36">
        <v>70</v>
      </c>
    </row>
    <row r="14" spans="2:22" ht="15.75">
      <c r="B14" s="40">
        <v>1</v>
      </c>
      <c r="C14" s="40">
        <f>'CO_Attainment for Unit Tests'!B13</f>
        <v>2201180002</v>
      </c>
      <c r="D14" s="65" t="str">
        <f>'CO_Attainment for Unit Tests'!C13</f>
        <v>GARAD ANJALI NITIN</v>
      </c>
      <c r="E14" s="43">
        <v>29</v>
      </c>
      <c r="I14" s="39"/>
    </row>
    <row r="15" spans="2:22" ht="15" customHeight="1">
      <c r="B15" s="40">
        <v>2</v>
      </c>
      <c r="C15" s="40">
        <f>'CO_Attainment for Unit Tests'!B14</f>
        <v>2201180003</v>
      </c>
      <c r="D15" s="65" t="str">
        <f>'CO_Attainment for Unit Tests'!C14</f>
        <v>WALANDE GAURI DAYANAND</v>
      </c>
      <c r="E15" s="43">
        <v>47</v>
      </c>
      <c r="I15" s="39"/>
    </row>
    <row r="16" spans="2:22" ht="15.75">
      <c r="B16" s="40">
        <v>3</v>
      </c>
      <c r="C16" s="40">
        <f>'CO_Attainment for Unit Tests'!B15</f>
        <v>2201180004</v>
      </c>
      <c r="D16" s="65" t="str">
        <f>'CO_Attainment for Unit Tests'!C15</f>
        <v>ZUNJURE SARTHAK BALAJI</v>
      </c>
      <c r="E16" s="43">
        <v>54</v>
      </c>
      <c r="I16" s="39"/>
    </row>
    <row r="17" spans="2:9" ht="15.75">
      <c r="B17" s="40">
        <v>4</v>
      </c>
      <c r="C17" s="40">
        <f>'CO_Attainment for Unit Tests'!B16</f>
        <v>2201180005</v>
      </c>
      <c r="D17" s="65" t="str">
        <f>'CO_Attainment for Unit Tests'!C16</f>
        <v>BHANDE GAYATRI DAMODAR</v>
      </c>
      <c r="E17" s="43">
        <v>63</v>
      </c>
      <c r="I17" s="39"/>
    </row>
    <row r="18" spans="2:9" ht="15.75">
      <c r="B18" s="40">
        <v>5</v>
      </c>
      <c r="C18" s="40">
        <f>'CO_Attainment for Unit Tests'!B17</f>
        <v>2201180006</v>
      </c>
      <c r="D18" s="65" t="str">
        <f>'CO_Attainment for Unit Tests'!C17</f>
        <v>MUNDHE GAYATRI PARMESHWAR</v>
      </c>
      <c r="E18" s="43">
        <v>51</v>
      </c>
      <c r="I18" s="39"/>
    </row>
    <row r="19" spans="2:9" ht="15.75">
      <c r="B19" s="40">
        <v>6</v>
      </c>
      <c r="C19" s="40">
        <f>'CO_Attainment for Unit Tests'!B18</f>
        <v>2201180009</v>
      </c>
      <c r="D19" s="65" t="str">
        <f>'CO_Attainment for Unit Tests'!C18</f>
        <v>YADAV RADHA SAMADHAN</v>
      </c>
      <c r="E19" s="43">
        <v>40</v>
      </c>
      <c r="I19" s="39"/>
    </row>
    <row r="20" spans="2:9" ht="15.75">
      <c r="B20" s="40">
        <v>7</v>
      </c>
      <c r="C20" s="40">
        <f>'CO_Attainment for Unit Tests'!B19</f>
        <v>2201180010</v>
      </c>
      <c r="D20" s="65" t="str">
        <f>'CO_Attainment for Unit Tests'!C19</f>
        <v>DESHMANE MANSI SIDDHESHWAR</v>
      </c>
      <c r="E20" s="43">
        <v>53</v>
      </c>
      <c r="I20" s="39"/>
    </row>
    <row r="21" spans="2:9" ht="15.75" customHeight="1">
      <c r="B21" s="40">
        <v>8</v>
      </c>
      <c r="C21" s="40">
        <f>'CO_Attainment for Unit Tests'!B20</f>
        <v>2201180011</v>
      </c>
      <c r="D21" s="65" t="str">
        <f>'CO_Attainment for Unit Tests'!C20</f>
        <v>GAWALGADADE POOJA ARVIND</v>
      </c>
      <c r="E21" s="43">
        <v>30</v>
      </c>
      <c r="I21" s="39"/>
    </row>
    <row r="22" spans="2:9" ht="15.75" customHeight="1">
      <c r="B22" s="40">
        <v>9</v>
      </c>
      <c r="C22" s="40">
        <f>'CO_Attainment for Unit Tests'!B21</f>
        <v>2201180014</v>
      </c>
      <c r="D22" s="65" t="str">
        <f>'CO_Attainment for Unit Tests'!C21</f>
        <v>JAIN TANISHA SHAILESH</v>
      </c>
      <c r="E22" s="43">
        <v>46</v>
      </c>
      <c r="I22" s="39"/>
    </row>
    <row r="23" spans="2:9" ht="15.75" customHeight="1">
      <c r="B23" s="40">
        <v>10</v>
      </c>
      <c r="C23" s="40">
        <f>'CO_Attainment for Unit Tests'!B22</f>
        <v>2201180050</v>
      </c>
      <c r="D23" s="65" t="str">
        <f>'CO_Attainment for Unit Tests'!C22</f>
        <v>MAINDARGE SIDDHI PRASAD</v>
      </c>
      <c r="E23" s="43">
        <v>48</v>
      </c>
      <c r="I23" s="39"/>
    </row>
    <row r="24" spans="2:9" ht="15.75" customHeight="1">
      <c r="B24" s="40">
        <v>11</v>
      </c>
      <c r="C24" s="40">
        <f>'CO_Attainment for Unit Tests'!B23</f>
        <v>2201180051</v>
      </c>
      <c r="D24" s="65" t="str">
        <f>'CO_Attainment for Unit Tests'!C23</f>
        <v>BHOSALE VAISHNAVI DAYANAND</v>
      </c>
      <c r="E24" s="43">
        <v>51</v>
      </c>
      <c r="I24" s="39"/>
    </row>
    <row r="25" spans="2:9" ht="15.75" customHeight="1">
      <c r="B25" s="40">
        <v>12</v>
      </c>
      <c r="C25" s="40">
        <f>'CO_Attainment for Unit Tests'!B24</f>
        <v>2201180052</v>
      </c>
      <c r="D25" s="65" t="str">
        <f>'CO_Attainment for Unit Tests'!C24</f>
        <v>ATTAR SANIYA VAJIR</v>
      </c>
      <c r="E25" s="43">
        <v>66</v>
      </c>
      <c r="I25" s="39"/>
    </row>
    <row r="26" spans="2:9" ht="15.75" customHeight="1">
      <c r="B26" s="40">
        <v>13</v>
      </c>
      <c r="C26" s="40">
        <f>'CO_Attainment for Unit Tests'!B25</f>
        <v>2201180053</v>
      </c>
      <c r="D26" s="65" t="str">
        <f>'CO_Attainment for Unit Tests'!C25</f>
        <v>NALWADE SNEHA NETAJI</v>
      </c>
      <c r="E26" s="43">
        <v>58</v>
      </c>
      <c r="I26" s="39"/>
    </row>
    <row r="27" spans="2:9" ht="15.75" customHeight="1">
      <c r="B27" s="40">
        <v>14</v>
      </c>
      <c r="C27" s="40">
        <f>'CO_Attainment for Unit Tests'!B26</f>
        <v>2201180055</v>
      </c>
      <c r="D27" s="65" t="str">
        <f>'CO_Attainment for Unit Tests'!C26</f>
        <v>AADHE PANKAJ RAM</v>
      </c>
      <c r="E27" s="43">
        <v>59</v>
      </c>
      <c r="I27" s="39"/>
    </row>
    <row r="28" spans="2:9" ht="15" customHeight="1">
      <c r="B28" s="40">
        <v>15</v>
      </c>
      <c r="C28" s="40">
        <f>'CO_Attainment for Unit Tests'!B27</f>
        <v>2201180056</v>
      </c>
      <c r="D28" s="65" t="str">
        <f>'CO_Attainment for Unit Tests'!C27</f>
        <v>BUDGE VISHAKHA VENKAT</v>
      </c>
      <c r="E28" s="43">
        <v>51</v>
      </c>
      <c r="I28" s="39"/>
    </row>
    <row r="29" spans="2:9" ht="15.75" customHeight="1">
      <c r="B29" s="40">
        <v>16</v>
      </c>
      <c r="C29" s="40">
        <f>'CO_Attainment for Unit Tests'!B28</f>
        <v>2201180058</v>
      </c>
      <c r="D29" s="65" t="str">
        <f>'CO_Attainment for Unit Tests'!C28</f>
        <v>PAWAR PRATIKSHA VITTHAL</v>
      </c>
      <c r="E29" s="43">
        <v>58</v>
      </c>
      <c r="I29" s="39"/>
    </row>
    <row r="30" spans="2:9" ht="15.75" customHeight="1">
      <c r="B30" s="40">
        <v>17</v>
      </c>
      <c r="C30" s="40">
        <f>'CO_Attainment for Unit Tests'!B29</f>
        <v>2201180059</v>
      </c>
      <c r="D30" s="65" t="str">
        <f>'CO_Attainment for Unit Tests'!C29</f>
        <v>WAGHMARE RAU HANMANT</v>
      </c>
      <c r="E30" s="43">
        <v>50</v>
      </c>
      <c r="I30" s="39"/>
    </row>
    <row r="31" spans="2:9" ht="15.75" customHeight="1">
      <c r="B31" s="40">
        <v>18</v>
      </c>
      <c r="C31" s="40">
        <f>'CO_Attainment for Unit Tests'!B30</f>
        <v>2201180060</v>
      </c>
      <c r="D31" s="65" t="str">
        <f>'CO_Attainment for Unit Tests'!C30</f>
        <v>MAHAJAN SHRUTI DILIP</v>
      </c>
      <c r="E31" s="43">
        <v>55</v>
      </c>
      <c r="I31" s="39"/>
    </row>
    <row r="32" spans="2:9" ht="15.75" customHeight="1">
      <c r="B32" s="40">
        <v>19</v>
      </c>
      <c r="C32" s="40">
        <f>'CO_Attainment for Unit Tests'!B31</f>
        <v>2201180061</v>
      </c>
      <c r="D32" s="65" t="str">
        <f>'CO_Attainment for Unit Tests'!C31</f>
        <v>CHANDANE GAYATRI PRASHANT</v>
      </c>
      <c r="E32" s="43">
        <v>54</v>
      </c>
      <c r="I32" s="39"/>
    </row>
    <row r="33" spans="2:9" ht="15.75" customHeight="1">
      <c r="B33" s="40">
        <v>20</v>
      </c>
      <c r="C33" s="40">
        <f>'CO_Attainment for Unit Tests'!B32</f>
        <v>2201180062</v>
      </c>
      <c r="D33" s="65" t="str">
        <f>'CO_Attainment for Unit Tests'!C32</f>
        <v>JOSHI SHRAVANI SHRIKANT</v>
      </c>
      <c r="E33" s="43">
        <v>56</v>
      </c>
      <c r="I33" s="39"/>
    </row>
    <row r="34" spans="2:9" ht="15.75" customHeight="1">
      <c r="B34" s="40">
        <v>21</v>
      </c>
      <c r="C34" s="40">
        <f>'CO_Attainment for Unit Tests'!B33</f>
        <v>2201180063</v>
      </c>
      <c r="D34" s="65" t="str">
        <f>'CO_Attainment for Unit Tests'!C33</f>
        <v>MANE ANUSHKA BALASAHEB</v>
      </c>
      <c r="E34" s="43">
        <v>45</v>
      </c>
      <c r="I34" s="39"/>
    </row>
    <row r="35" spans="2:9" ht="15.75" customHeight="1">
      <c r="B35" s="40">
        <v>22</v>
      </c>
      <c r="C35" s="40">
        <f>'CO_Attainment for Unit Tests'!B34</f>
        <v>2201180064</v>
      </c>
      <c r="D35" s="65" t="str">
        <f>'CO_Attainment for Unit Tests'!C34</f>
        <v>GADEKAR MAHESH BALAJI</v>
      </c>
      <c r="E35" s="43">
        <v>62</v>
      </c>
      <c r="I35" s="39"/>
    </row>
    <row r="36" spans="2:9" ht="15.75" customHeight="1">
      <c r="B36" s="40">
        <v>23</v>
      </c>
      <c r="C36" s="40">
        <f>'CO_Attainment for Unit Tests'!B35</f>
        <v>2201180065</v>
      </c>
      <c r="D36" s="65" t="str">
        <f>'CO_Attainment for Unit Tests'!C35</f>
        <v>DESHMUKH SWANANDI UDAYRAO</v>
      </c>
      <c r="E36" s="43">
        <v>56</v>
      </c>
      <c r="I36" s="39"/>
    </row>
    <row r="37" spans="2:9" ht="15.75" customHeight="1">
      <c r="B37" s="40">
        <v>24</v>
      </c>
      <c r="C37" s="40">
        <f>'CO_Attainment for Unit Tests'!B36</f>
        <v>2201180148</v>
      </c>
      <c r="D37" s="65" t="str">
        <f>'CO_Attainment for Unit Tests'!C36</f>
        <v>LAGDIVE SHIVAM NITIN</v>
      </c>
      <c r="E37" s="43">
        <v>56</v>
      </c>
      <c r="I37" s="39"/>
    </row>
    <row r="38" spans="2:9" ht="15.75" customHeight="1">
      <c r="B38" s="40">
        <v>25</v>
      </c>
      <c r="C38" s="40">
        <f>'CO_Attainment for Unit Tests'!B37</f>
        <v>2201180227</v>
      </c>
      <c r="D38" s="65" t="str">
        <f>'CO_Attainment for Unit Tests'!C37</f>
        <v>SARPHALE POOJA SADASHIV</v>
      </c>
      <c r="E38" s="43">
        <v>48</v>
      </c>
      <c r="I38" s="39"/>
    </row>
    <row r="39" spans="2:9" ht="15.75" customHeight="1">
      <c r="B39" s="40">
        <v>26</v>
      </c>
      <c r="C39" s="40">
        <f>'CO_Attainment for Unit Tests'!B38</f>
        <v>2201180228</v>
      </c>
      <c r="D39" s="65" t="str">
        <f>'CO_Attainment for Unit Tests'!C38</f>
        <v>WAGHMARE ABHISHEK SOMNATH</v>
      </c>
      <c r="E39" s="43">
        <v>56</v>
      </c>
      <c r="I39" s="39"/>
    </row>
    <row r="40" spans="2:9" ht="15.75" customHeight="1">
      <c r="B40" s="40">
        <v>27</v>
      </c>
      <c r="C40" s="40">
        <f>'CO_Attainment for Unit Tests'!B39</f>
        <v>2201180229</v>
      </c>
      <c r="D40" s="65" t="str">
        <f>'CO_Attainment for Unit Tests'!C39</f>
        <v>KAMBALE ROHINI RUPESH</v>
      </c>
      <c r="E40" s="43">
        <v>40</v>
      </c>
      <c r="I40" s="39"/>
    </row>
    <row r="41" spans="2:9" ht="15.75" customHeight="1">
      <c r="B41" s="40">
        <v>28</v>
      </c>
      <c r="C41" s="40">
        <f>'CO_Attainment for Unit Tests'!B40</f>
        <v>2201180230</v>
      </c>
      <c r="D41" s="65" t="str">
        <f>'CO_Attainment for Unit Tests'!C40</f>
        <v>ROCHKARI SANSKRUTI SUDHIR</v>
      </c>
      <c r="E41" s="43">
        <v>35</v>
      </c>
      <c r="I41" s="39"/>
    </row>
    <row r="42" spans="2:9" ht="15.75" customHeight="1">
      <c r="B42" s="40">
        <v>29</v>
      </c>
      <c r="C42" s="40">
        <f>'CO_Attainment for Unit Tests'!B41</f>
        <v>2201180232</v>
      </c>
      <c r="D42" s="65" t="str">
        <f>'CO_Attainment for Unit Tests'!C41</f>
        <v>NIMBALKAR APURVA BHUJANG</v>
      </c>
      <c r="E42" s="43">
        <v>68</v>
      </c>
      <c r="I42" s="39"/>
    </row>
    <row r="43" spans="2:9" ht="15.75" customHeight="1">
      <c r="B43" s="40">
        <v>30</v>
      </c>
      <c r="C43" s="40">
        <f>'CO_Attainment for Unit Tests'!B42</f>
        <v>2201180233</v>
      </c>
      <c r="D43" s="65" t="str">
        <f>'CO_Attainment for Unit Tests'!C42</f>
        <v>KSHIRSAGAR SAMARTH DATTATRAY</v>
      </c>
      <c r="E43" s="43">
        <v>59</v>
      </c>
      <c r="I43" s="39"/>
    </row>
    <row r="44" spans="2:9" ht="15.75" customHeight="1">
      <c r="B44" s="40">
        <v>31</v>
      </c>
      <c r="C44" s="40">
        <f>'CO_Attainment for Unit Tests'!B43</f>
        <v>2201180234</v>
      </c>
      <c r="D44" s="65" t="str">
        <f>'CO_Attainment for Unit Tests'!C43</f>
        <v>MASIHA SILVIYA SANTOSH</v>
      </c>
      <c r="E44" s="43">
        <v>63</v>
      </c>
      <c r="I44" s="39"/>
    </row>
    <row r="45" spans="2:9" ht="15.75" customHeight="1">
      <c r="B45" s="40">
        <v>32</v>
      </c>
      <c r="C45" s="40">
        <f>'CO_Attainment for Unit Tests'!B44</f>
        <v>2201180235</v>
      </c>
      <c r="D45" s="65" t="str">
        <f>'CO_Attainment for Unit Tests'!C44</f>
        <v>KAWADE PRIYA SHANKAR</v>
      </c>
      <c r="E45" s="43">
        <v>59</v>
      </c>
      <c r="I45" s="39"/>
    </row>
    <row r="46" spans="2:9" ht="15" customHeight="1">
      <c r="B46" s="40">
        <v>33</v>
      </c>
      <c r="C46" s="40">
        <f>'CO_Attainment for Unit Tests'!B45</f>
        <v>2201180237</v>
      </c>
      <c r="D46" s="65" t="str">
        <f>'CO_Attainment for Unit Tests'!C45</f>
        <v>PATIL PRANITA PRAVIN</v>
      </c>
      <c r="E46" s="43">
        <v>58</v>
      </c>
      <c r="I46" s="39"/>
    </row>
    <row r="47" spans="2:9" ht="15.75" customHeight="1">
      <c r="B47" s="40">
        <v>34</v>
      </c>
      <c r="C47" s="40">
        <f>'CO_Attainment for Unit Tests'!B46</f>
        <v>2201180238</v>
      </c>
      <c r="D47" s="65" t="str">
        <f>'CO_Attainment for Unit Tests'!C46</f>
        <v>GAVALI ROHAN DNYANDEO</v>
      </c>
      <c r="E47" s="43">
        <v>11</v>
      </c>
      <c r="I47" s="39"/>
    </row>
    <row r="48" spans="2:9" ht="15.75" customHeight="1">
      <c r="B48" s="40">
        <v>35</v>
      </c>
      <c r="C48" s="40">
        <f>'CO_Attainment for Unit Tests'!B47</f>
        <v>2201180241</v>
      </c>
      <c r="D48" s="65" t="str">
        <f>'CO_Attainment for Unit Tests'!C47</f>
        <v>GAIKWAD VASUDHA SANDIPAN</v>
      </c>
      <c r="E48" s="43">
        <v>47</v>
      </c>
      <c r="I48" s="39"/>
    </row>
    <row r="49" spans="2:9" ht="15.75" customHeight="1">
      <c r="B49" s="40">
        <v>36</v>
      </c>
      <c r="C49" s="40">
        <f>'CO_Attainment for Unit Tests'!B48</f>
        <v>2201180242</v>
      </c>
      <c r="D49" s="65" t="str">
        <f>'CO_Attainment for Unit Tests'!C48</f>
        <v>GORE SANKET NARENDRA</v>
      </c>
      <c r="E49" s="43">
        <v>34</v>
      </c>
      <c r="I49" s="39"/>
    </row>
    <row r="50" spans="2:9" ht="15.75" customHeight="1">
      <c r="B50" s="40">
        <v>37</v>
      </c>
      <c r="C50" s="40">
        <f>'CO_Attainment for Unit Tests'!B49</f>
        <v>2201180243</v>
      </c>
      <c r="D50" s="65" t="str">
        <f>'CO_Attainment for Unit Tests'!C49</f>
        <v>HINGANE SAKSHI SATISH</v>
      </c>
      <c r="E50" s="43">
        <v>48</v>
      </c>
      <c r="I50" s="39"/>
    </row>
    <row r="51" spans="2:9" ht="15.75" customHeight="1">
      <c r="B51" s="40">
        <v>38</v>
      </c>
      <c r="C51" s="40">
        <f>'CO_Attainment for Unit Tests'!B50</f>
        <v>2201180280</v>
      </c>
      <c r="D51" s="65" t="str">
        <f>'CO_Attainment for Unit Tests'!C50</f>
        <v>JADHAV SHREYAS YADAVRAO</v>
      </c>
      <c r="E51" s="43">
        <v>57</v>
      </c>
      <c r="I51" s="39"/>
    </row>
    <row r="52" spans="2:9" ht="15.75" customHeight="1">
      <c r="B52" s="40">
        <v>39</v>
      </c>
      <c r="C52" s="40">
        <f>'CO_Attainment for Unit Tests'!B51</f>
        <v>2201180282</v>
      </c>
      <c r="D52" s="65" t="str">
        <f>'CO_Attainment for Unit Tests'!C51</f>
        <v>WAKALE KOMAL SANTOSH</v>
      </c>
      <c r="E52" s="43">
        <v>45</v>
      </c>
      <c r="I52" s="39"/>
    </row>
    <row r="53" spans="2:9" ht="15.75" customHeight="1">
      <c r="B53" s="40">
        <v>40</v>
      </c>
      <c r="C53" s="40">
        <f>'CO_Attainment for Unit Tests'!B52</f>
        <v>2201180283</v>
      </c>
      <c r="D53" s="65" t="str">
        <f>'CO_Attainment for Unit Tests'!C52</f>
        <v>KALE PRANITA NAMDEV</v>
      </c>
      <c r="E53" s="43">
        <v>55</v>
      </c>
      <c r="I53" s="39"/>
    </row>
    <row r="54" spans="2:9" ht="15.75" customHeight="1">
      <c r="B54" s="40">
        <v>41</v>
      </c>
      <c r="C54" s="40">
        <f>'CO_Attainment for Unit Tests'!B53</f>
        <v>2201180401</v>
      </c>
      <c r="D54" s="65" t="str">
        <f>'CO_Attainment for Unit Tests'!C53</f>
        <v>KHARKE MAHESH HANUMANT</v>
      </c>
      <c r="E54" s="43">
        <v>39</v>
      </c>
      <c r="I54" s="39"/>
    </row>
    <row r="55" spans="2:9" ht="15.75" customHeight="1">
      <c r="B55" s="40">
        <v>42</v>
      </c>
      <c r="C55" s="40">
        <f>'CO_Attainment for Unit Tests'!B54</f>
        <v>2201180404</v>
      </c>
      <c r="D55" s="65" t="str">
        <f>'CO_Attainment for Unit Tests'!C54</f>
        <v>PARVE SHRIRAM SUDHIR</v>
      </c>
      <c r="E55" s="43">
        <v>37</v>
      </c>
      <c r="I55" s="39"/>
    </row>
    <row r="56" spans="2:9" ht="15.75" customHeight="1">
      <c r="B56" s="40">
        <v>43</v>
      </c>
      <c r="C56" s="40">
        <f>'CO_Attainment for Unit Tests'!B55</f>
        <v>2201180405</v>
      </c>
      <c r="D56" s="65" t="str">
        <f>'CO_Attainment for Unit Tests'!C55</f>
        <v>KOLNURE SURAJ RAJENDRA</v>
      </c>
      <c r="E56" s="43">
        <v>29</v>
      </c>
      <c r="I56" s="39"/>
    </row>
    <row r="57" spans="2:9" ht="15.75" customHeight="1">
      <c r="B57" s="40">
        <v>44</v>
      </c>
      <c r="C57" s="40">
        <f>'CO_Attainment for Unit Tests'!B56</f>
        <v>2201180406</v>
      </c>
      <c r="D57" s="65" t="str">
        <f>'CO_Attainment for Unit Tests'!C56</f>
        <v>KANDALE ADITYA VILAS</v>
      </c>
      <c r="E57" s="43">
        <v>42</v>
      </c>
      <c r="I57" s="39"/>
    </row>
    <row r="58" spans="2:9" ht="15.75" customHeight="1">
      <c r="B58" s="40">
        <v>45</v>
      </c>
      <c r="C58" s="40">
        <f>'CO_Attainment for Unit Tests'!B57</f>
        <v>2201180407</v>
      </c>
      <c r="D58" s="65" t="str">
        <f>'CO_Attainment for Unit Tests'!C57</f>
        <v>BARATE VARSHARANI DADASAHEB</v>
      </c>
      <c r="E58" s="43">
        <v>56</v>
      </c>
      <c r="I58" s="39"/>
    </row>
    <row r="59" spans="2:9" ht="15" customHeight="1">
      <c r="B59" s="40">
        <v>46</v>
      </c>
      <c r="C59" s="40">
        <f>'CO_Attainment for Unit Tests'!B58</f>
        <v>2201180408</v>
      </c>
      <c r="D59" s="65" t="str">
        <f>'CO_Attainment for Unit Tests'!C58</f>
        <v>BARATE AADITI DADASAHEB</v>
      </c>
      <c r="E59" s="43">
        <v>62</v>
      </c>
      <c r="I59" s="39"/>
    </row>
    <row r="60" spans="2:9" ht="15.75" customHeight="1">
      <c r="B60" s="40">
        <v>47</v>
      </c>
      <c r="C60" s="40">
        <f>'CO_Attainment for Unit Tests'!B59</f>
        <v>2201180410</v>
      </c>
      <c r="D60" s="65" t="str">
        <f>'CO_Attainment for Unit Tests'!C59</f>
        <v>THORAVE SANIKA AMBADAS</v>
      </c>
      <c r="E60" s="43">
        <v>56</v>
      </c>
      <c r="I60" s="39"/>
    </row>
    <row r="61" spans="2:9" ht="15.75" customHeight="1">
      <c r="B61" s="40">
        <v>48</v>
      </c>
      <c r="C61" s="40">
        <f>'CO_Attainment for Unit Tests'!B60</f>
        <v>2201180411</v>
      </c>
      <c r="D61" s="65" t="str">
        <f>'CO_Attainment for Unit Tests'!C60</f>
        <v>KULKARNI AAKANKSHA KAMLESH</v>
      </c>
      <c r="E61" s="43">
        <v>57</v>
      </c>
      <c r="I61" s="39"/>
    </row>
    <row r="62" spans="2:9" ht="15.75" customHeight="1">
      <c r="B62" s="40">
        <v>49</v>
      </c>
      <c r="C62" s="40">
        <f>'CO_Attainment for Unit Tests'!B61</f>
        <v>2201180412</v>
      </c>
      <c r="D62" s="65" t="str">
        <f>'CO_Attainment for Unit Tests'!C61</f>
        <v>GAIKWAD GAYATRI SURESH</v>
      </c>
      <c r="E62" s="43">
        <v>42</v>
      </c>
      <c r="I62" s="39"/>
    </row>
    <row r="63" spans="2:9" ht="15.75" customHeight="1">
      <c r="B63" s="40">
        <v>50</v>
      </c>
      <c r="C63" s="40">
        <f>'CO_Attainment for Unit Tests'!B62</f>
        <v>2201180413</v>
      </c>
      <c r="D63" s="65" t="str">
        <f>'CO_Attainment for Unit Tests'!C62</f>
        <v>SAROLKAR SAKSHI SHAMSUNDAR</v>
      </c>
      <c r="E63" s="43">
        <v>59</v>
      </c>
      <c r="I63" s="39"/>
    </row>
    <row r="64" spans="2:9" ht="15.75" customHeight="1">
      <c r="B64" s="40">
        <v>51</v>
      </c>
      <c r="C64" s="40">
        <f>'CO_Attainment for Unit Tests'!B63</f>
        <v>2201180414</v>
      </c>
      <c r="D64" s="65" t="str">
        <f>'CO_Attainment for Unit Tests'!C63</f>
        <v>JAGTAP SANKET NARAYAN</v>
      </c>
      <c r="E64" s="43">
        <v>61</v>
      </c>
      <c r="I64" s="39"/>
    </row>
    <row r="65" spans="2:9" ht="15.75" customHeight="1">
      <c r="B65" s="40">
        <v>52</v>
      </c>
      <c r="C65" s="40">
        <f>'CO_Attainment for Unit Tests'!B64</f>
        <v>2201180415</v>
      </c>
      <c r="D65" s="65" t="str">
        <f>'CO_Attainment for Unit Tests'!C64</f>
        <v>DHAPPADHULE VAISHNAVI SACHIN</v>
      </c>
      <c r="E65" s="43">
        <v>37</v>
      </c>
      <c r="I65" s="39"/>
    </row>
    <row r="66" spans="2:9" ht="15.75" customHeight="1">
      <c r="B66" s="40">
        <v>53</v>
      </c>
      <c r="C66" s="40">
        <f>'CO_Attainment for Unit Tests'!B65</f>
        <v>2201180416</v>
      </c>
      <c r="D66" s="65" t="str">
        <f>'CO_Attainment for Unit Tests'!C65</f>
        <v>WAGHMARE AMAR BABAN</v>
      </c>
      <c r="E66" s="43">
        <v>29</v>
      </c>
      <c r="I66" s="39"/>
    </row>
    <row r="67" spans="2:9" ht="15.75" customHeight="1">
      <c r="B67" s="40">
        <v>54</v>
      </c>
      <c r="C67" s="40">
        <f>'CO_Attainment for Unit Tests'!B66</f>
        <v>2201180417</v>
      </c>
      <c r="D67" s="65" t="str">
        <f>'CO_Attainment for Unit Tests'!C66</f>
        <v>DHEPE VAISHNAVI REVANNATH</v>
      </c>
      <c r="E67" s="43">
        <v>59</v>
      </c>
      <c r="I67" s="39"/>
    </row>
    <row r="68" spans="2:9" ht="15.75" customHeight="1">
      <c r="B68" s="40">
        <v>55</v>
      </c>
      <c r="C68" s="40">
        <f>'CO_Attainment for Unit Tests'!B67</f>
        <v>2201180418</v>
      </c>
      <c r="D68" s="65" t="str">
        <f>'CO_Attainment for Unit Tests'!C67</f>
        <v>BAGADE GUNMANJIRI PURUSHOTTAM</v>
      </c>
      <c r="E68" s="43">
        <v>52</v>
      </c>
      <c r="I68" s="39"/>
    </row>
    <row r="69" spans="2:9" ht="15.75" customHeight="1">
      <c r="B69" s="40">
        <v>56</v>
      </c>
      <c r="C69" s="40">
        <f>'CO_Attainment for Unit Tests'!B68</f>
        <v>2201180419</v>
      </c>
      <c r="D69" s="65" t="str">
        <f>'CO_Attainment for Unit Tests'!C68</f>
        <v>MULE SNEHA SANJIVAN</v>
      </c>
      <c r="E69" s="43">
        <v>56</v>
      </c>
      <c r="I69" s="39"/>
    </row>
    <row r="70" spans="2:9" ht="15.75" customHeight="1">
      <c r="B70" s="40">
        <v>57</v>
      </c>
      <c r="C70" s="40">
        <f>'CO_Attainment for Unit Tests'!B69</f>
        <v>23510250259</v>
      </c>
      <c r="D70" s="65" t="str">
        <f>'CO_Attainment for Unit Tests'!C69</f>
        <v>BANSODE VINAYAK BABRUWAN</v>
      </c>
      <c r="E70" s="43">
        <v>0</v>
      </c>
      <c r="I70" s="48"/>
    </row>
    <row r="71" spans="2:9" ht="15.75" customHeight="1">
      <c r="B71" s="40">
        <v>58</v>
      </c>
      <c r="C71" s="40">
        <f>'CO_Attainment for Unit Tests'!B70</f>
        <v>23510250260</v>
      </c>
      <c r="D71" s="65" t="str">
        <f>'CO_Attainment for Unit Tests'!C70</f>
        <v>ISHWARI ASHOK HAWALE</v>
      </c>
      <c r="E71" s="43">
        <v>0</v>
      </c>
      <c r="I71" s="48"/>
    </row>
    <row r="72" spans="2:9" ht="15.75" customHeight="1">
      <c r="B72" s="40">
        <v>59</v>
      </c>
      <c r="C72" s="40">
        <f>'CO_Attainment for Unit Tests'!B71</f>
        <v>23510250261</v>
      </c>
      <c r="D72" s="65" t="str">
        <f>'CO_Attainment for Unit Tests'!C71</f>
        <v>JADHAV SANJYOT SHYAM</v>
      </c>
      <c r="E72" s="43">
        <v>49</v>
      </c>
      <c r="I72" s="39"/>
    </row>
    <row r="73" spans="2:9" ht="15.75" customHeight="1">
      <c r="B73" s="40">
        <v>60</v>
      </c>
      <c r="C73" s="40">
        <f>'CO_Attainment for Unit Tests'!B72</f>
        <v>23510250262</v>
      </c>
      <c r="D73" s="65" t="str">
        <f>'CO_Attainment for Unit Tests'!C72</f>
        <v>KANLOD SHUBHAM GANPAT</v>
      </c>
      <c r="E73" s="43">
        <v>54</v>
      </c>
      <c r="I73" s="39"/>
    </row>
    <row r="74" spans="2:9" ht="15.75" customHeight="1">
      <c r="B74" s="40">
        <v>61</v>
      </c>
      <c r="C74" s="40">
        <f>'CO_Attainment for Unit Tests'!B73</f>
        <v>23510250263</v>
      </c>
      <c r="D74" s="65" t="str">
        <f>'CO_Attainment for Unit Tests'!C73</f>
        <v>PHULARI VISHVJEET UMESH</v>
      </c>
      <c r="E74" s="43">
        <v>42</v>
      </c>
      <c r="I74" s="39"/>
    </row>
    <row r="75" spans="2:9" ht="15.75" customHeight="1">
      <c r="B75" s="40">
        <v>62</v>
      </c>
      <c r="C75" s="40">
        <f>'CO_Attainment for Unit Tests'!B74</f>
        <v>23510250264</v>
      </c>
      <c r="D75" s="65" t="str">
        <f>'CO_Attainment for Unit Tests'!C74</f>
        <v>VHOTTE SHRUTIKA VAIJNATH</v>
      </c>
      <c r="E75" s="43">
        <v>0</v>
      </c>
      <c r="I75" s="48"/>
    </row>
    <row r="76" spans="2:9" ht="15.75" customHeight="1">
      <c r="B76" s="40">
        <v>63</v>
      </c>
      <c r="C76" s="40">
        <f>'CO_Attainment for Unit Tests'!B75</f>
        <v>0</v>
      </c>
      <c r="D76" s="65">
        <f>'CO_Attainment for Unit Tests'!C75</f>
        <v>0</v>
      </c>
      <c r="E76" s="43"/>
    </row>
    <row r="77" spans="2:9" ht="15.75" customHeight="1">
      <c r="B77" s="40">
        <v>64</v>
      </c>
      <c r="C77" s="40">
        <f>'CO_Attainment for Unit Tests'!B76</f>
        <v>0</v>
      </c>
      <c r="D77" s="65">
        <f>'CO_Attainment for Unit Tests'!C76</f>
        <v>0</v>
      </c>
      <c r="E77" s="43"/>
    </row>
    <row r="78" spans="2:9" ht="15.75" customHeight="1">
      <c r="B78" s="40">
        <v>65</v>
      </c>
      <c r="C78" s="40">
        <f>'CO_Attainment for Unit Tests'!B77</f>
        <v>0</v>
      </c>
      <c r="D78" s="65">
        <f>'CO_Attainment for Unit Tests'!C77</f>
        <v>0</v>
      </c>
      <c r="E78" s="43"/>
    </row>
    <row r="79" spans="2:9" ht="15.75" customHeight="1">
      <c r="B79" s="40">
        <v>66</v>
      </c>
      <c r="C79" s="40">
        <f>'CO_Attainment for Unit Tests'!B78</f>
        <v>0</v>
      </c>
      <c r="D79" s="65">
        <f>'CO_Attainment for Unit Tests'!C78</f>
        <v>0</v>
      </c>
      <c r="E79" s="43"/>
    </row>
    <row r="80" spans="2:9" ht="15.75" customHeight="1">
      <c r="B80" s="40">
        <v>67</v>
      </c>
      <c r="C80" s="40">
        <f>'CO_Attainment for Unit Tests'!B78</f>
        <v>0</v>
      </c>
      <c r="D80" s="65">
        <f>'CO_Attainment for Unit Tests'!C75</f>
        <v>0</v>
      </c>
      <c r="E80" s="43"/>
    </row>
    <row r="81" spans="2:5" ht="15.75" customHeight="1">
      <c r="B81" s="40">
        <v>68</v>
      </c>
      <c r="C81" s="40">
        <f>'CO_Attainment for Unit Tests'!B79</f>
        <v>0</v>
      </c>
      <c r="D81" s="65">
        <f>'CO_Attainment for Unit Tests'!C76</f>
        <v>0</v>
      </c>
      <c r="E81" s="43"/>
    </row>
    <row r="82" spans="2:5" ht="15.75" customHeight="1">
      <c r="B82" s="40">
        <v>69</v>
      </c>
      <c r="C82" s="40">
        <f>'CO_Attainment for Unit Tests'!B80</f>
        <v>0</v>
      </c>
      <c r="D82" s="65">
        <f>'CO_Attainment for Unit Tests'!C77</f>
        <v>0</v>
      </c>
      <c r="E82" s="43"/>
    </row>
    <row r="83" spans="2:5" ht="15.75" customHeight="1">
      <c r="B83" s="40">
        <v>70</v>
      </c>
      <c r="C83" s="40">
        <f>'CO_Attainment for Unit Tests'!B81</f>
        <v>0</v>
      </c>
      <c r="D83" s="65">
        <f>'CO_Attainment for Unit Tests'!C78</f>
        <v>0</v>
      </c>
      <c r="E83" s="43"/>
    </row>
    <row r="84" spans="2:5" ht="15.75" customHeight="1">
      <c r="B84" s="40">
        <v>71</v>
      </c>
      <c r="C84" s="40">
        <f>'CO_Attainment for Unit Tests'!B82</f>
        <v>0</v>
      </c>
      <c r="D84" s="65">
        <f>'CO_Attainment for Unit Tests'!C82</f>
        <v>0</v>
      </c>
      <c r="E84" s="66"/>
    </row>
    <row r="85" spans="2:5" ht="15.75" customHeight="1">
      <c r="B85" s="40">
        <v>72</v>
      </c>
      <c r="C85" s="40">
        <f>'CO_Attainment for Unit Tests'!B83</f>
        <v>0</v>
      </c>
      <c r="D85" s="65">
        <f>'CO_Attainment for Unit Tests'!C83</f>
        <v>0</v>
      </c>
      <c r="E85" s="46"/>
    </row>
    <row r="86" spans="2:5" ht="15.75" customHeight="1">
      <c r="B86" s="40">
        <v>73</v>
      </c>
      <c r="C86" s="40">
        <f>'CO_Attainment for Unit Tests'!B84</f>
        <v>0</v>
      </c>
      <c r="D86" s="65">
        <f>'CO_Attainment for Unit Tests'!C84</f>
        <v>0</v>
      </c>
      <c r="E86" s="46"/>
    </row>
    <row r="87" spans="2:5" ht="15.75" customHeight="1">
      <c r="B87" s="40">
        <v>74</v>
      </c>
      <c r="C87" s="40">
        <f>'CO_Attainment for Unit Tests'!B85</f>
        <v>0</v>
      </c>
      <c r="D87" s="65">
        <f>'CO_Attainment for Unit Tests'!C85</f>
        <v>0</v>
      </c>
      <c r="E87" s="46"/>
    </row>
    <row r="88" spans="2:5" ht="15" customHeight="1">
      <c r="B88" s="40">
        <v>75</v>
      </c>
      <c r="C88" s="40">
        <f>'CO_Attainment for Unit Tests'!B86</f>
        <v>0</v>
      </c>
      <c r="D88" s="65">
        <f>'CO_Attainment for Unit Tests'!C86</f>
        <v>0</v>
      </c>
      <c r="E88" s="46"/>
    </row>
    <row r="89" spans="2:5" ht="15.75" customHeight="1">
      <c r="B89" s="40">
        <v>76</v>
      </c>
      <c r="C89" s="40">
        <f>'CO_Attainment for Unit Tests'!B87</f>
        <v>0</v>
      </c>
      <c r="D89" s="65">
        <f>'CO_Attainment for Unit Tests'!C87</f>
        <v>0</v>
      </c>
      <c r="E89" s="46"/>
    </row>
    <row r="90" spans="2:5" ht="15.75" customHeight="1">
      <c r="B90" s="40">
        <v>77</v>
      </c>
      <c r="C90" s="40">
        <f>'CO_Attainment for Unit Tests'!B88</f>
        <v>0</v>
      </c>
      <c r="D90" s="65">
        <f>'CO_Attainment for Unit Tests'!C88</f>
        <v>0</v>
      </c>
      <c r="E90" s="46"/>
    </row>
    <row r="91" spans="2:5" ht="15.75" customHeight="1">
      <c r="B91" s="40">
        <v>78</v>
      </c>
      <c r="C91" s="40">
        <f>'CO_Attainment for Unit Tests'!B89</f>
        <v>0</v>
      </c>
      <c r="D91" s="65">
        <f>'CO_Attainment for Unit Tests'!C89</f>
        <v>0</v>
      </c>
      <c r="E91" s="46"/>
    </row>
    <row r="92" spans="2:5" ht="15.75" customHeight="1">
      <c r="B92" s="40">
        <v>79</v>
      </c>
      <c r="C92" s="40">
        <f>'CO_Attainment for Unit Tests'!B90</f>
        <v>0</v>
      </c>
      <c r="D92" s="65">
        <f>'CO_Attainment for Unit Tests'!C90</f>
        <v>0</v>
      </c>
      <c r="E92" s="46"/>
    </row>
    <row r="93" spans="2:5" ht="15.75" customHeight="1">
      <c r="B93" s="40">
        <v>80</v>
      </c>
      <c r="C93" s="40">
        <f>'CO_Attainment for Unit Tests'!B91</f>
        <v>0</v>
      </c>
      <c r="D93" s="65">
        <f>'CO_Attainment for Unit Tests'!C91</f>
        <v>0</v>
      </c>
      <c r="E93" s="46"/>
    </row>
    <row r="94" spans="2:5" ht="24.75" customHeight="1">
      <c r="B94" s="40">
        <v>81</v>
      </c>
      <c r="C94" s="40">
        <f>'CO_Attainment for Unit Tests'!B92</f>
        <v>0</v>
      </c>
      <c r="D94" s="65">
        <f>'CO_Attainment for Unit Tests'!C92</f>
        <v>0</v>
      </c>
      <c r="E94" s="46"/>
    </row>
    <row r="95" spans="2:5" ht="15.75" customHeight="1">
      <c r="B95" s="40">
        <v>82</v>
      </c>
      <c r="C95" s="40">
        <f>'CO_Attainment for Unit Tests'!B93</f>
        <v>0</v>
      </c>
      <c r="D95" s="65">
        <f>'CO_Attainment for Unit Tests'!C93</f>
        <v>0</v>
      </c>
      <c r="E95" s="46"/>
    </row>
    <row r="96" spans="2:5" ht="15.75" customHeight="1">
      <c r="B96" s="40">
        <v>83</v>
      </c>
      <c r="C96" s="40">
        <f>'CO_Attainment for Unit Tests'!B94</f>
        <v>0</v>
      </c>
      <c r="D96" s="65">
        <f>'CO_Attainment for Unit Tests'!C94</f>
        <v>0</v>
      </c>
      <c r="E96" s="46"/>
    </row>
    <row r="97" spans="1:9" ht="33" customHeight="1">
      <c r="B97" s="4"/>
      <c r="C97" s="4"/>
      <c r="D97" s="67" t="s">
        <v>143</v>
      </c>
      <c r="E97" s="288">
        <f>D98*E13/100</f>
        <v>49.847000000000001</v>
      </c>
    </row>
    <row r="98" spans="1:9" ht="15.75" customHeight="1">
      <c r="D98" s="68">
        <v>71.209999999999994</v>
      </c>
      <c r="E98" s="239"/>
    </row>
    <row r="99" spans="1:9" ht="22.5" customHeight="1">
      <c r="D99" s="69" t="s">
        <v>129</v>
      </c>
      <c r="E99" s="70">
        <f>COUNTIF(E14:E96,"&gt;=" &amp;E97)</f>
        <v>35</v>
      </c>
    </row>
    <row r="100" spans="1:9" ht="15.75" customHeight="1">
      <c r="B100" s="4" t="s">
        <v>144</v>
      </c>
      <c r="D100" s="71"/>
      <c r="E100" s="72"/>
    </row>
    <row r="101" spans="1:9" ht="15.75" customHeight="1">
      <c r="D101" s="71"/>
      <c r="E101" s="72"/>
    </row>
    <row r="102" spans="1:9" ht="15.75" customHeight="1">
      <c r="E102" s="15"/>
    </row>
    <row r="103" spans="1:9" ht="33.75" customHeight="1">
      <c r="A103" s="266" t="s">
        <v>130</v>
      </c>
      <c r="B103" s="223"/>
      <c r="C103" s="223"/>
      <c r="D103" s="224"/>
      <c r="E103" s="73" t="s">
        <v>131</v>
      </c>
      <c r="F103" s="50"/>
      <c r="G103" s="74" t="s">
        <v>132</v>
      </c>
      <c r="H103" s="75"/>
      <c r="I103" s="75"/>
    </row>
    <row r="104" spans="1:9" ht="15" customHeight="1">
      <c r="A104" s="269" t="s">
        <v>133</v>
      </c>
      <c r="B104" s="76">
        <v>0.5</v>
      </c>
      <c r="C104" s="289" t="s">
        <v>145</v>
      </c>
      <c r="D104" s="290"/>
      <c r="E104" s="291">
        <f>COUNTA(D14:D96)-COUNTIFS(D14:D96,0)</f>
        <v>62</v>
      </c>
      <c r="F104" s="77">
        <f t="shared" ref="F104:F106" si="0">B104*$E$104</f>
        <v>31</v>
      </c>
      <c r="G104" s="78">
        <v>1</v>
      </c>
      <c r="H104" s="75"/>
      <c r="I104" s="75"/>
    </row>
    <row r="105" spans="1:9" ht="15.75" customHeight="1">
      <c r="A105" s="270"/>
      <c r="B105" s="79">
        <v>0.6</v>
      </c>
      <c r="C105" s="293" t="s">
        <v>145</v>
      </c>
      <c r="D105" s="276"/>
      <c r="E105" s="238"/>
      <c r="F105" s="80">
        <f t="shared" si="0"/>
        <v>37.199999999999996</v>
      </c>
      <c r="G105" s="81">
        <v>2</v>
      </c>
      <c r="H105" s="75"/>
      <c r="I105" s="75"/>
    </row>
    <row r="106" spans="1:9" ht="15.75" customHeight="1">
      <c r="A106" s="271"/>
      <c r="B106" s="82">
        <v>0.7</v>
      </c>
      <c r="C106" s="294" t="s">
        <v>146</v>
      </c>
      <c r="D106" s="264"/>
      <c r="E106" s="239"/>
      <c r="F106" s="83">
        <f t="shared" si="0"/>
        <v>43.4</v>
      </c>
      <c r="G106" s="84">
        <v>3</v>
      </c>
      <c r="H106" s="75"/>
      <c r="I106" s="75"/>
    </row>
    <row r="107" spans="1:9" ht="15.75" customHeight="1">
      <c r="A107" s="75"/>
      <c r="B107" s="75"/>
      <c r="C107" s="75"/>
      <c r="D107" s="75"/>
      <c r="E107" s="85"/>
      <c r="F107" s="75"/>
      <c r="G107" s="75"/>
      <c r="H107" s="75"/>
      <c r="I107" s="75"/>
    </row>
    <row r="108" spans="1:9" ht="15.75" customHeight="1">
      <c r="A108" s="75"/>
      <c r="B108" s="75"/>
      <c r="C108" s="75"/>
      <c r="D108" s="75"/>
      <c r="E108" s="85"/>
      <c r="F108" s="75"/>
      <c r="G108" s="75"/>
      <c r="H108" s="75"/>
      <c r="I108" s="75"/>
    </row>
    <row r="109" spans="1:9" ht="71.25" customHeight="1">
      <c r="A109" s="295" t="s">
        <v>147</v>
      </c>
      <c r="B109" s="296"/>
      <c r="C109" s="58" t="s">
        <v>9</v>
      </c>
      <c r="D109" s="58" t="s">
        <v>11</v>
      </c>
      <c r="E109" s="58" t="s">
        <v>13</v>
      </c>
      <c r="F109" s="58" t="s">
        <v>15</v>
      </c>
      <c r="G109" s="58" t="s">
        <v>136</v>
      </c>
      <c r="H109" s="59" t="s">
        <v>137</v>
      </c>
      <c r="I109" s="75"/>
    </row>
    <row r="110" spans="1:9" ht="39" customHeight="1">
      <c r="A110" s="284" t="s">
        <v>148</v>
      </c>
      <c r="B110" s="285"/>
      <c r="C110" s="61">
        <f>IF(E99&gt;=$F106,3,IF(E99&gt;=$F105,2,IF(E99&gt;=$F104,1,0)))</f>
        <v>1</v>
      </c>
      <c r="D110" s="61">
        <f t="shared" ref="D110:G110" si="1">$C110</f>
        <v>1</v>
      </c>
      <c r="E110" s="61">
        <f t="shared" si="1"/>
        <v>1</v>
      </c>
      <c r="F110" s="61">
        <f t="shared" si="1"/>
        <v>1</v>
      </c>
      <c r="G110" s="61">
        <f t="shared" si="1"/>
        <v>1</v>
      </c>
      <c r="H110" s="61">
        <v>0</v>
      </c>
      <c r="I110" s="75"/>
    </row>
    <row r="111" spans="1:9" ht="15.75" customHeight="1">
      <c r="A111" s="75" t="s">
        <v>149</v>
      </c>
      <c r="B111" s="75"/>
      <c r="C111" s="75"/>
      <c r="D111" s="75"/>
      <c r="E111" s="85"/>
      <c r="F111" s="75"/>
      <c r="G111" s="75"/>
      <c r="H111" s="75"/>
      <c r="I111" s="75"/>
    </row>
    <row r="112" spans="1:9" ht="15.75" customHeight="1">
      <c r="A112" s="75"/>
      <c r="B112" s="75"/>
      <c r="C112" s="75"/>
      <c r="D112" s="75"/>
      <c r="E112" s="85"/>
      <c r="F112" s="75"/>
      <c r="G112" s="75"/>
      <c r="H112" s="75"/>
      <c r="I112" s="75"/>
    </row>
    <row r="113" spans="5:5" ht="15.75" customHeight="1">
      <c r="E113" s="15"/>
    </row>
    <row r="114" spans="5:5" ht="15.75" customHeight="1">
      <c r="E114" s="15"/>
    </row>
    <row r="115" spans="5:5" ht="15.75" customHeight="1">
      <c r="E115" s="15"/>
    </row>
    <row r="116" spans="5:5" ht="15.75" customHeight="1">
      <c r="E116" s="15"/>
    </row>
    <row r="117" spans="5:5" ht="15.75" customHeight="1">
      <c r="E117" s="15"/>
    </row>
    <row r="118" spans="5:5" ht="15.75" customHeight="1">
      <c r="E118" s="15"/>
    </row>
    <row r="119" spans="5:5" ht="15.75" customHeight="1">
      <c r="E119" s="15"/>
    </row>
    <row r="120" spans="5:5" ht="15.75" customHeight="1">
      <c r="E120" s="15"/>
    </row>
    <row r="121" spans="5:5" ht="15.75" customHeight="1">
      <c r="E121" s="15"/>
    </row>
    <row r="122" spans="5:5" ht="15.75" customHeight="1">
      <c r="E122" s="15"/>
    </row>
    <row r="123" spans="5:5" ht="15.75" customHeight="1">
      <c r="E123" s="15"/>
    </row>
    <row r="124" spans="5:5" ht="15.75" customHeight="1">
      <c r="E124" s="15"/>
    </row>
    <row r="125" spans="5:5" ht="15.75" customHeight="1">
      <c r="E125" s="15"/>
    </row>
    <row r="126" spans="5:5" ht="15.75" customHeight="1">
      <c r="E126" s="15"/>
    </row>
    <row r="127" spans="5:5" ht="15.75" customHeight="1">
      <c r="E127" s="15"/>
    </row>
    <row r="128" spans="5:5" ht="15.75" customHeight="1">
      <c r="E128" s="15"/>
    </row>
    <row r="129" spans="5:5" ht="15.75" customHeight="1">
      <c r="E129" s="15"/>
    </row>
    <row r="130" spans="5:5" ht="15.75" customHeight="1">
      <c r="E130" s="15"/>
    </row>
    <row r="131" spans="5:5" ht="15.75" customHeight="1">
      <c r="E131" s="15"/>
    </row>
    <row r="132" spans="5:5" ht="15.75" customHeight="1">
      <c r="E132" s="15"/>
    </row>
    <row r="133" spans="5:5" ht="15.75" customHeight="1">
      <c r="E133" s="15"/>
    </row>
    <row r="134" spans="5:5" ht="15.75" customHeight="1">
      <c r="E134" s="15"/>
    </row>
    <row r="135" spans="5:5" ht="15.75" customHeight="1">
      <c r="E135" s="15"/>
    </row>
    <row r="136" spans="5:5" ht="15.75" customHeight="1">
      <c r="E136" s="15"/>
    </row>
    <row r="137" spans="5:5" ht="15.75" customHeight="1">
      <c r="E137" s="15"/>
    </row>
    <row r="138" spans="5:5" ht="15.75" customHeight="1">
      <c r="E138" s="15"/>
    </row>
    <row r="139" spans="5:5" ht="15.75" customHeight="1">
      <c r="E139" s="15"/>
    </row>
    <row r="140" spans="5:5" ht="15.75" customHeight="1">
      <c r="E140" s="15"/>
    </row>
    <row r="141" spans="5:5" ht="15.75" customHeight="1">
      <c r="E141" s="15"/>
    </row>
    <row r="142" spans="5:5" ht="15.75" customHeight="1">
      <c r="E142" s="15"/>
    </row>
    <row r="143" spans="5:5" ht="15.75" customHeight="1">
      <c r="E143" s="15"/>
    </row>
    <row r="144" spans="5:5" ht="15.75" customHeight="1">
      <c r="E144" s="15"/>
    </row>
    <row r="145" spans="5:5" ht="15.75" customHeight="1">
      <c r="E145" s="15"/>
    </row>
    <row r="146" spans="5:5" ht="15.75" customHeight="1">
      <c r="E146" s="15"/>
    </row>
    <row r="147" spans="5:5" ht="15.75" customHeight="1">
      <c r="E147" s="15"/>
    </row>
    <row r="148" spans="5:5" ht="15.75" customHeight="1">
      <c r="E148" s="15"/>
    </row>
    <row r="149" spans="5:5" ht="15.75" customHeight="1">
      <c r="E149" s="15"/>
    </row>
    <row r="150" spans="5:5" ht="15.75" customHeight="1">
      <c r="E150" s="15"/>
    </row>
    <row r="151" spans="5:5" ht="15.75" customHeight="1">
      <c r="E151" s="15"/>
    </row>
    <row r="152" spans="5:5" ht="15.75" customHeight="1">
      <c r="E152" s="15"/>
    </row>
    <row r="153" spans="5:5" ht="15.75" customHeight="1">
      <c r="E153" s="15"/>
    </row>
    <row r="154" spans="5:5" ht="15.75" customHeight="1">
      <c r="E154" s="15"/>
    </row>
    <row r="155" spans="5:5" ht="15.75" customHeight="1">
      <c r="E155" s="15"/>
    </row>
    <row r="156" spans="5:5" ht="15.75" customHeight="1">
      <c r="E156" s="15"/>
    </row>
    <row r="157" spans="5:5" ht="15.75" customHeight="1">
      <c r="E157" s="15"/>
    </row>
    <row r="158" spans="5:5" ht="15.75" customHeight="1">
      <c r="E158" s="15"/>
    </row>
    <row r="159" spans="5:5" ht="15.75" customHeight="1">
      <c r="E159" s="15"/>
    </row>
    <row r="160" spans="5:5" ht="15.75" customHeight="1">
      <c r="E160" s="15"/>
    </row>
    <row r="161" spans="5:5" ht="15.75" customHeight="1">
      <c r="E161" s="15"/>
    </row>
    <row r="162" spans="5:5" ht="15.75" customHeight="1">
      <c r="E162" s="15"/>
    </row>
    <row r="163" spans="5:5" ht="15.75" customHeight="1">
      <c r="E163" s="15"/>
    </row>
    <row r="164" spans="5:5" ht="15.75" customHeight="1">
      <c r="E164" s="15"/>
    </row>
    <row r="165" spans="5:5" ht="15.75" customHeight="1">
      <c r="E165" s="15"/>
    </row>
    <row r="166" spans="5:5" ht="15.75" customHeight="1">
      <c r="E166" s="15"/>
    </row>
    <row r="167" spans="5:5" ht="15.75" customHeight="1">
      <c r="E167" s="15"/>
    </row>
    <row r="168" spans="5:5" ht="15.75" customHeight="1">
      <c r="E168" s="15"/>
    </row>
    <row r="169" spans="5:5" ht="15.75" customHeight="1">
      <c r="E169" s="15"/>
    </row>
    <row r="170" spans="5:5" ht="15.75" customHeight="1">
      <c r="E170" s="15"/>
    </row>
    <row r="171" spans="5:5" ht="15.75" customHeight="1">
      <c r="E171" s="15"/>
    </row>
    <row r="172" spans="5:5" ht="15.75" customHeight="1">
      <c r="E172" s="15"/>
    </row>
    <row r="173" spans="5:5" ht="15.75" customHeight="1">
      <c r="E173" s="15"/>
    </row>
    <row r="174" spans="5:5" ht="15.75" customHeight="1">
      <c r="E174" s="15"/>
    </row>
    <row r="175" spans="5:5" ht="15.75" customHeight="1">
      <c r="E175" s="15"/>
    </row>
    <row r="176" spans="5:5" ht="15.75" customHeight="1">
      <c r="E176" s="15"/>
    </row>
    <row r="177" spans="5:5" ht="15.75" customHeight="1">
      <c r="E177" s="15"/>
    </row>
    <row r="178" spans="5:5" ht="15.75" customHeight="1">
      <c r="E178" s="15"/>
    </row>
    <row r="179" spans="5:5" ht="15.75" customHeight="1">
      <c r="E179" s="15"/>
    </row>
    <row r="180" spans="5:5" ht="15.75" customHeight="1">
      <c r="E180" s="15"/>
    </row>
    <row r="181" spans="5:5" ht="15.75" customHeight="1">
      <c r="E181" s="15"/>
    </row>
    <row r="182" spans="5:5" ht="15.75" customHeight="1">
      <c r="E182" s="15"/>
    </row>
    <row r="183" spans="5:5" ht="15.75" customHeight="1">
      <c r="E183" s="15"/>
    </row>
    <row r="184" spans="5:5" ht="15.75" customHeight="1">
      <c r="E184" s="15"/>
    </row>
    <row r="185" spans="5:5" ht="15.75" customHeight="1">
      <c r="E185" s="15"/>
    </row>
    <row r="186" spans="5:5" ht="15.75" customHeight="1">
      <c r="E186" s="15"/>
    </row>
    <row r="187" spans="5:5" ht="15.75" customHeight="1">
      <c r="E187" s="15"/>
    </row>
    <row r="188" spans="5:5" ht="15.75" customHeight="1">
      <c r="E188" s="15"/>
    </row>
    <row r="189" spans="5:5" ht="15.75" customHeight="1">
      <c r="E189" s="15"/>
    </row>
    <row r="190" spans="5:5" ht="15.75" customHeight="1">
      <c r="E190" s="15"/>
    </row>
    <row r="191" spans="5:5" ht="15.75" customHeight="1">
      <c r="E191" s="15"/>
    </row>
    <row r="192" spans="5:5" ht="15.75" customHeight="1">
      <c r="E192" s="15"/>
    </row>
    <row r="193" spans="5:5" ht="15.75" customHeight="1">
      <c r="E193" s="15"/>
    </row>
    <row r="194" spans="5:5" ht="15.75" customHeight="1">
      <c r="E194" s="15"/>
    </row>
    <row r="195" spans="5:5" ht="15.75" customHeight="1">
      <c r="E195" s="15"/>
    </row>
    <row r="196" spans="5:5" ht="15.75" customHeight="1">
      <c r="E196" s="15"/>
    </row>
    <row r="197" spans="5:5" ht="15.75" customHeight="1">
      <c r="E197" s="15"/>
    </row>
    <row r="198" spans="5:5" ht="15.75" customHeight="1">
      <c r="E198" s="15"/>
    </row>
    <row r="199" spans="5:5" ht="15.75" customHeight="1">
      <c r="E199" s="15"/>
    </row>
    <row r="200" spans="5:5" ht="15.75" customHeight="1">
      <c r="E200" s="15"/>
    </row>
    <row r="201" spans="5:5" ht="15.75" customHeight="1">
      <c r="E201" s="15"/>
    </row>
    <row r="202" spans="5:5" ht="15.75" customHeight="1">
      <c r="E202" s="15"/>
    </row>
    <row r="203" spans="5:5" ht="15.75" customHeight="1">
      <c r="E203" s="15"/>
    </row>
    <row r="204" spans="5:5" ht="15.75" customHeight="1">
      <c r="E204" s="15"/>
    </row>
    <row r="205" spans="5:5" ht="15.75" customHeight="1">
      <c r="E205" s="15"/>
    </row>
    <row r="206" spans="5:5" ht="15.75" customHeight="1">
      <c r="E206" s="15"/>
    </row>
    <row r="207" spans="5:5" ht="15.75" customHeight="1">
      <c r="E207" s="15"/>
    </row>
    <row r="208" spans="5:5" ht="15.75" customHeight="1">
      <c r="E208" s="15"/>
    </row>
    <row r="209" spans="5:5" ht="15.75" customHeight="1">
      <c r="E209" s="15"/>
    </row>
    <row r="210" spans="5:5" ht="15.75" customHeight="1">
      <c r="E210" s="15"/>
    </row>
    <row r="211" spans="5:5" ht="15.75" customHeight="1">
      <c r="E211" s="15"/>
    </row>
    <row r="212" spans="5:5" ht="15.75" customHeight="1">
      <c r="E212" s="15"/>
    </row>
    <row r="213" spans="5:5" ht="15.75" customHeight="1">
      <c r="E213" s="15"/>
    </row>
    <row r="214" spans="5:5" ht="15.75" customHeight="1">
      <c r="E214" s="15"/>
    </row>
    <row r="215" spans="5:5" ht="15.75" customHeight="1">
      <c r="E215" s="15"/>
    </row>
    <row r="216" spans="5:5" ht="15.75" customHeight="1">
      <c r="E216" s="15"/>
    </row>
    <row r="217" spans="5:5" ht="15.75" customHeight="1">
      <c r="E217" s="15"/>
    </row>
    <row r="218" spans="5:5" ht="15.75" customHeight="1">
      <c r="E218" s="15"/>
    </row>
    <row r="219" spans="5:5" ht="15.75" customHeight="1">
      <c r="E219" s="15"/>
    </row>
    <row r="220" spans="5:5" ht="15.75" customHeight="1">
      <c r="E220" s="15"/>
    </row>
    <row r="221" spans="5:5" ht="15.75" customHeight="1">
      <c r="E221" s="15"/>
    </row>
    <row r="222" spans="5:5" ht="15.75" customHeight="1">
      <c r="E222" s="15"/>
    </row>
    <row r="223" spans="5:5" ht="15.75" customHeight="1">
      <c r="E223" s="15"/>
    </row>
    <row r="224" spans="5:5" ht="15.75" customHeight="1">
      <c r="E224" s="15"/>
    </row>
    <row r="225" spans="5:5" ht="15.75" customHeight="1">
      <c r="E225" s="15"/>
    </row>
    <row r="226" spans="5:5" ht="15.75" customHeight="1">
      <c r="E226" s="15"/>
    </row>
    <row r="227" spans="5:5" ht="15.75" customHeight="1">
      <c r="E227" s="15"/>
    </row>
    <row r="228" spans="5:5" ht="15.75" customHeight="1">
      <c r="E228" s="15"/>
    </row>
    <row r="229" spans="5:5" ht="15.75" customHeight="1">
      <c r="E229" s="15"/>
    </row>
    <row r="230" spans="5:5" ht="15.75" customHeight="1">
      <c r="E230" s="15"/>
    </row>
    <row r="231" spans="5:5" ht="15.75" customHeight="1">
      <c r="E231" s="15"/>
    </row>
    <row r="232" spans="5:5" ht="15.75" customHeight="1">
      <c r="E232" s="15"/>
    </row>
    <row r="233" spans="5:5" ht="15.75" customHeight="1">
      <c r="E233" s="15"/>
    </row>
    <row r="234" spans="5:5" ht="15.75" customHeight="1">
      <c r="E234" s="15"/>
    </row>
    <row r="235" spans="5:5" ht="15.75" customHeight="1">
      <c r="E235" s="15"/>
    </row>
    <row r="236" spans="5:5" ht="15.75" customHeight="1">
      <c r="E236" s="15"/>
    </row>
    <row r="237" spans="5:5" ht="15.75" customHeight="1">
      <c r="E237" s="15"/>
    </row>
    <row r="238" spans="5:5" ht="15.75" customHeight="1">
      <c r="E238" s="15"/>
    </row>
    <row r="239" spans="5:5" ht="15.75" customHeight="1">
      <c r="E239" s="15"/>
    </row>
    <row r="240" spans="5:5" ht="15.75" customHeight="1">
      <c r="E240" s="15"/>
    </row>
    <row r="241" spans="5:5" ht="15.75" customHeight="1">
      <c r="E241" s="15"/>
    </row>
    <row r="242" spans="5:5" ht="15.75" customHeight="1">
      <c r="E242" s="15"/>
    </row>
    <row r="243" spans="5:5" ht="15.75" customHeight="1">
      <c r="E243" s="15"/>
    </row>
    <row r="244" spans="5:5" ht="15.75" customHeight="1">
      <c r="E244" s="15"/>
    </row>
    <row r="245" spans="5:5" ht="15.75" customHeight="1">
      <c r="E245" s="15"/>
    </row>
    <row r="246" spans="5:5" ht="15.75" customHeight="1">
      <c r="E246" s="15"/>
    </row>
    <row r="247" spans="5:5" ht="15.75" customHeight="1">
      <c r="E247" s="15"/>
    </row>
    <row r="248" spans="5:5" ht="15.75" customHeight="1">
      <c r="E248" s="15"/>
    </row>
    <row r="249" spans="5:5" ht="15.75" customHeight="1">
      <c r="E249" s="15"/>
    </row>
    <row r="250" spans="5:5" ht="15.75" customHeight="1">
      <c r="E250" s="15"/>
    </row>
    <row r="251" spans="5:5" ht="15.75" customHeight="1">
      <c r="E251" s="15"/>
    </row>
    <row r="252" spans="5:5" ht="15.75" customHeight="1">
      <c r="E252" s="15"/>
    </row>
    <row r="253" spans="5:5" ht="15.75" customHeight="1">
      <c r="E253" s="15"/>
    </row>
    <row r="254" spans="5:5" ht="15.75" customHeight="1">
      <c r="E254" s="15"/>
    </row>
    <row r="255" spans="5:5" ht="15.75" customHeight="1">
      <c r="E255" s="15"/>
    </row>
    <row r="256" spans="5:5" ht="15.75" customHeight="1">
      <c r="E256" s="15"/>
    </row>
    <row r="257" spans="5:5" ht="15.75" customHeight="1">
      <c r="E257" s="15"/>
    </row>
    <row r="258" spans="5:5" ht="15.75" customHeight="1">
      <c r="E258" s="15"/>
    </row>
    <row r="259" spans="5:5" ht="15.75" customHeight="1">
      <c r="E259" s="15"/>
    </row>
    <row r="260" spans="5:5" ht="15.75" customHeight="1">
      <c r="E260" s="15"/>
    </row>
    <row r="261" spans="5:5" ht="15.75" customHeight="1">
      <c r="E261" s="15"/>
    </row>
    <row r="262" spans="5:5" ht="15.75" customHeight="1">
      <c r="E262" s="15"/>
    </row>
    <row r="263" spans="5:5" ht="15.75" customHeight="1">
      <c r="E263" s="15"/>
    </row>
    <row r="264" spans="5:5" ht="15.75" customHeight="1">
      <c r="E264" s="15"/>
    </row>
    <row r="265" spans="5:5" ht="15.75" customHeight="1">
      <c r="E265" s="15"/>
    </row>
    <row r="266" spans="5:5" ht="15.75" customHeight="1">
      <c r="E266" s="15"/>
    </row>
    <row r="267" spans="5:5" ht="15.75" customHeight="1">
      <c r="E267" s="15"/>
    </row>
    <row r="268" spans="5:5" ht="15.75" customHeight="1">
      <c r="E268" s="15"/>
    </row>
    <row r="269" spans="5:5" ht="15.75" customHeight="1">
      <c r="E269" s="15"/>
    </row>
    <row r="270" spans="5:5" ht="15.75" customHeight="1">
      <c r="E270" s="15"/>
    </row>
    <row r="271" spans="5:5" ht="15.75" customHeight="1">
      <c r="E271" s="15"/>
    </row>
    <row r="272" spans="5:5" ht="15.75" customHeight="1">
      <c r="E272" s="15"/>
    </row>
    <row r="273" spans="5:5" ht="15.75" customHeight="1">
      <c r="E273" s="15"/>
    </row>
    <row r="274" spans="5:5" ht="15.75" customHeight="1">
      <c r="E274" s="15"/>
    </row>
    <row r="275" spans="5:5" ht="15.75" customHeight="1">
      <c r="E275" s="15"/>
    </row>
    <row r="276" spans="5:5" ht="15.75" customHeight="1">
      <c r="E276" s="15"/>
    </row>
    <row r="277" spans="5:5" ht="15.75" customHeight="1">
      <c r="E277" s="15"/>
    </row>
    <row r="278" spans="5:5" ht="15.75" customHeight="1">
      <c r="E278" s="15"/>
    </row>
    <row r="279" spans="5:5" ht="15.75" customHeight="1">
      <c r="E279" s="15"/>
    </row>
    <row r="280" spans="5:5" ht="15.75" customHeight="1">
      <c r="E280" s="15"/>
    </row>
    <row r="281" spans="5:5" ht="15.75" customHeight="1">
      <c r="E281" s="15"/>
    </row>
    <row r="282" spans="5:5" ht="15.75" customHeight="1">
      <c r="E282" s="15"/>
    </row>
    <row r="283" spans="5:5" ht="15.75" customHeight="1">
      <c r="E283" s="15"/>
    </row>
    <row r="284" spans="5:5" ht="15.75" customHeight="1">
      <c r="E284" s="15"/>
    </row>
    <row r="285" spans="5:5" ht="15.75" customHeight="1">
      <c r="E285" s="15"/>
    </row>
    <row r="286" spans="5:5" ht="15.75" customHeight="1">
      <c r="E286" s="15"/>
    </row>
    <row r="287" spans="5:5" ht="15.75" customHeight="1">
      <c r="E287" s="15"/>
    </row>
    <row r="288" spans="5:5" ht="15.75" customHeight="1">
      <c r="E288" s="15"/>
    </row>
    <row r="289" spans="5:5" ht="15.75" customHeight="1">
      <c r="E289" s="15"/>
    </row>
    <row r="290" spans="5:5" ht="15.75" customHeight="1">
      <c r="E290" s="15"/>
    </row>
    <row r="291" spans="5:5" ht="15.75" customHeight="1">
      <c r="E291" s="15"/>
    </row>
    <row r="292" spans="5:5" ht="15.75" customHeight="1">
      <c r="E292" s="15"/>
    </row>
    <row r="293" spans="5:5" ht="15.75" customHeight="1">
      <c r="E293" s="15"/>
    </row>
    <row r="294" spans="5:5" ht="15.75" customHeight="1">
      <c r="E294" s="15"/>
    </row>
    <row r="295" spans="5:5" ht="15.75" customHeight="1">
      <c r="E295" s="15"/>
    </row>
    <row r="296" spans="5:5" ht="15.75" customHeight="1">
      <c r="E296" s="15"/>
    </row>
    <row r="297" spans="5:5" ht="15.75" customHeight="1">
      <c r="E297" s="15"/>
    </row>
    <row r="298" spans="5:5" ht="15.75" customHeight="1">
      <c r="E298" s="15"/>
    </row>
    <row r="299" spans="5:5" ht="15.75" customHeight="1">
      <c r="E299" s="15"/>
    </row>
    <row r="300" spans="5:5" ht="15.75" customHeight="1">
      <c r="E300" s="15"/>
    </row>
    <row r="301" spans="5:5" ht="15.75" customHeight="1">
      <c r="E301" s="15"/>
    </row>
    <row r="302" spans="5:5" ht="15.75" customHeight="1">
      <c r="E302" s="15"/>
    </row>
    <row r="303" spans="5:5" ht="15.75" customHeight="1">
      <c r="E303" s="15"/>
    </row>
    <row r="304" spans="5:5" ht="15.75" customHeight="1">
      <c r="E304" s="15"/>
    </row>
    <row r="305" spans="5:5" ht="15.75" customHeight="1">
      <c r="E305" s="15"/>
    </row>
    <row r="306" spans="5:5" ht="15.75" customHeight="1">
      <c r="E306" s="15"/>
    </row>
    <row r="307" spans="5:5" ht="15.75" customHeight="1">
      <c r="E307" s="15"/>
    </row>
    <row r="308" spans="5:5" ht="15.75" customHeight="1">
      <c r="E308" s="15"/>
    </row>
    <row r="309" spans="5:5" ht="15.75" customHeight="1">
      <c r="E309" s="15"/>
    </row>
    <row r="310" spans="5:5" ht="15.75" customHeight="1">
      <c r="E310" s="15"/>
    </row>
    <row r="311" spans="5:5" ht="15.75" customHeight="1">
      <c r="E311" s="15"/>
    </row>
    <row r="312" spans="5:5" ht="15.75" customHeight="1"/>
    <row r="313" spans="5:5" ht="15.75" customHeight="1"/>
    <row r="314" spans="5:5" ht="15.75" customHeight="1"/>
    <row r="315" spans="5:5" ht="15.75" customHeight="1"/>
    <row r="316" spans="5:5" ht="15.75" customHeight="1"/>
    <row r="317" spans="5:5" ht="15.75" customHeight="1"/>
    <row r="318" spans="5:5" ht="15.75" customHeight="1"/>
    <row r="319" spans="5:5" ht="15.75" customHeight="1"/>
    <row r="320" spans="5:5"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1:F1"/>
    <mergeCell ref="D4:E4"/>
    <mergeCell ref="D5:E5"/>
    <mergeCell ref="D6:E6"/>
    <mergeCell ref="D7:E7"/>
    <mergeCell ref="A110:B110"/>
    <mergeCell ref="D9:D13"/>
    <mergeCell ref="E9:E12"/>
    <mergeCell ref="E97:E98"/>
    <mergeCell ref="A103:D103"/>
    <mergeCell ref="A104:A106"/>
    <mergeCell ref="C104:D104"/>
    <mergeCell ref="E104:E106"/>
    <mergeCell ref="B9:B13"/>
    <mergeCell ref="C9:C13"/>
    <mergeCell ref="C105:D105"/>
    <mergeCell ref="C106:D106"/>
    <mergeCell ref="A109:B109"/>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H1000"/>
  <sheetViews>
    <sheetView topLeftCell="A66" workbookViewId="0">
      <selection activeCell="K12" sqref="K12"/>
    </sheetView>
  </sheetViews>
  <sheetFormatPr defaultColWidth="14.42578125" defaultRowHeight="15" customHeight="1"/>
  <cols>
    <col min="1" max="1" width="8.7109375" customWidth="1"/>
    <col min="2" max="2" width="10.42578125" customWidth="1"/>
    <col min="3" max="3" width="16" customWidth="1"/>
    <col min="4" max="4" width="43.140625" customWidth="1"/>
    <col min="5" max="5" width="15.5703125" customWidth="1"/>
    <col min="6" max="6" width="21.28515625" customWidth="1"/>
    <col min="7" max="7" width="14.7109375" customWidth="1"/>
    <col min="8" max="8" width="8.7109375" customWidth="1"/>
  </cols>
  <sheetData>
    <row r="1" spans="2:8" ht="20.25">
      <c r="D1" s="86" t="s">
        <v>150</v>
      </c>
      <c r="E1" s="86"/>
      <c r="F1" s="86"/>
      <c r="G1" s="86"/>
      <c r="H1" s="33"/>
    </row>
    <row r="2" spans="2:8" ht="20.25">
      <c r="B2" s="33"/>
      <c r="C2" s="33"/>
      <c r="E2" s="62" t="s">
        <v>151</v>
      </c>
      <c r="F2" s="33"/>
      <c r="G2" s="33"/>
    </row>
    <row r="3" spans="2:8" ht="20.25">
      <c r="B3" s="33"/>
      <c r="C3" s="33"/>
      <c r="D3" s="62"/>
      <c r="E3" s="15"/>
      <c r="F3" s="33"/>
      <c r="G3" s="33"/>
    </row>
    <row r="4" spans="2:8">
      <c r="B4" s="33"/>
      <c r="C4" s="34" t="s">
        <v>1</v>
      </c>
      <c r="D4" s="250" t="str">
        <f>'CO_Attainment for Unit Tests'!C3</f>
        <v>Data Structures Using _C</v>
      </c>
      <c r="E4" s="251"/>
      <c r="F4" s="33"/>
      <c r="G4" s="33"/>
      <c r="H4" s="33"/>
    </row>
    <row r="5" spans="2:8">
      <c r="B5" s="33"/>
      <c r="C5" s="34" t="s">
        <v>3</v>
      </c>
      <c r="D5" s="250">
        <f>'CO_Attainment for Unit Tests'!C4</f>
        <v>22317</v>
      </c>
      <c r="E5" s="251"/>
      <c r="F5" s="33"/>
      <c r="G5" s="33"/>
      <c r="H5" s="33"/>
    </row>
    <row r="6" spans="2:8">
      <c r="B6" s="33"/>
      <c r="C6" s="34" t="s">
        <v>54</v>
      </c>
      <c r="D6" s="250" t="str">
        <f>'CO_Attainment for Unit Tests'!C5</f>
        <v>3rd SEM(CO3I SCHEME)</v>
      </c>
      <c r="E6" s="251"/>
      <c r="F6" s="33"/>
      <c r="G6" s="33"/>
      <c r="H6" s="33"/>
    </row>
    <row r="7" spans="2:8">
      <c r="B7" s="33"/>
      <c r="C7" s="34" t="s">
        <v>152</v>
      </c>
      <c r="D7" s="250" t="str">
        <f>'CO_Attainment for Unit Tests'!C6</f>
        <v>2023-24</v>
      </c>
      <c r="E7" s="251"/>
      <c r="F7" s="33"/>
      <c r="G7" s="33"/>
      <c r="H7" s="33"/>
    </row>
    <row r="9" spans="2:8" ht="15.75" customHeight="1">
      <c r="B9" s="292" t="s">
        <v>21</v>
      </c>
      <c r="C9" s="287" t="s">
        <v>56</v>
      </c>
      <c r="D9" s="309" t="s">
        <v>57</v>
      </c>
      <c r="E9" s="300" t="s">
        <v>153</v>
      </c>
      <c r="F9" s="301" t="s">
        <v>154</v>
      </c>
      <c r="G9" s="302" t="s">
        <v>155</v>
      </c>
    </row>
    <row r="10" spans="2:8" ht="15.75" customHeight="1">
      <c r="B10" s="254"/>
      <c r="C10" s="254"/>
      <c r="D10" s="254"/>
      <c r="E10" s="254"/>
      <c r="F10" s="254"/>
      <c r="G10" s="303"/>
    </row>
    <row r="11" spans="2:8" ht="15.75" customHeight="1">
      <c r="B11" s="254"/>
      <c r="C11" s="254"/>
      <c r="D11" s="254"/>
      <c r="E11" s="254"/>
      <c r="F11" s="254"/>
      <c r="G11" s="303"/>
    </row>
    <row r="12" spans="2:8" ht="54.75" customHeight="1">
      <c r="B12" s="254"/>
      <c r="C12" s="254"/>
      <c r="D12" s="254"/>
      <c r="E12" s="255"/>
      <c r="F12" s="255"/>
      <c r="G12" s="304"/>
    </row>
    <row r="13" spans="2:8" ht="20.25" customHeight="1">
      <c r="B13" s="254"/>
      <c r="C13" s="254"/>
      <c r="D13" s="254"/>
      <c r="E13" s="208">
        <v>10</v>
      </c>
      <c r="F13" s="208">
        <v>25</v>
      </c>
      <c r="G13" s="208">
        <v>25</v>
      </c>
    </row>
    <row r="14" spans="2:8" ht="15.75">
      <c r="B14" s="209">
        <v>1</v>
      </c>
      <c r="C14" s="210">
        <f>'CO_Attainment for Unit Tests'!B13</f>
        <v>2201180002</v>
      </c>
      <c r="D14" s="211" t="str">
        <f>'CO_Attainment for Unit Tests'!C13</f>
        <v>GARAD ANJALI NITIN</v>
      </c>
      <c r="E14" s="212">
        <v>5</v>
      </c>
      <c r="F14" s="212">
        <v>13</v>
      </c>
      <c r="G14" s="212">
        <v>19</v>
      </c>
    </row>
    <row r="15" spans="2:8" ht="15.75">
      <c r="B15" s="209">
        <v>2</v>
      </c>
      <c r="C15" s="210">
        <f>'CO_Attainment for Unit Tests'!B14</f>
        <v>2201180003</v>
      </c>
      <c r="D15" s="211" t="str">
        <f>'CO_Attainment for Unit Tests'!C14</f>
        <v>WALANDE GAURI DAYANAND</v>
      </c>
      <c r="E15" s="212">
        <v>10</v>
      </c>
      <c r="F15" s="212">
        <v>22</v>
      </c>
      <c r="G15" s="212">
        <v>21</v>
      </c>
    </row>
    <row r="16" spans="2:8" ht="15.75">
      <c r="B16" s="209">
        <v>3</v>
      </c>
      <c r="C16" s="210">
        <f>'CO_Attainment for Unit Tests'!B15</f>
        <v>2201180004</v>
      </c>
      <c r="D16" s="211" t="str">
        <f>'CO_Attainment for Unit Tests'!C15</f>
        <v>ZUNJURE SARTHAK BALAJI</v>
      </c>
      <c r="E16" s="212">
        <v>9</v>
      </c>
      <c r="F16" s="212">
        <v>22</v>
      </c>
      <c r="G16" s="212">
        <v>22</v>
      </c>
    </row>
    <row r="17" spans="2:7" ht="15.75">
      <c r="B17" s="209">
        <v>4</v>
      </c>
      <c r="C17" s="210">
        <f>'CO_Attainment for Unit Tests'!B16</f>
        <v>2201180005</v>
      </c>
      <c r="D17" s="211" t="str">
        <f>'CO_Attainment for Unit Tests'!C16</f>
        <v>BHANDE GAYATRI DAMODAR</v>
      </c>
      <c r="E17" s="212">
        <v>10</v>
      </c>
      <c r="F17" s="212">
        <v>24</v>
      </c>
      <c r="G17" s="212">
        <v>24</v>
      </c>
    </row>
    <row r="18" spans="2:7" ht="15.75">
      <c r="B18" s="209">
        <v>5</v>
      </c>
      <c r="C18" s="210">
        <f>'CO_Attainment for Unit Tests'!B17</f>
        <v>2201180006</v>
      </c>
      <c r="D18" s="211" t="str">
        <f>'CO_Attainment for Unit Tests'!C17</f>
        <v>MUNDHE GAYATRI PARMESHWAR</v>
      </c>
      <c r="E18" s="212">
        <v>10</v>
      </c>
      <c r="F18" s="212">
        <v>24</v>
      </c>
      <c r="G18" s="212">
        <v>24</v>
      </c>
    </row>
    <row r="19" spans="2:7" ht="15.75">
      <c r="B19" s="209">
        <v>6</v>
      </c>
      <c r="C19" s="210">
        <f>'CO_Attainment for Unit Tests'!B18</f>
        <v>2201180009</v>
      </c>
      <c r="D19" s="211" t="str">
        <f>'CO_Attainment for Unit Tests'!C18</f>
        <v>YADAV RADHA SAMADHAN</v>
      </c>
      <c r="E19" s="212">
        <v>8</v>
      </c>
      <c r="F19" s="212">
        <v>22</v>
      </c>
      <c r="G19" s="212">
        <v>21</v>
      </c>
    </row>
    <row r="20" spans="2:7" ht="15.75">
      <c r="B20" s="209">
        <v>7</v>
      </c>
      <c r="C20" s="210">
        <f>'CO_Attainment for Unit Tests'!B19</f>
        <v>2201180010</v>
      </c>
      <c r="D20" s="211" t="str">
        <f>'CO_Attainment for Unit Tests'!C19</f>
        <v>DESHMANE MANSI SIDDHESHWAR</v>
      </c>
      <c r="E20" s="212">
        <v>6</v>
      </c>
      <c r="F20" s="212">
        <v>23</v>
      </c>
      <c r="G20" s="212">
        <v>21</v>
      </c>
    </row>
    <row r="21" spans="2:7" ht="15.75" customHeight="1">
      <c r="B21" s="209">
        <v>8</v>
      </c>
      <c r="C21" s="210">
        <f>'CO_Attainment for Unit Tests'!B20</f>
        <v>2201180011</v>
      </c>
      <c r="D21" s="211" t="str">
        <f>'CO_Attainment for Unit Tests'!C20</f>
        <v>GAWALGADADE POOJA ARVIND</v>
      </c>
      <c r="E21" s="212">
        <v>7</v>
      </c>
      <c r="F21" s="212">
        <v>22</v>
      </c>
      <c r="G21" s="212">
        <v>20</v>
      </c>
    </row>
    <row r="22" spans="2:7" ht="15.75" customHeight="1">
      <c r="B22" s="209">
        <v>9</v>
      </c>
      <c r="C22" s="210">
        <f>'CO_Attainment for Unit Tests'!B21</f>
        <v>2201180014</v>
      </c>
      <c r="D22" s="211" t="str">
        <f>'CO_Attainment for Unit Tests'!C21</f>
        <v>JAIN TANISHA SHAILESH</v>
      </c>
      <c r="E22" s="212">
        <v>7</v>
      </c>
      <c r="F22" s="212">
        <v>19</v>
      </c>
      <c r="G22" s="212">
        <v>21</v>
      </c>
    </row>
    <row r="23" spans="2:7" ht="15.75" customHeight="1">
      <c r="B23" s="209">
        <v>10</v>
      </c>
      <c r="C23" s="210">
        <f>'CO_Attainment for Unit Tests'!B22</f>
        <v>2201180050</v>
      </c>
      <c r="D23" s="211" t="str">
        <f>'CO_Attainment for Unit Tests'!C22</f>
        <v>MAINDARGE SIDDHI PRASAD</v>
      </c>
      <c r="E23" s="212">
        <v>10</v>
      </c>
      <c r="F23" s="212">
        <v>23</v>
      </c>
      <c r="G23" s="212">
        <v>23</v>
      </c>
    </row>
    <row r="24" spans="2:7" ht="15.75" customHeight="1">
      <c r="B24" s="209">
        <v>11</v>
      </c>
      <c r="C24" s="210">
        <f>'CO_Attainment for Unit Tests'!B23</f>
        <v>2201180051</v>
      </c>
      <c r="D24" s="211" t="str">
        <f>'CO_Attainment for Unit Tests'!C23</f>
        <v>BHOSALE VAISHNAVI DAYANAND</v>
      </c>
      <c r="E24" s="212">
        <v>9</v>
      </c>
      <c r="F24" s="212">
        <v>22</v>
      </c>
      <c r="G24" s="212">
        <v>23</v>
      </c>
    </row>
    <row r="25" spans="2:7" ht="15.75" customHeight="1">
      <c r="B25" s="209">
        <v>12</v>
      </c>
      <c r="C25" s="210">
        <f>'CO_Attainment for Unit Tests'!B24</f>
        <v>2201180052</v>
      </c>
      <c r="D25" s="211" t="str">
        <f>'CO_Attainment for Unit Tests'!C24</f>
        <v>ATTAR SANIYA VAJIR</v>
      </c>
      <c r="E25" s="212">
        <v>9</v>
      </c>
      <c r="F25" s="212">
        <v>23</v>
      </c>
      <c r="G25" s="212">
        <v>23</v>
      </c>
    </row>
    <row r="26" spans="2:7" ht="15.75" customHeight="1">
      <c r="B26" s="209">
        <v>13</v>
      </c>
      <c r="C26" s="210">
        <f>'CO_Attainment for Unit Tests'!B25</f>
        <v>2201180053</v>
      </c>
      <c r="D26" s="211" t="str">
        <f>'CO_Attainment for Unit Tests'!C25</f>
        <v>NALWADE SNEHA NETAJI</v>
      </c>
      <c r="E26" s="212">
        <v>10</v>
      </c>
      <c r="F26" s="212">
        <v>24</v>
      </c>
      <c r="G26" s="212">
        <v>24</v>
      </c>
    </row>
    <row r="27" spans="2:7" ht="15.75" customHeight="1">
      <c r="B27" s="209">
        <v>14</v>
      </c>
      <c r="C27" s="210">
        <f>'CO_Attainment for Unit Tests'!B26</f>
        <v>2201180055</v>
      </c>
      <c r="D27" s="211" t="str">
        <f>'CO_Attainment for Unit Tests'!C26</f>
        <v>AADHE PANKAJ RAM</v>
      </c>
      <c r="E27" s="212">
        <v>9</v>
      </c>
      <c r="F27" s="212">
        <v>21</v>
      </c>
      <c r="G27" s="212">
        <v>23</v>
      </c>
    </row>
    <row r="28" spans="2:7" ht="15.75" customHeight="1">
      <c r="B28" s="209">
        <v>15</v>
      </c>
      <c r="C28" s="210">
        <f>'CO_Attainment for Unit Tests'!B27</f>
        <v>2201180056</v>
      </c>
      <c r="D28" s="211" t="str">
        <f>'CO_Attainment for Unit Tests'!C27</f>
        <v>BUDGE VISHAKHA VENKAT</v>
      </c>
      <c r="E28" s="212">
        <v>9</v>
      </c>
      <c r="F28" s="212">
        <v>22</v>
      </c>
      <c r="G28" s="212">
        <v>22</v>
      </c>
    </row>
    <row r="29" spans="2:7" ht="15.75" customHeight="1">
      <c r="B29" s="209">
        <v>16</v>
      </c>
      <c r="C29" s="210">
        <f>'CO_Attainment for Unit Tests'!B28</f>
        <v>2201180058</v>
      </c>
      <c r="D29" s="211" t="str">
        <f>'CO_Attainment for Unit Tests'!C28</f>
        <v>PAWAR PRATIKSHA VITTHAL</v>
      </c>
      <c r="E29" s="212">
        <v>8</v>
      </c>
      <c r="F29" s="212">
        <v>23</v>
      </c>
      <c r="G29" s="212">
        <v>22</v>
      </c>
    </row>
    <row r="30" spans="2:7" ht="15.75" customHeight="1">
      <c r="B30" s="209">
        <v>17</v>
      </c>
      <c r="C30" s="210">
        <f>'CO_Attainment for Unit Tests'!B29</f>
        <v>2201180059</v>
      </c>
      <c r="D30" s="211" t="str">
        <f>'CO_Attainment for Unit Tests'!C29</f>
        <v>WAGHMARE RAU HANMANT</v>
      </c>
      <c r="E30" s="212">
        <v>9</v>
      </c>
      <c r="F30" s="212">
        <v>23</v>
      </c>
      <c r="G30" s="212">
        <v>21</v>
      </c>
    </row>
    <row r="31" spans="2:7" ht="15.75" customHeight="1">
      <c r="B31" s="209">
        <v>18</v>
      </c>
      <c r="C31" s="210">
        <f>'CO_Attainment for Unit Tests'!B30</f>
        <v>2201180060</v>
      </c>
      <c r="D31" s="211" t="str">
        <f>'CO_Attainment for Unit Tests'!C30</f>
        <v>MAHAJAN SHRUTI DILIP</v>
      </c>
      <c r="E31" s="212">
        <v>9</v>
      </c>
      <c r="F31" s="212">
        <v>22</v>
      </c>
      <c r="G31" s="212">
        <v>23</v>
      </c>
    </row>
    <row r="32" spans="2:7" ht="15.75" customHeight="1">
      <c r="B32" s="209">
        <v>19</v>
      </c>
      <c r="C32" s="210">
        <f>'CO_Attainment for Unit Tests'!B31</f>
        <v>2201180061</v>
      </c>
      <c r="D32" s="211" t="str">
        <f>'CO_Attainment for Unit Tests'!C31</f>
        <v>CHANDANE GAYATRI PRASHANT</v>
      </c>
      <c r="E32" s="212">
        <v>8</v>
      </c>
      <c r="F32" s="212">
        <v>20</v>
      </c>
      <c r="G32" s="212">
        <v>22</v>
      </c>
    </row>
    <row r="33" spans="2:7" ht="15.75" customHeight="1">
      <c r="B33" s="209">
        <v>20</v>
      </c>
      <c r="C33" s="210">
        <f>'CO_Attainment for Unit Tests'!B32</f>
        <v>2201180062</v>
      </c>
      <c r="D33" s="211" t="str">
        <f>'CO_Attainment for Unit Tests'!C32</f>
        <v>JOSHI SHRAVANI SHRIKANT</v>
      </c>
      <c r="E33" s="212">
        <v>10</v>
      </c>
      <c r="F33" s="212">
        <v>23</v>
      </c>
      <c r="G33" s="212">
        <v>24</v>
      </c>
    </row>
    <row r="34" spans="2:7" ht="15.75" customHeight="1">
      <c r="B34" s="209">
        <v>21</v>
      </c>
      <c r="C34" s="210">
        <f>'CO_Attainment for Unit Tests'!B33</f>
        <v>2201180063</v>
      </c>
      <c r="D34" s="211" t="str">
        <f>'CO_Attainment for Unit Tests'!C33</f>
        <v>MANE ANUSHKA BALASAHEB</v>
      </c>
      <c r="E34" s="212">
        <v>10</v>
      </c>
      <c r="F34" s="212">
        <v>22</v>
      </c>
      <c r="G34" s="212">
        <v>24</v>
      </c>
    </row>
    <row r="35" spans="2:7" ht="15.75" customHeight="1">
      <c r="B35" s="209">
        <v>22</v>
      </c>
      <c r="C35" s="210">
        <f>'CO_Attainment for Unit Tests'!B34</f>
        <v>2201180064</v>
      </c>
      <c r="D35" s="211" t="str">
        <f>'CO_Attainment for Unit Tests'!C34</f>
        <v>GADEKAR MAHESH BALAJI</v>
      </c>
      <c r="E35" s="212">
        <v>8</v>
      </c>
      <c r="F35" s="212">
        <v>22</v>
      </c>
      <c r="G35" s="212">
        <v>22</v>
      </c>
    </row>
    <row r="36" spans="2:7" ht="15.75" customHeight="1">
      <c r="B36" s="209">
        <v>23</v>
      </c>
      <c r="C36" s="210">
        <f>'CO_Attainment for Unit Tests'!B35</f>
        <v>2201180065</v>
      </c>
      <c r="D36" s="211" t="str">
        <f>'CO_Attainment for Unit Tests'!C35</f>
        <v>DESHMUKH SWANANDI UDAYRAO</v>
      </c>
      <c r="E36" s="212">
        <v>10</v>
      </c>
      <c r="F36" s="212">
        <v>23</v>
      </c>
      <c r="G36" s="212">
        <v>24</v>
      </c>
    </row>
    <row r="37" spans="2:7" ht="15.75" customHeight="1">
      <c r="B37" s="209">
        <v>24</v>
      </c>
      <c r="C37" s="210">
        <f>'CO_Attainment for Unit Tests'!B36</f>
        <v>2201180148</v>
      </c>
      <c r="D37" s="211" t="str">
        <f>'CO_Attainment for Unit Tests'!C36</f>
        <v>LAGDIVE SHIVAM NITIN</v>
      </c>
      <c r="E37" s="212">
        <v>9</v>
      </c>
      <c r="F37" s="212">
        <v>22</v>
      </c>
      <c r="G37" s="212">
        <v>23</v>
      </c>
    </row>
    <row r="38" spans="2:7" ht="15.75" customHeight="1">
      <c r="B38" s="209">
        <v>25</v>
      </c>
      <c r="C38" s="210">
        <f>'CO_Attainment for Unit Tests'!B37</f>
        <v>2201180227</v>
      </c>
      <c r="D38" s="211" t="str">
        <f>'CO_Attainment for Unit Tests'!C37</f>
        <v>SARPHALE POOJA SADASHIV</v>
      </c>
      <c r="E38" s="212">
        <v>10</v>
      </c>
      <c r="F38" s="212">
        <v>23</v>
      </c>
      <c r="G38" s="212">
        <v>23</v>
      </c>
    </row>
    <row r="39" spans="2:7" ht="15.75" customHeight="1">
      <c r="B39" s="209">
        <v>26</v>
      </c>
      <c r="C39" s="210">
        <f>'CO_Attainment for Unit Tests'!B38</f>
        <v>2201180228</v>
      </c>
      <c r="D39" s="211" t="str">
        <f>'CO_Attainment for Unit Tests'!C38</f>
        <v>WAGHMARE ABHISHEK SOMNATH</v>
      </c>
      <c r="E39" s="212">
        <v>10</v>
      </c>
      <c r="F39" s="212">
        <v>22</v>
      </c>
      <c r="G39" s="212">
        <v>23</v>
      </c>
    </row>
    <row r="40" spans="2:7" ht="15.75" customHeight="1">
      <c r="B40" s="209">
        <v>27</v>
      </c>
      <c r="C40" s="210">
        <f>'CO_Attainment for Unit Tests'!B39</f>
        <v>2201180229</v>
      </c>
      <c r="D40" s="211" t="str">
        <f>'CO_Attainment for Unit Tests'!C39</f>
        <v>KAMBALE ROHINI RUPESH</v>
      </c>
      <c r="E40" s="212">
        <v>6</v>
      </c>
      <c r="F40" s="212">
        <v>22</v>
      </c>
      <c r="G40" s="212">
        <v>21</v>
      </c>
    </row>
    <row r="41" spans="2:7" ht="15.75" customHeight="1">
      <c r="B41" s="209">
        <v>28</v>
      </c>
      <c r="C41" s="210">
        <f>'CO_Attainment for Unit Tests'!B40</f>
        <v>2201180230</v>
      </c>
      <c r="D41" s="211" t="str">
        <f>'CO_Attainment for Unit Tests'!C40</f>
        <v>ROCHKARI SANSKRUTI SUDHIR</v>
      </c>
      <c r="E41" s="212">
        <v>6</v>
      </c>
      <c r="F41" s="212">
        <v>16</v>
      </c>
      <c r="G41" s="212">
        <v>20</v>
      </c>
    </row>
    <row r="42" spans="2:7" ht="15.75" customHeight="1">
      <c r="B42" s="209">
        <v>29</v>
      </c>
      <c r="C42" s="210">
        <f>'CO_Attainment for Unit Tests'!B41</f>
        <v>2201180232</v>
      </c>
      <c r="D42" s="211" t="str">
        <f>'CO_Attainment for Unit Tests'!C41</f>
        <v>NIMBALKAR APURVA BHUJANG</v>
      </c>
      <c r="E42" s="212">
        <v>10</v>
      </c>
      <c r="F42" s="212">
        <v>24</v>
      </c>
      <c r="G42" s="212">
        <v>24</v>
      </c>
    </row>
    <row r="43" spans="2:7" ht="15.75" customHeight="1">
      <c r="B43" s="209">
        <v>30</v>
      </c>
      <c r="C43" s="210">
        <f>'CO_Attainment for Unit Tests'!B42</f>
        <v>2201180233</v>
      </c>
      <c r="D43" s="211" t="str">
        <f>'CO_Attainment for Unit Tests'!C42</f>
        <v>KSHIRSAGAR SAMARTH DATTATRAY</v>
      </c>
      <c r="E43" s="212">
        <v>10</v>
      </c>
      <c r="F43" s="212">
        <v>23</v>
      </c>
      <c r="G43" s="212">
        <v>22</v>
      </c>
    </row>
    <row r="44" spans="2:7" ht="15.75" customHeight="1">
      <c r="B44" s="209">
        <v>31</v>
      </c>
      <c r="C44" s="210">
        <f>'CO_Attainment for Unit Tests'!B43</f>
        <v>2201180234</v>
      </c>
      <c r="D44" s="211" t="str">
        <f>'CO_Attainment for Unit Tests'!C43</f>
        <v>MASIHA SILVIYA SANTOSH</v>
      </c>
      <c r="E44" s="212">
        <v>9</v>
      </c>
      <c r="F44" s="212">
        <v>23</v>
      </c>
      <c r="G44" s="212">
        <v>23</v>
      </c>
    </row>
    <row r="45" spans="2:7" ht="15.75" customHeight="1">
      <c r="B45" s="209">
        <v>32</v>
      </c>
      <c r="C45" s="210">
        <f>'CO_Attainment for Unit Tests'!B44</f>
        <v>2201180235</v>
      </c>
      <c r="D45" s="211" t="str">
        <f>'CO_Attainment for Unit Tests'!C44</f>
        <v>KAWADE PRIYA SHANKAR</v>
      </c>
      <c r="E45" s="212">
        <v>10</v>
      </c>
      <c r="F45" s="212">
        <v>23</v>
      </c>
      <c r="G45" s="212">
        <v>23</v>
      </c>
    </row>
    <row r="46" spans="2:7" ht="15.75" customHeight="1">
      <c r="B46" s="209">
        <v>33</v>
      </c>
      <c r="C46" s="210">
        <f>'CO_Attainment for Unit Tests'!B45</f>
        <v>2201180237</v>
      </c>
      <c r="D46" s="211" t="str">
        <f>'CO_Attainment for Unit Tests'!C45</f>
        <v>PATIL PRANITA PRAVIN</v>
      </c>
      <c r="E46" s="212">
        <v>9</v>
      </c>
      <c r="F46" s="212">
        <v>23</v>
      </c>
      <c r="G46" s="212">
        <v>23</v>
      </c>
    </row>
    <row r="47" spans="2:7" ht="15.75" customHeight="1">
      <c r="B47" s="209">
        <v>34</v>
      </c>
      <c r="C47" s="210">
        <f>'CO_Attainment for Unit Tests'!B46</f>
        <v>2201180238</v>
      </c>
      <c r="D47" s="211" t="str">
        <f>'CO_Attainment for Unit Tests'!C46</f>
        <v>GAVALI ROHAN DNYANDEO</v>
      </c>
      <c r="E47" s="212">
        <v>4</v>
      </c>
      <c r="F47" s="212">
        <v>18</v>
      </c>
      <c r="G47" s="212">
        <v>20</v>
      </c>
    </row>
    <row r="48" spans="2:7" ht="15.75" customHeight="1">
      <c r="B48" s="209">
        <v>35</v>
      </c>
      <c r="C48" s="210">
        <f>'CO_Attainment for Unit Tests'!B47</f>
        <v>2201180241</v>
      </c>
      <c r="D48" s="211" t="str">
        <f>'CO_Attainment for Unit Tests'!C47</f>
        <v>GAIKWAD VASUDHA SANDIPAN</v>
      </c>
      <c r="E48" s="212">
        <v>10</v>
      </c>
      <c r="F48" s="212">
        <v>23</v>
      </c>
      <c r="G48" s="212">
        <v>22</v>
      </c>
    </row>
    <row r="49" spans="2:7" ht="15.75" customHeight="1">
      <c r="B49" s="209">
        <v>36</v>
      </c>
      <c r="C49" s="210">
        <f>'CO_Attainment for Unit Tests'!B48</f>
        <v>2201180242</v>
      </c>
      <c r="D49" s="211" t="str">
        <f>'CO_Attainment for Unit Tests'!C48</f>
        <v>GORE SANKET NARENDRA</v>
      </c>
      <c r="E49" s="212">
        <v>5</v>
      </c>
      <c r="F49" s="212">
        <v>15</v>
      </c>
      <c r="G49" s="212">
        <v>20</v>
      </c>
    </row>
    <row r="50" spans="2:7" ht="15.75" customHeight="1">
      <c r="B50" s="209">
        <v>37</v>
      </c>
      <c r="C50" s="210">
        <f>'CO_Attainment for Unit Tests'!B49</f>
        <v>2201180243</v>
      </c>
      <c r="D50" s="211" t="str">
        <f>'CO_Attainment for Unit Tests'!C49</f>
        <v>HINGANE SAKSHI SATISH</v>
      </c>
      <c r="E50" s="212">
        <v>9</v>
      </c>
      <c r="F50" s="212">
        <v>23</v>
      </c>
      <c r="G50" s="212">
        <v>23</v>
      </c>
    </row>
    <row r="51" spans="2:7" ht="15.75" customHeight="1">
      <c r="B51" s="209">
        <v>38</v>
      </c>
      <c r="C51" s="210">
        <f>'CO_Attainment for Unit Tests'!B50</f>
        <v>2201180280</v>
      </c>
      <c r="D51" s="211" t="str">
        <f>'CO_Attainment for Unit Tests'!C50</f>
        <v>JADHAV SHREYAS YADAVRAO</v>
      </c>
      <c r="E51" s="212">
        <v>9</v>
      </c>
      <c r="F51" s="212">
        <v>21</v>
      </c>
      <c r="G51" s="212">
        <v>23</v>
      </c>
    </row>
    <row r="52" spans="2:7" ht="15.75" customHeight="1">
      <c r="B52" s="209">
        <v>39</v>
      </c>
      <c r="C52" s="210">
        <f>'CO_Attainment for Unit Tests'!B51</f>
        <v>2201180282</v>
      </c>
      <c r="D52" s="211" t="str">
        <f>'CO_Attainment for Unit Tests'!C51</f>
        <v>WAKALE KOMAL SANTOSH</v>
      </c>
      <c r="E52" s="212">
        <v>9</v>
      </c>
      <c r="F52" s="212">
        <v>21</v>
      </c>
      <c r="G52" s="212">
        <v>23</v>
      </c>
    </row>
    <row r="53" spans="2:7" ht="15.75" customHeight="1">
      <c r="B53" s="209">
        <v>40</v>
      </c>
      <c r="C53" s="210">
        <f>'CO_Attainment for Unit Tests'!B52</f>
        <v>2201180283</v>
      </c>
      <c r="D53" s="211" t="str">
        <f>'CO_Attainment for Unit Tests'!C52</f>
        <v>KALE PRANITA NAMDEV</v>
      </c>
      <c r="E53" s="212">
        <v>10</v>
      </c>
      <c r="F53" s="212">
        <v>24</v>
      </c>
      <c r="G53" s="212">
        <v>22</v>
      </c>
    </row>
    <row r="54" spans="2:7" ht="15.75" customHeight="1">
      <c r="B54" s="209">
        <v>41</v>
      </c>
      <c r="C54" s="210">
        <f>'CO_Attainment for Unit Tests'!B53</f>
        <v>2201180401</v>
      </c>
      <c r="D54" s="211" t="str">
        <f>'CO_Attainment for Unit Tests'!C53</f>
        <v>KHARKE MAHESH HANUMANT</v>
      </c>
      <c r="E54" s="212">
        <v>8</v>
      </c>
      <c r="F54" s="212">
        <v>19</v>
      </c>
      <c r="G54" s="212">
        <v>21</v>
      </c>
    </row>
    <row r="55" spans="2:7" ht="15.75" customHeight="1">
      <c r="B55" s="209">
        <v>42</v>
      </c>
      <c r="C55" s="210">
        <f>'CO_Attainment for Unit Tests'!B54</f>
        <v>2201180404</v>
      </c>
      <c r="D55" s="211" t="str">
        <f>'CO_Attainment for Unit Tests'!C54</f>
        <v>PARVE SHRIRAM SUDHIR</v>
      </c>
      <c r="E55" s="212">
        <v>9</v>
      </c>
      <c r="F55" s="212">
        <v>21</v>
      </c>
      <c r="G55" s="212">
        <v>22</v>
      </c>
    </row>
    <row r="56" spans="2:7" ht="15.75" customHeight="1">
      <c r="B56" s="209">
        <v>43</v>
      </c>
      <c r="C56" s="210">
        <f>'CO_Attainment for Unit Tests'!B55</f>
        <v>2201180405</v>
      </c>
      <c r="D56" s="211" t="str">
        <f>'CO_Attainment for Unit Tests'!C55</f>
        <v>KOLNURE SURAJ RAJENDRA</v>
      </c>
      <c r="E56" s="212">
        <v>7</v>
      </c>
      <c r="F56" s="212">
        <v>18</v>
      </c>
      <c r="G56" s="212">
        <v>22</v>
      </c>
    </row>
    <row r="57" spans="2:7" ht="15.75" customHeight="1">
      <c r="B57" s="209">
        <v>44</v>
      </c>
      <c r="C57" s="210">
        <f>'CO_Attainment for Unit Tests'!B56</f>
        <v>2201180406</v>
      </c>
      <c r="D57" s="211" t="str">
        <f>'CO_Attainment for Unit Tests'!C56</f>
        <v>KANDALE ADITYA VILAS</v>
      </c>
      <c r="E57" s="212">
        <v>9</v>
      </c>
      <c r="F57" s="212">
        <v>23</v>
      </c>
      <c r="G57" s="212">
        <v>23</v>
      </c>
    </row>
    <row r="58" spans="2:7" ht="15.75" customHeight="1">
      <c r="B58" s="209">
        <v>45</v>
      </c>
      <c r="C58" s="210">
        <f>'CO_Attainment for Unit Tests'!B57</f>
        <v>2201180407</v>
      </c>
      <c r="D58" s="211" t="str">
        <f>'CO_Attainment for Unit Tests'!C57</f>
        <v>BARATE VARSHARANI DADASAHEB</v>
      </c>
      <c r="E58" s="212">
        <v>8</v>
      </c>
      <c r="F58" s="212">
        <v>24</v>
      </c>
      <c r="G58" s="212">
        <v>24</v>
      </c>
    </row>
    <row r="59" spans="2:7" ht="15.75" customHeight="1">
      <c r="B59" s="209">
        <v>46</v>
      </c>
      <c r="C59" s="210">
        <f>'CO_Attainment for Unit Tests'!B58</f>
        <v>2201180408</v>
      </c>
      <c r="D59" s="211" t="str">
        <f>'CO_Attainment for Unit Tests'!C58</f>
        <v>BARATE AADITI DADASAHEB</v>
      </c>
      <c r="E59" s="212">
        <v>10</v>
      </c>
      <c r="F59" s="212">
        <v>23</v>
      </c>
      <c r="G59" s="212">
        <v>24</v>
      </c>
    </row>
    <row r="60" spans="2:7" ht="15.75" customHeight="1">
      <c r="B60" s="209">
        <v>47</v>
      </c>
      <c r="C60" s="210">
        <f>'CO_Attainment for Unit Tests'!B59</f>
        <v>2201180410</v>
      </c>
      <c r="D60" s="211" t="str">
        <f>'CO_Attainment for Unit Tests'!C59</f>
        <v>THORAVE SANIKA AMBADAS</v>
      </c>
      <c r="E60" s="212">
        <v>9</v>
      </c>
      <c r="F60" s="212">
        <v>24</v>
      </c>
      <c r="G60" s="212">
        <v>23</v>
      </c>
    </row>
    <row r="61" spans="2:7" ht="15.75" customHeight="1">
      <c r="B61" s="209">
        <v>48</v>
      </c>
      <c r="C61" s="210">
        <f>'CO_Attainment for Unit Tests'!B60</f>
        <v>2201180411</v>
      </c>
      <c r="D61" s="211" t="str">
        <f>'CO_Attainment for Unit Tests'!C60</f>
        <v>KULKARNI AAKANKSHA KAMLESH</v>
      </c>
      <c r="E61" s="212">
        <v>10</v>
      </c>
      <c r="F61" s="212">
        <v>24</v>
      </c>
      <c r="G61" s="212">
        <v>24</v>
      </c>
    </row>
    <row r="62" spans="2:7" ht="15.75" customHeight="1">
      <c r="B62" s="209">
        <v>49</v>
      </c>
      <c r="C62" s="210">
        <f>'CO_Attainment for Unit Tests'!B61</f>
        <v>2201180412</v>
      </c>
      <c r="D62" s="211" t="str">
        <f>'CO_Attainment for Unit Tests'!C61</f>
        <v>GAIKWAD GAYATRI SURESH</v>
      </c>
      <c r="E62" s="212">
        <v>9</v>
      </c>
      <c r="F62" s="212">
        <v>22</v>
      </c>
      <c r="G62" s="212">
        <v>23</v>
      </c>
    </row>
    <row r="63" spans="2:7" ht="15.75" customHeight="1">
      <c r="B63" s="209">
        <v>50</v>
      </c>
      <c r="C63" s="210">
        <f>'CO_Attainment for Unit Tests'!B62</f>
        <v>2201180413</v>
      </c>
      <c r="D63" s="211" t="str">
        <f>'CO_Attainment for Unit Tests'!C62</f>
        <v>SAROLKAR SAKSHI SHAMSUNDAR</v>
      </c>
      <c r="E63" s="212">
        <v>9</v>
      </c>
      <c r="F63" s="212">
        <v>22</v>
      </c>
      <c r="G63" s="212">
        <v>23</v>
      </c>
    </row>
    <row r="64" spans="2:7" ht="15.75" customHeight="1">
      <c r="B64" s="209">
        <v>51</v>
      </c>
      <c r="C64" s="210">
        <f>'CO_Attainment for Unit Tests'!B63</f>
        <v>2201180414</v>
      </c>
      <c r="D64" s="211" t="str">
        <f>'CO_Attainment for Unit Tests'!C63</f>
        <v>JAGTAP SANKET NARAYAN</v>
      </c>
      <c r="E64" s="212">
        <v>8</v>
      </c>
      <c r="F64" s="212">
        <v>22</v>
      </c>
      <c r="G64" s="212">
        <v>23</v>
      </c>
    </row>
    <row r="65" spans="2:7" ht="15.75" customHeight="1">
      <c r="B65" s="209">
        <v>52</v>
      </c>
      <c r="C65" s="210">
        <f>'CO_Attainment for Unit Tests'!B64</f>
        <v>2201180415</v>
      </c>
      <c r="D65" s="211" t="str">
        <f>'CO_Attainment for Unit Tests'!C64</f>
        <v>DHAPPADHULE VAISHNAVI SACHIN</v>
      </c>
      <c r="E65" s="212">
        <v>9</v>
      </c>
      <c r="F65" s="212">
        <v>22</v>
      </c>
      <c r="G65" s="212">
        <v>22</v>
      </c>
    </row>
    <row r="66" spans="2:7" ht="15.75" customHeight="1">
      <c r="B66" s="209">
        <v>53</v>
      </c>
      <c r="C66" s="210">
        <f>'CO_Attainment for Unit Tests'!B65</f>
        <v>2201180416</v>
      </c>
      <c r="D66" s="211" t="str">
        <f>'CO_Attainment for Unit Tests'!C65</f>
        <v>WAGHMARE AMAR BABAN</v>
      </c>
      <c r="E66" s="212">
        <v>5</v>
      </c>
      <c r="F66" s="212">
        <v>21</v>
      </c>
      <c r="G66" s="212">
        <v>21</v>
      </c>
    </row>
    <row r="67" spans="2:7" ht="15.75" customHeight="1">
      <c r="B67" s="209">
        <v>54</v>
      </c>
      <c r="C67" s="210">
        <f>'CO_Attainment for Unit Tests'!B66</f>
        <v>2201180417</v>
      </c>
      <c r="D67" s="211" t="str">
        <f>'CO_Attainment for Unit Tests'!C66</f>
        <v>DHEPE VAISHNAVI REVANNATH</v>
      </c>
      <c r="E67" s="212">
        <v>10</v>
      </c>
      <c r="F67" s="212">
        <v>24</v>
      </c>
      <c r="G67" s="212">
        <v>24</v>
      </c>
    </row>
    <row r="68" spans="2:7" ht="15.75" customHeight="1">
      <c r="B68" s="209">
        <v>55</v>
      </c>
      <c r="C68" s="210">
        <f>'CO_Attainment for Unit Tests'!B67</f>
        <v>2201180418</v>
      </c>
      <c r="D68" s="211" t="str">
        <f>'CO_Attainment for Unit Tests'!C67</f>
        <v>BAGADE GUNMANJIRI PURUSHOTTAM</v>
      </c>
      <c r="E68" s="212">
        <v>10</v>
      </c>
      <c r="F68" s="212">
        <v>23</v>
      </c>
      <c r="G68" s="212">
        <v>23</v>
      </c>
    </row>
    <row r="69" spans="2:7" ht="15.75" customHeight="1">
      <c r="B69" s="209">
        <v>56</v>
      </c>
      <c r="C69" s="210">
        <f>'CO_Attainment for Unit Tests'!B68</f>
        <v>2201180419</v>
      </c>
      <c r="D69" s="211" t="str">
        <f>'CO_Attainment for Unit Tests'!C68</f>
        <v>MULE SNEHA SANJIVAN</v>
      </c>
      <c r="E69" s="212">
        <v>10</v>
      </c>
      <c r="F69" s="212">
        <v>24</v>
      </c>
      <c r="G69" s="212">
        <v>24</v>
      </c>
    </row>
    <row r="70" spans="2:7" ht="15.75" customHeight="1">
      <c r="B70" s="209">
        <v>57</v>
      </c>
      <c r="C70" s="210">
        <f>'CO_Attainment for Unit Tests'!B69</f>
        <v>23510250259</v>
      </c>
      <c r="D70" s="211" t="str">
        <f>'CO_Attainment for Unit Tests'!C69</f>
        <v>BANSODE VINAYAK BABRUWAN</v>
      </c>
      <c r="E70" s="212">
        <v>0</v>
      </c>
      <c r="F70" s="212">
        <v>0</v>
      </c>
      <c r="G70" s="212">
        <v>0</v>
      </c>
    </row>
    <row r="71" spans="2:7" ht="15.75" customHeight="1">
      <c r="B71" s="209">
        <v>58</v>
      </c>
      <c r="C71" s="210">
        <f>'CO_Attainment for Unit Tests'!B70</f>
        <v>23510250260</v>
      </c>
      <c r="D71" s="211" t="str">
        <f>'CO_Attainment for Unit Tests'!C70</f>
        <v>ISHWARI ASHOK HAWALE</v>
      </c>
      <c r="E71" s="212">
        <v>0</v>
      </c>
      <c r="F71" s="212">
        <v>0</v>
      </c>
      <c r="G71" s="212">
        <v>0</v>
      </c>
    </row>
    <row r="72" spans="2:7" ht="15.75" customHeight="1">
      <c r="B72" s="209">
        <v>59</v>
      </c>
      <c r="C72" s="210">
        <f>'CO_Attainment for Unit Tests'!B71</f>
        <v>23510250261</v>
      </c>
      <c r="D72" s="211" t="str">
        <f>'CO_Attainment for Unit Tests'!C71</f>
        <v>JADHAV SANJYOT SHYAM</v>
      </c>
      <c r="E72" s="212">
        <v>8</v>
      </c>
      <c r="F72" s="212">
        <v>22</v>
      </c>
      <c r="G72" s="212">
        <v>23</v>
      </c>
    </row>
    <row r="73" spans="2:7" ht="15.75" customHeight="1">
      <c r="B73" s="209">
        <v>60</v>
      </c>
      <c r="C73" s="210">
        <f>'CO_Attainment for Unit Tests'!B72</f>
        <v>23510250262</v>
      </c>
      <c r="D73" s="211" t="str">
        <f>'CO_Attainment for Unit Tests'!C72</f>
        <v>KANLOD SHUBHAM GANPAT</v>
      </c>
      <c r="E73" s="212">
        <v>8</v>
      </c>
      <c r="F73" s="212">
        <v>15</v>
      </c>
      <c r="G73" s="212">
        <v>22</v>
      </c>
    </row>
    <row r="74" spans="2:7" ht="15.75" customHeight="1">
      <c r="B74" s="209">
        <v>61</v>
      </c>
      <c r="C74" s="210">
        <f>'CO_Attainment for Unit Tests'!B73</f>
        <v>23510250263</v>
      </c>
      <c r="D74" s="211" t="str">
        <f>'CO_Attainment for Unit Tests'!C73</f>
        <v>PHULARI VISHVJEET UMESH</v>
      </c>
      <c r="E74" s="212">
        <v>7</v>
      </c>
      <c r="F74" s="212">
        <v>16</v>
      </c>
      <c r="G74" s="212">
        <v>23</v>
      </c>
    </row>
    <row r="75" spans="2:7" ht="15.75" customHeight="1">
      <c r="B75" s="209">
        <v>62</v>
      </c>
      <c r="C75" s="210">
        <f>'CO_Attainment for Unit Tests'!B74</f>
        <v>23510250264</v>
      </c>
      <c r="D75" s="211" t="str">
        <f>'CO_Attainment for Unit Tests'!C74</f>
        <v>VHOTTE SHRUTIKA VAIJNATH</v>
      </c>
      <c r="E75" s="212">
        <v>0</v>
      </c>
      <c r="F75" s="212">
        <v>0</v>
      </c>
      <c r="G75" s="212">
        <v>0</v>
      </c>
    </row>
    <row r="76" spans="2:7" ht="15.75" customHeight="1">
      <c r="B76" s="209">
        <v>63</v>
      </c>
      <c r="C76" s="209"/>
      <c r="D76" s="213"/>
      <c r="E76" s="212"/>
      <c r="F76" s="212"/>
      <c r="G76" s="212"/>
    </row>
    <row r="77" spans="2:7" ht="15.75" customHeight="1">
      <c r="B77" s="209">
        <v>64</v>
      </c>
      <c r="C77" s="209"/>
      <c r="D77" s="213"/>
      <c r="E77" s="212"/>
      <c r="F77" s="212"/>
      <c r="G77" s="212"/>
    </row>
    <row r="78" spans="2:7" ht="15.75" customHeight="1">
      <c r="B78" s="209">
        <v>65</v>
      </c>
      <c r="C78" s="209"/>
      <c r="D78" s="213"/>
      <c r="E78" s="212"/>
      <c r="F78" s="212"/>
      <c r="G78" s="212"/>
    </row>
    <row r="79" spans="2:7" ht="15.75" customHeight="1">
      <c r="B79" s="209">
        <v>66</v>
      </c>
      <c r="C79" s="209"/>
      <c r="D79" s="213"/>
      <c r="E79" s="212"/>
      <c r="F79" s="212"/>
      <c r="G79" s="212"/>
    </row>
    <row r="80" spans="2:7" ht="15.75" customHeight="1">
      <c r="B80" s="209">
        <v>67</v>
      </c>
      <c r="C80" s="209"/>
      <c r="D80" s="213"/>
      <c r="E80" s="212"/>
      <c r="F80" s="212"/>
      <c r="G80" s="212"/>
    </row>
    <row r="81" spans="2:7" ht="15.75" customHeight="1">
      <c r="B81" s="209">
        <v>68</v>
      </c>
      <c r="C81" s="209"/>
      <c r="D81" s="213"/>
      <c r="E81" s="212"/>
      <c r="F81" s="212"/>
      <c r="G81" s="212"/>
    </row>
    <row r="82" spans="2:7" ht="15.75" customHeight="1">
      <c r="B82" s="209">
        <v>69</v>
      </c>
      <c r="C82" s="209"/>
      <c r="D82" s="213"/>
      <c r="E82" s="212"/>
      <c r="F82" s="212"/>
      <c r="G82" s="212"/>
    </row>
    <row r="83" spans="2:7" ht="15.75" customHeight="1">
      <c r="B83" s="209">
        <v>70</v>
      </c>
      <c r="C83" s="209"/>
      <c r="D83" s="213"/>
      <c r="E83" s="212"/>
      <c r="F83" s="212"/>
      <c r="G83" s="212"/>
    </row>
    <row r="84" spans="2:7" ht="15.75" customHeight="1">
      <c r="B84" s="209">
        <v>71</v>
      </c>
      <c r="C84" s="209"/>
      <c r="D84" s="213"/>
      <c r="E84" s="209"/>
      <c r="F84" s="214"/>
      <c r="G84" s="214"/>
    </row>
    <row r="85" spans="2:7" ht="15.75" customHeight="1">
      <c r="B85" s="209">
        <v>72</v>
      </c>
      <c r="C85" s="209"/>
      <c r="D85" s="213"/>
      <c r="E85" s="209"/>
      <c r="F85" s="214"/>
      <c r="G85" s="214"/>
    </row>
    <row r="86" spans="2:7" ht="15.75" customHeight="1">
      <c r="B86" s="209">
        <v>73</v>
      </c>
      <c r="C86" s="209"/>
      <c r="D86" s="213"/>
      <c r="E86" s="209"/>
      <c r="F86" s="214"/>
      <c r="G86" s="214"/>
    </row>
    <row r="87" spans="2:7" ht="15.75" customHeight="1">
      <c r="B87" s="209">
        <v>74</v>
      </c>
      <c r="C87" s="209"/>
      <c r="D87" s="213"/>
      <c r="E87" s="209"/>
      <c r="F87" s="214"/>
      <c r="G87" s="214"/>
    </row>
    <row r="88" spans="2:7" ht="15.75" customHeight="1">
      <c r="B88" s="209">
        <v>75</v>
      </c>
      <c r="C88" s="209"/>
      <c r="D88" s="213"/>
      <c r="E88" s="209"/>
      <c r="F88" s="214"/>
      <c r="G88" s="214"/>
    </row>
    <row r="89" spans="2:7" ht="15.75" customHeight="1">
      <c r="B89" s="209">
        <v>76</v>
      </c>
      <c r="C89" s="209"/>
      <c r="D89" s="213"/>
      <c r="E89" s="209"/>
      <c r="F89" s="214"/>
      <c r="G89" s="214"/>
    </row>
    <row r="90" spans="2:7" ht="15.75" customHeight="1">
      <c r="B90" s="209">
        <v>77</v>
      </c>
      <c r="C90" s="209"/>
      <c r="D90" s="213"/>
      <c r="E90" s="209"/>
      <c r="F90" s="214"/>
      <c r="G90" s="214"/>
    </row>
    <row r="91" spans="2:7" ht="15.75" customHeight="1">
      <c r="B91" s="209">
        <v>78</v>
      </c>
      <c r="C91" s="209"/>
      <c r="D91" s="213"/>
      <c r="E91" s="209"/>
      <c r="F91" s="214"/>
      <c r="G91" s="214"/>
    </row>
    <row r="92" spans="2:7" ht="15.75" customHeight="1">
      <c r="B92" s="209">
        <v>79</v>
      </c>
      <c r="C92" s="209"/>
      <c r="D92" s="213"/>
      <c r="E92" s="209"/>
      <c r="F92" s="214"/>
      <c r="G92" s="214"/>
    </row>
    <row r="93" spans="2:7" ht="15.75" customHeight="1">
      <c r="B93" s="209">
        <v>80</v>
      </c>
      <c r="C93" s="209"/>
      <c r="D93" s="213"/>
      <c r="E93" s="209"/>
      <c r="F93" s="214"/>
      <c r="G93" s="214"/>
    </row>
    <row r="94" spans="2:7" ht="15.75" customHeight="1">
      <c r="B94" s="209">
        <v>81</v>
      </c>
      <c r="C94" s="209"/>
      <c r="D94" s="213"/>
      <c r="E94" s="209"/>
      <c r="F94" s="214"/>
      <c r="G94" s="214"/>
    </row>
    <row r="95" spans="2:7" ht="15.75" customHeight="1">
      <c r="B95" s="209">
        <v>82</v>
      </c>
      <c r="C95" s="209"/>
      <c r="D95" s="213"/>
      <c r="E95" s="209"/>
      <c r="F95" s="214"/>
      <c r="G95" s="214"/>
    </row>
    <row r="96" spans="2:7" ht="15.75" customHeight="1">
      <c r="B96" s="209">
        <v>83</v>
      </c>
      <c r="C96" s="209"/>
      <c r="D96" s="213"/>
      <c r="E96" s="209"/>
      <c r="F96" s="214"/>
      <c r="G96" s="214"/>
    </row>
    <row r="97" spans="1:8" ht="30.75" customHeight="1">
      <c r="B97" s="4"/>
      <c r="C97" s="4"/>
      <c r="D97" s="87" t="s">
        <v>156</v>
      </c>
      <c r="E97" s="305">
        <f>ROUNDUP(D98*E13/100,1)</f>
        <v>6</v>
      </c>
      <c r="F97" s="305">
        <f>ROUNDUP(D98*F13/100,1)</f>
        <v>15</v>
      </c>
      <c r="G97" s="305">
        <f>ROUNDUP(D98*G13/100,1)</f>
        <v>15</v>
      </c>
    </row>
    <row r="98" spans="1:8" ht="15.75" customHeight="1">
      <c r="D98" s="88">
        <v>60</v>
      </c>
      <c r="E98" s="239"/>
      <c r="F98" s="239"/>
      <c r="G98" s="239"/>
    </row>
    <row r="99" spans="1:8" ht="15.75" customHeight="1">
      <c r="D99" s="69" t="s">
        <v>129</v>
      </c>
      <c r="E99" s="70">
        <f t="shared" ref="E99:G99" si="0">COUNTIF(E14:E96,"&gt;=" &amp;E97)</f>
        <v>55</v>
      </c>
      <c r="F99" s="70">
        <f t="shared" si="0"/>
        <v>58</v>
      </c>
      <c r="G99" s="70">
        <f t="shared" si="0"/>
        <v>59</v>
      </c>
    </row>
    <row r="100" spans="1:8" ht="15.75" customHeight="1"/>
    <row r="101" spans="1:8" ht="15.75" customHeight="1"/>
    <row r="102" spans="1:8" ht="15.75" customHeight="1"/>
    <row r="103" spans="1:8" ht="46.5" customHeight="1">
      <c r="A103" s="75"/>
      <c r="B103" s="266" t="s">
        <v>157</v>
      </c>
      <c r="C103" s="223"/>
      <c r="D103" s="224"/>
      <c r="E103" s="89" t="s">
        <v>131</v>
      </c>
      <c r="F103" s="50"/>
      <c r="G103" s="74" t="s">
        <v>132</v>
      </c>
      <c r="H103" s="75"/>
    </row>
    <row r="104" spans="1:8" ht="15.75" customHeight="1">
      <c r="A104" s="75"/>
      <c r="B104" s="269" t="s">
        <v>133</v>
      </c>
      <c r="C104" s="76">
        <v>0.5</v>
      </c>
      <c r="D104" s="77" t="s">
        <v>146</v>
      </c>
      <c r="E104" s="291">
        <f>COUNTA(D14:D96)-COUNTIFS(D14:D96,0)</f>
        <v>62</v>
      </c>
      <c r="F104" s="90">
        <f>C104*$E104</f>
        <v>31</v>
      </c>
      <c r="G104" s="78">
        <v>1</v>
      </c>
      <c r="H104" s="75"/>
    </row>
    <row r="105" spans="1:8" ht="15.75" customHeight="1">
      <c r="A105" s="75"/>
      <c r="B105" s="270"/>
      <c r="C105" s="79">
        <v>0.6</v>
      </c>
      <c r="D105" s="80" t="s">
        <v>146</v>
      </c>
      <c r="E105" s="238"/>
      <c r="F105" s="91">
        <f>C105*$E104</f>
        <v>37.199999999999996</v>
      </c>
      <c r="G105" s="81">
        <v>2</v>
      </c>
      <c r="H105" s="75"/>
    </row>
    <row r="106" spans="1:8" ht="15.75" customHeight="1">
      <c r="A106" s="75"/>
      <c r="B106" s="271"/>
      <c r="C106" s="82">
        <v>0.7</v>
      </c>
      <c r="D106" s="83" t="s">
        <v>146</v>
      </c>
      <c r="E106" s="239"/>
      <c r="F106" s="92">
        <f>C106*$E104</f>
        <v>43.4</v>
      </c>
      <c r="G106" s="84">
        <v>3</v>
      </c>
      <c r="H106" s="75"/>
    </row>
    <row r="107" spans="1:8" ht="15.75" customHeight="1">
      <c r="A107" s="75"/>
      <c r="B107" s="75"/>
      <c r="C107" s="75"/>
      <c r="D107" s="75"/>
      <c r="E107" s="75"/>
      <c r="F107" s="75"/>
      <c r="G107" s="75"/>
      <c r="H107" s="75"/>
    </row>
    <row r="108" spans="1:8" ht="15.75" customHeight="1">
      <c r="A108" s="75"/>
      <c r="B108" s="75"/>
      <c r="C108" s="75"/>
      <c r="D108" s="75"/>
      <c r="E108" s="75"/>
      <c r="F108" s="75"/>
      <c r="G108" s="75"/>
      <c r="H108" s="75"/>
    </row>
    <row r="109" spans="1:8" ht="33" customHeight="1">
      <c r="A109" s="222" t="s">
        <v>158</v>
      </c>
      <c r="B109" s="306"/>
      <c r="C109" s="93" t="s">
        <v>9</v>
      </c>
      <c r="D109" s="93" t="s">
        <v>11</v>
      </c>
      <c r="E109" s="93" t="s">
        <v>13</v>
      </c>
      <c r="F109" s="93" t="s">
        <v>15</v>
      </c>
      <c r="G109" s="93" t="s">
        <v>136</v>
      </c>
      <c r="H109" s="94" t="s">
        <v>137</v>
      </c>
    </row>
    <row r="110" spans="1:8" ht="36.75" customHeight="1">
      <c r="A110" s="307" t="s">
        <v>159</v>
      </c>
      <c r="B110" s="296"/>
      <c r="C110" s="95">
        <f>IF(E99&gt;=$F106,3,IF(E99&gt;=$F105,2,IF(E99&gt;=$F104,1,0)))</f>
        <v>3</v>
      </c>
      <c r="D110" s="95">
        <f t="shared" ref="D110:H110" si="1">$C110</f>
        <v>3</v>
      </c>
      <c r="E110" s="95">
        <f t="shared" si="1"/>
        <v>3</v>
      </c>
      <c r="F110" s="95">
        <f t="shared" si="1"/>
        <v>3</v>
      </c>
      <c r="G110" s="95">
        <f t="shared" si="1"/>
        <v>3</v>
      </c>
      <c r="H110" s="96">
        <f t="shared" si="1"/>
        <v>3</v>
      </c>
    </row>
    <row r="111" spans="1:8" ht="37.5" customHeight="1">
      <c r="A111" s="308" t="s">
        <v>160</v>
      </c>
      <c r="B111" s="251"/>
      <c r="C111" s="97">
        <f>IF(F99&gt;=$F106,3,IF(F99&gt;=$F105,2,IF(F99&gt;=$F104,1,0)))</f>
        <v>3</v>
      </c>
      <c r="D111" s="97">
        <f t="shared" ref="D111:H111" si="2">$C111</f>
        <v>3</v>
      </c>
      <c r="E111" s="97">
        <f t="shared" si="2"/>
        <v>3</v>
      </c>
      <c r="F111" s="97">
        <f t="shared" si="2"/>
        <v>3</v>
      </c>
      <c r="G111" s="97">
        <f t="shared" si="2"/>
        <v>3</v>
      </c>
      <c r="H111" s="98">
        <f t="shared" si="2"/>
        <v>3</v>
      </c>
    </row>
    <row r="112" spans="1:8" ht="31.5" customHeight="1">
      <c r="A112" s="299" t="s">
        <v>161</v>
      </c>
      <c r="B112" s="285"/>
      <c r="C112" s="61">
        <f>IF(G99&gt;=$F106,3,IF(G99&gt;=$F105,2,IF(G99&gt;=$F104,1,0)))</f>
        <v>3</v>
      </c>
      <c r="D112" s="61">
        <f t="shared" ref="D112:H112" si="3">$C112</f>
        <v>3</v>
      </c>
      <c r="E112" s="61">
        <f t="shared" si="3"/>
        <v>3</v>
      </c>
      <c r="F112" s="61">
        <f t="shared" si="3"/>
        <v>3</v>
      </c>
      <c r="G112" s="61">
        <f t="shared" si="3"/>
        <v>3</v>
      </c>
      <c r="H112" s="99">
        <f t="shared" si="3"/>
        <v>3</v>
      </c>
    </row>
    <row r="113" spans="2:7" ht="15.75" customHeight="1">
      <c r="B113" s="4"/>
    </row>
    <row r="114" spans="2:7" ht="15.75" customHeight="1">
      <c r="C114" s="4"/>
    </row>
    <row r="115" spans="2:7" ht="15.75" customHeight="1">
      <c r="C115" s="4"/>
    </row>
    <row r="116" spans="2:7" ht="15.75" customHeight="1"/>
    <row r="117" spans="2:7" ht="15.75" customHeight="1"/>
    <row r="118" spans="2:7" ht="15.75" customHeight="1"/>
    <row r="119" spans="2:7" ht="15.75" customHeight="1">
      <c r="G119" s="15"/>
    </row>
    <row r="120" spans="2:7" ht="15.75" customHeight="1">
      <c r="G120" s="15"/>
    </row>
    <row r="121" spans="2:7" ht="15.75" customHeight="1"/>
    <row r="122" spans="2:7" ht="15.75" customHeight="1"/>
    <row r="123" spans="2:7" ht="15.75" customHeight="1"/>
    <row r="124" spans="2:7" ht="15.75" customHeight="1"/>
    <row r="125" spans="2:7" ht="15.75" customHeight="1"/>
    <row r="126" spans="2:7" ht="15.75" customHeight="1"/>
    <row r="127" spans="2:7" ht="15.75" customHeight="1"/>
    <row r="128" spans="2: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D4:E4"/>
    <mergeCell ref="D5:E5"/>
    <mergeCell ref="D6:E6"/>
    <mergeCell ref="D7:E7"/>
    <mergeCell ref="B9:B13"/>
    <mergeCell ref="C9:C13"/>
    <mergeCell ref="D9:D13"/>
    <mergeCell ref="A112:B112"/>
    <mergeCell ref="E9:E12"/>
    <mergeCell ref="F9:F12"/>
    <mergeCell ref="G9:G12"/>
    <mergeCell ref="F97:F98"/>
    <mergeCell ref="G97:G98"/>
    <mergeCell ref="B103:D103"/>
    <mergeCell ref="B104:B106"/>
    <mergeCell ref="E97:E98"/>
    <mergeCell ref="E104:E106"/>
    <mergeCell ref="A109:B109"/>
    <mergeCell ref="A110:B110"/>
    <mergeCell ref="A111:B111"/>
  </mergeCells>
  <pageMargins left="0.7" right="0.7" top="0.75" bottom="0.75" header="0" footer="0"/>
  <pageSetup scale="28"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G1000"/>
  <sheetViews>
    <sheetView workbookViewId="0"/>
  </sheetViews>
  <sheetFormatPr defaultColWidth="14.42578125" defaultRowHeight="15" customHeight="1"/>
  <cols>
    <col min="1" max="2" width="8.7109375" customWidth="1"/>
    <col min="3" max="3" width="13.85546875" customWidth="1"/>
    <col min="4" max="4" width="43.85546875" customWidth="1"/>
    <col min="5" max="5" width="19.140625" customWidth="1"/>
    <col min="6" max="7" width="8.7109375" customWidth="1"/>
  </cols>
  <sheetData>
    <row r="1" spans="2:6" ht="20.25">
      <c r="C1" s="86" t="s">
        <v>162</v>
      </c>
      <c r="E1" s="86"/>
      <c r="F1" s="33"/>
    </row>
    <row r="2" spans="2:6">
      <c r="B2" s="33"/>
      <c r="C2" s="33"/>
      <c r="E2" s="33"/>
    </row>
    <row r="3" spans="2:6" ht="20.25">
      <c r="B3" s="33"/>
      <c r="C3" s="33"/>
      <c r="D3" s="62"/>
      <c r="E3" s="33"/>
    </row>
    <row r="4" spans="2:6">
      <c r="B4" s="33"/>
      <c r="C4" s="34" t="s">
        <v>1</v>
      </c>
      <c r="D4" s="100" t="str">
        <f>'CO_attain_SLA_FA-PR_SA-PR'!D4</f>
        <v>Data Structures Using _C</v>
      </c>
      <c r="E4" s="33"/>
      <c r="F4" s="33"/>
    </row>
    <row r="5" spans="2:6">
      <c r="B5" s="33"/>
      <c r="C5" s="34" t="s">
        <v>3</v>
      </c>
      <c r="D5" s="100">
        <f>'CO_attain_SLA_FA-PR_SA-PR'!D5</f>
        <v>22317</v>
      </c>
      <c r="E5" s="33"/>
      <c r="F5" s="33"/>
    </row>
    <row r="6" spans="2:6">
      <c r="B6" s="33"/>
      <c r="C6" s="34" t="s">
        <v>54</v>
      </c>
      <c r="D6" s="100" t="str">
        <f>'CO_attain_SLA_FA-PR_SA-PR'!D6</f>
        <v>3rd SEM(CO3I SCHEME)</v>
      </c>
      <c r="E6" s="33"/>
      <c r="F6" s="33"/>
    </row>
    <row r="7" spans="2:6">
      <c r="B7" s="33"/>
      <c r="C7" s="34" t="s">
        <v>152</v>
      </c>
      <c r="D7" s="100" t="str">
        <f>'CO_attain_SLA_FA-PR_SA-PR'!D7</f>
        <v>2023-24</v>
      </c>
      <c r="E7" s="33"/>
      <c r="F7" s="33"/>
    </row>
    <row r="8" spans="2:6">
      <c r="B8" s="33"/>
      <c r="C8" s="34"/>
      <c r="D8" s="101"/>
      <c r="E8" s="33"/>
      <c r="F8" s="33"/>
    </row>
    <row r="9" spans="2:6" ht="15.75">
      <c r="B9" s="48" t="s">
        <v>163</v>
      </c>
    </row>
    <row r="10" spans="2:6" ht="15.75" customHeight="1">
      <c r="B10" s="322" t="s">
        <v>21</v>
      </c>
      <c r="C10" s="310" t="s">
        <v>164</v>
      </c>
      <c r="D10" s="323" t="s">
        <v>57</v>
      </c>
      <c r="E10" s="310" t="s">
        <v>165</v>
      </c>
    </row>
    <row r="11" spans="2:6">
      <c r="B11" s="238"/>
      <c r="C11" s="238"/>
      <c r="D11" s="238"/>
      <c r="E11" s="238"/>
    </row>
    <row r="12" spans="2:6">
      <c r="B12" s="238"/>
      <c r="C12" s="238"/>
      <c r="D12" s="238"/>
      <c r="E12" s="238"/>
    </row>
    <row r="13" spans="2:6">
      <c r="B13" s="238"/>
      <c r="C13" s="238"/>
      <c r="D13" s="238"/>
      <c r="E13" s="311"/>
    </row>
    <row r="14" spans="2:6">
      <c r="B14" s="239"/>
      <c r="C14" s="239"/>
      <c r="D14" s="239"/>
      <c r="E14" s="102">
        <v>5</v>
      </c>
    </row>
    <row r="15" spans="2:6">
      <c r="B15" s="103">
        <v>1</v>
      </c>
      <c r="C15" s="103">
        <f>'CO_attainment for FA-TH ESE'!C14</f>
        <v>2201180002</v>
      </c>
      <c r="D15" s="103" t="str">
        <f>'CO_attainment for FA-TH ESE'!D14</f>
        <v>GARAD ANJALI NITIN</v>
      </c>
      <c r="E15" s="103">
        <v>0</v>
      </c>
    </row>
    <row r="16" spans="2:6" hidden="1">
      <c r="B16" s="104"/>
      <c r="C16" s="104" t="e">
        <f>'CO_attainment for FA-TH ESE'!#REF!</f>
        <v>#REF!</v>
      </c>
      <c r="D16" s="104" t="e">
        <f>'CO_attainment for FA-TH ESE'!#REF!</f>
        <v>#REF!</v>
      </c>
      <c r="E16" s="105"/>
    </row>
    <row r="17" spans="2:5">
      <c r="B17" s="104">
        <v>2</v>
      </c>
      <c r="C17" s="104" t="e">
        <f>'CO_attainment for FA-TH ESE'!#REF!</f>
        <v>#REF!</v>
      </c>
      <c r="D17" s="104" t="e">
        <f>'CO_attainment for FA-TH ESE'!#REF!</f>
        <v>#REF!</v>
      </c>
      <c r="E17" s="104"/>
    </row>
    <row r="18" spans="2:5" hidden="1">
      <c r="B18" s="104"/>
      <c r="C18" s="104" t="e">
        <f>'CO_attainment for FA-TH ESE'!#REF!</f>
        <v>#REF!</v>
      </c>
      <c r="D18" s="104" t="e">
        <f>'CO_attainment for FA-TH ESE'!#REF!</f>
        <v>#REF!</v>
      </c>
      <c r="E18" s="104"/>
    </row>
    <row r="19" spans="2:5">
      <c r="B19" s="104">
        <v>3</v>
      </c>
      <c r="C19" s="104" t="e">
        <f>'CO_attainment for FA-TH ESE'!#REF!</f>
        <v>#REF!</v>
      </c>
      <c r="D19" s="104" t="e">
        <f>'CO_attainment for FA-TH ESE'!#REF!</f>
        <v>#REF!</v>
      </c>
      <c r="E19" s="104"/>
    </row>
    <row r="20" spans="2:5" hidden="1">
      <c r="B20" s="104"/>
      <c r="C20" s="104" t="e">
        <f>'CO_attainment for FA-TH ESE'!#REF!</f>
        <v>#REF!</v>
      </c>
      <c r="D20" s="104" t="e">
        <f>'CO_attainment for FA-TH ESE'!#REF!</f>
        <v>#REF!</v>
      </c>
      <c r="E20" s="105"/>
    </row>
    <row r="21" spans="2:5" ht="15.75" hidden="1" customHeight="1">
      <c r="B21" s="104"/>
      <c r="C21" s="104" t="e">
        <f>'CO_attainment for FA-TH ESE'!#REF!</f>
        <v>#REF!</v>
      </c>
      <c r="D21" s="104" t="e">
        <f>'CO_attainment for FA-TH ESE'!#REF!</f>
        <v>#REF!</v>
      </c>
      <c r="E21" s="105"/>
    </row>
    <row r="22" spans="2:5" ht="15.75" customHeight="1">
      <c r="B22" s="104">
        <v>4</v>
      </c>
      <c r="C22" s="104" t="e">
        <f>'CO_attainment for FA-TH ESE'!#REF!</f>
        <v>#REF!</v>
      </c>
      <c r="D22" s="104" t="e">
        <f>'CO_attainment for FA-TH ESE'!#REF!</f>
        <v>#REF!</v>
      </c>
      <c r="E22" s="104"/>
    </row>
    <row r="23" spans="2:5" ht="15.75" hidden="1" customHeight="1">
      <c r="B23" s="104"/>
      <c r="C23" s="104" t="e">
        <f>'CO_attainment for FA-TH ESE'!#REF!</f>
        <v>#REF!</v>
      </c>
      <c r="D23" s="104" t="e">
        <f>'CO_attainment for FA-TH ESE'!#REF!</f>
        <v>#REF!</v>
      </c>
      <c r="E23" s="105"/>
    </row>
    <row r="24" spans="2:5" ht="15.75" hidden="1" customHeight="1">
      <c r="B24" s="104"/>
      <c r="C24" s="104" t="e">
        <f>'CO_attainment for FA-TH ESE'!#REF!</f>
        <v>#REF!</v>
      </c>
      <c r="D24" s="104" t="e">
        <f>'CO_attainment for FA-TH ESE'!#REF!</f>
        <v>#REF!</v>
      </c>
      <c r="E24" s="105"/>
    </row>
    <row r="25" spans="2:5" ht="15.75" hidden="1" customHeight="1">
      <c r="B25" s="104"/>
      <c r="C25" s="104" t="e">
        <f>'CO_attainment for FA-TH ESE'!#REF!</f>
        <v>#REF!</v>
      </c>
      <c r="D25" s="104" t="e">
        <f>'CO_attainment for FA-TH ESE'!#REF!</f>
        <v>#REF!</v>
      </c>
      <c r="E25" s="104"/>
    </row>
    <row r="26" spans="2:5" ht="15.75" hidden="1" customHeight="1">
      <c r="B26" s="104"/>
      <c r="C26" s="104" t="e">
        <f>'CO_attainment for FA-TH ESE'!#REF!</f>
        <v>#REF!</v>
      </c>
      <c r="D26" s="104" t="e">
        <f>'CO_attainment for FA-TH ESE'!#REF!</f>
        <v>#REF!</v>
      </c>
      <c r="E26" s="104"/>
    </row>
    <row r="27" spans="2:5" ht="15.75" hidden="1" customHeight="1">
      <c r="B27" s="104"/>
      <c r="C27" s="104" t="e">
        <f>'CO_attainment for FA-TH ESE'!#REF!</f>
        <v>#REF!</v>
      </c>
      <c r="D27" s="104" t="e">
        <f>'CO_attainment for FA-TH ESE'!#REF!</f>
        <v>#REF!</v>
      </c>
      <c r="E27" s="104"/>
    </row>
    <row r="28" spans="2:5" ht="15.75" hidden="1" customHeight="1">
      <c r="B28" s="104"/>
      <c r="C28" s="104" t="e">
        <f>'CO_attainment for FA-TH ESE'!#REF!</f>
        <v>#REF!</v>
      </c>
      <c r="D28" s="104" t="e">
        <f>'CO_attainment for FA-TH ESE'!#REF!</f>
        <v>#REF!</v>
      </c>
      <c r="E28" s="104"/>
    </row>
    <row r="29" spans="2:5" ht="15.75" hidden="1" customHeight="1">
      <c r="B29" s="104"/>
      <c r="C29" s="104" t="e">
        <f>'CO_attainment for FA-TH ESE'!#REF!</f>
        <v>#REF!</v>
      </c>
      <c r="D29" s="104" t="e">
        <f>'CO_attainment for FA-TH ESE'!#REF!</f>
        <v>#REF!</v>
      </c>
      <c r="E29" s="104"/>
    </row>
    <row r="30" spans="2:5" ht="15.75" hidden="1" customHeight="1">
      <c r="B30" s="104"/>
      <c r="C30" s="104" t="e">
        <f>'CO_attainment for FA-TH ESE'!#REF!</f>
        <v>#REF!</v>
      </c>
      <c r="D30" s="104" t="e">
        <f>'CO_attainment for FA-TH ESE'!#REF!</f>
        <v>#REF!</v>
      </c>
      <c r="E30" s="104"/>
    </row>
    <row r="31" spans="2:5" ht="15.75" customHeight="1">
      <c r="B31" s="104">
        <v>5</v>
      </c>
      <c r="C31" s="104" t="e">
        <f>'CO_attainment for FA-TH ESE'!#REF!</f>
        <v>#REF!</v>
      </c>
      <c r="D31" s="104" t="e">
        <f>'CO_attainment for FA-TH ESE'!#REF!</f>
        <v>#REF!</v>
      </c>
      <c r="E31" s="104"/>
    </row>
    <row r="32" spans="2:5" ht="15.75" hidden="1" customHeight="1">
      <c r="B32" s="104"/>
      <c r="C32" s="104" t="e">
        <f>'CO_attainment for FA-TH ESE'!#REF!</f>
        <v>#REF!</v>
      </c>
      <c r="D32" s="104" t="e">
        <f>'CO_attainment for FA-TH ESE'!#REF!</f>
        <v>#REF!</v>
      </c>
      <c r="E32" s="104"/>
    </row>
    <row r="33" spans="2:5" ht="15.75" hidden="1" customHeight="1">
      <c r="B33" s="104"/>
      <c r="C33" s="104" t="e">
        <f>'CO_attainment for FA-TH ESE'!#REF!</f>
        <v>#REF!</v>
      </c>
      <c r="D33" s="104" t="e">
        <f>'CO_attainment for FA-TH ESE'!#REF!</f>
        <v>#REF!</v>
      </c>
      <c r="E33" s="104"/>
    </row>
    <row r="34" spans="2:5" ht="15.75" hidden="1" customHeight="1">
      <c r="B34" s="104"/>
      <c r="C34" s="104" t="e">
        <f>'CO_attainment for FA-TH ESE'!#REF!</f>
        <v>#REF!</v>
      </c>
      <c r="D34" s="104" t="e">
        <f>'CO_attainment for FA-TH ESE'!#REF!</f>
        <v>#REF!</v>
      </c>
      <c r="E34" s="104"/>
    </row>
    <row r="35" spans="2:5" ht="15.75" hidden="1" customHeight="1">
      <c r="B35" s="104"/>
      <c r="C35" s="104" t="e">
        <f>'CO_attainment for FA-TH ESE'!#REF!</f>
        <v>#REF!</v>
      </c>
      <c r="D35" s="104" t="e">
        <f>'CO_attainment for FA-TH ESE'!#REF!</f>
        <v>#REF!</v>
      </c>
      <c r="E35" s="104"/>
    </row>
    <row r="36" spans="2:5" ht="15.75" hidden="1" customHeight="1">
      <c r="B36" s="104"/>
      <c r="C36" s="104" t="e">
        <f>'CO_attainment for FA-TH ESE'!#REF!</f>
        <v>#REF!</v>
      </c>
      <c r="D36" s="104" t="e">
        <f>'CO_attainment for FA-TH ESE'!#REF!</f>
        <v>#REF!</v>
      </c>
      <c r="E36" s="104"/>
    </row>
    <row r="37" spans="2:5" ht="15.75" hidden="1" customHeight="1">
      <c r="B37" s="104"/>
      <c r="C37" s="104" t="e">
        <f>'CO_attainment for FA-TH ESE'!#REF!</f>
        <v>#REF!</v>
      </c>
      <c r="D37" s="104" t="e">
        <f>'CO_attainment for FA-TH ESE'!#REF!</f>
        <v>#REF!</v>
      </c>
      <c r="E37" s="104"/>
    </row>
    <row r="38" spans="2:5" ht="15.75" customHeight="1">
      <c r="B38" s="104">
        <v>6</v>
      </c>
      <c r="C38" s="104" t="e">
        <f>'CO_attainment for FA-TH ESE'!#REF!</f>
        <v>#REF!</v>
      </c>
      <c r="D38" s="104" t="e">
        <f>'CO_attainment for FA-TH ESE'!#REF!</f>
        <v>#REF!</v>
      </c>
      <c r="E38" s="104"/>
    </row>
    <row r="39" spans="2:5" ht="15.75" hidden="1" customHeight="1">
      <c r="B39" s="104"/>
      <c r="C39" s="104" t="e">
        <f>'CO_attainment for FA-TH ESE'!#REF!</f>
        <v>#REF!</v>
      </c>
      <c r="D39" s="104" t="e">
        <f>'CO_attainment for FA-TH ESE'!#REF!</f>
        <v>#REF!</v>
      </c>
      <c r="E39" s="104"/>
    </row>
    <row r="40" spans="2:5" ht="15.75" hidden="1" customHeight="1">
      <c r="B40" s="104"/>
      <c r="C40" s="104" t="e">
        <f>'CO_attainment for FA-TH ESE'!#REF!</f>
        <v>#REF!</v>
      </c>
      <c r="D40" s="104" t="e">
        <f>'CO_attainment for FA-TH ESE'!#REF!</f>
        <v>#REF!</v>
      </c>
      <c r="E40" s="104"/>
    </row>
    <row r="41" spans="2:5" ht="15.75" hidden="1" customHeight="1">
      <c r="B41" s="104"/>
      <c r="C41" s="104" t="e">
        <f>'CO_attainment for FA-TH ESE'!#REF!</f>
        <v>#REF!</v>
      </c>
      <c r="D41" s="104" t="e">
        <f>'CO_attainment for FA-TH ESE'!#REF!</f>
        <v>#REF!</v>
      </c>
      <c r="E41" s="104"/>
    </row>
    <row r="42" spans="2:5" ht="15.75" hidden="1" customHeight="1">
      <c r="B42" s="104"/>
      <c r="C42" s="104" t="e">
        <f>'CO_attainment for FA-TH ESE'!#REF!</f>
        <v>#REF!</v>
      </c>
      <c r="D42" s="104" t="e">
        <f>'CO_attainment for FA-TH ESE'!#REF!</f>
        <v>#REF!</v>
      </c>
      <c r="E42" s="104"/>
    </row>
    <row r="43" spans="2:5" ht="15.75" hidden="1" customHeight="1">
      <c r="B43" s="104"/>
      <c r="C43" s="104" t="e">
        <f>'CO_attainment for FA-TH ESE'!#REF!</f>
        <v>#REF!</v>
      </c>
      <c r="D43" s="104" t="e">
        <f>'CO_attainment for FA-TH ESE'!#REF!</f>
        <v>#REF!</v>
      </c>
      <c r="E43" s="104"/>
    </row>
    <row r="44" spans="2:5" ht="15.75" hidden="1" customHeight="1">
      <c r="B44" s="104"/>
      <c r="C44" s="104" t="e">
        <f>'CO_attainment for FA-TH ESE'!#REF!</f>
        <v>#REF!</v>
      </c>
      <c r="D44" s="104" t="e">
        <f>'CO_attainment for FA-TH ESE'!#REF!</f>
        <v>#REF!</v>
      </c>
      <c r="E44" s="104"/>
    </row>
    <row r="45" spans="2:5" ht="15.75" hidden="1" customHeight="1">
      <c r="B45" s="104"/>
      <c r="C45" s="104" t="e">
        <f>'CO_attainment for FA-TH ESE'!#REF!</f>
        <v>#REF!</v>
      </c>
      <c r="D45" s="104" t="e">
        <f>'CO_attainment for FA-TH ESE'!#REF!</f>
        <v>#REF!</v>
      </c>
      <c r="E45" s="104"/>
    </row>
    <row r="46" spans="2:5" ht="15.75" hidden="1" customHeight="1">
      <c r="B46" s="104"/>
      <c r="C46" s="104" t="e">
        <f>'CO_attainment for FA-TH ESE'!#REF!</f>
        <v>#REF!</v>
      </c>
      <c r="D46" s="104" t="e">
        <f>'CO_attainment for FA-TH ESE'!#REF!</f>
        <v>#REF!</v>
      </c>
      <c r="E46" s="104"/>
    </row>
    <row r="47" spans="2:5" ht="15.75" hidden="1" customHeight="1">
      <c r="B47" s="104"/>
      <c r="C47" s="104" t="e">
        <f>'CO_attainment for FA-TH ESE'!#REF!</f>
        <v>#REF!</v>
      </c>
      <c r="D47" s="104" t="e">
        <f>'CO_attainment for FA-TH ESE'!#REF!</f>
        <v>#REF!</v>
      </c>
      <c r="E47" s="104"/>
    </row>
    <row r="48" spans="2:5" ht="15.75" hidden="1" customHeight="1">
      <c r="B48" s="104"/>
      <c r="C48" s="104" t="e">
        <f>'CO_attainment for FA-TH ESE'!#REF!</f>
        <v>#REF!</v>
      </c>
      <c r="D48" s="104" t="e">
        <f>'CO_attainment for FA-TH ESE'!#REF!</f>
        <v>#REF!</v>
      </c>
      <c r="E48" s="104"/>
    </row>
    <row r="49" spans="2:5" ht="15.75" hidden="1" customHeight="1">
      <c r="B49" s="104"/>
      <c r="C49" s="104" t="e">
        <f>'CO_attainment for FA-TH ESE'!#REF!</f>
        <v>#REF!</v>
      </c>
      <c r="D49" s="104" t="e">
        <f>'CO_attainment for FA-TH ESE'!#REF!</f>
        <v>#REF!</v>
      </c>
      <c r="E49" s="104"/>
    </row>
    <row r="50" spans="2:5" ht="15.75" hidden="1" customHeight="1">
      <c r="B50" s="104"/>
      <c r="C50" s="104" t="e">
        <f>'CO_attainment for FA-TH ESE'!#REF!</f>
        <v>#REF!</v>
      </c>
      <c r="D50" s="104" t="e">
        <f>'CO_attainment for FA-TH ESE'!#REF!</f>
        <v>#REF!</v>
      </c>
      <c r="E50" s="104"/>
    </row>
    <row r="51" spans="2:5" ht="15.75" hidden="1" customHeight="1">
      <c r="B51" s="104"/>
      <c r="C51" s="104" t="e">
        <f>'CO_attainment for FA-TH ESE'!#REF!</f>
        <v>#REF!</v>
      </c>
      <c r="D51" s="104" t="e">
        <f>'CO_attainment for FA-TH ESE'!#REF!</f>
        <v>#REF!</v>
      </c>
      <c r="E51" s="104"/>
    </row>
    <row r="52" spans="2:5" ht="15.75" hidden="1" customHeight="1">
      <c r="B52" s="104"/>
      <c r="C52" s="104" t="e">
        <f>'CO_attainment for FA-TH ESE'!#REF!</f>
        <v>#REF!</v>
      </c>
      <c r="D52" s="104" t="e">
        <f>'CO_attainment for FA-TH ESE'!#REF!</f>
        <v>#REF!</v>
      </c>
      <c r="E52" s="104"/>
    </row>
    <row r="53" spans="2:5" ht="15.75" hidden="1" customHeight="1">
      <c r="B53" s="104"/>
      <c r="C53" s="104" t="e">
        <f>'CO_attainment for FA-TH ESE'!#REF!</f>
        <v>#REF!</v>
      </c>
      <c r="D53" s="104" t="e">
        <f>'CO_attainment for FA-TH ESE'!#REF!</f>
        <v>#REF!</v>
      </c>
      <c r="E53" s="104"/>
    </row>
    <row r="54" spans="2:5" ht="15.75" hidden="1" customHeight="1">
      <c r="B54" s="104"/>
      <c r="C54" s="104" t="e">
        <f>'CO_attainment for FA-TH ESE'!#REF!</f>
        <v>#REF!</v>
      </c>
      <c r="D54" s="104" t="e">
        <f>'CO_attainment for FA-TH ESE'!#REF!</f>
        <v>#REF!</v>
      </c>
      <c r="E54" s="104"/>
    </row>
    <row r="55" spans="2:5" ht="15.75" hidden="1" customHeight="1">
      <c r="B55" s="104"/>
      <c r="C55" s="104" t="e">
        <f>'CO_attainment for FA-TH ESE'!#REF!</f>
        <v>#REF!</v>
      </c>
      <c r="D55" s="104" t="e">
        <f>'CO_attainment for FA-TH ESE'!#REF!</f>
        <v>#REF!</v>
      </c>
      <c r="E55" s="104"/>
    </row>
    <row r="56" spans="2:5" ht="15.75" hidden="1" customHeight="1">
      <c r="B56" s="104"/>
      <c r="C56" s="104" t="e">
        <f>'CO_attainment for FA-TH ESE'!#REF!</f>
        <v>#REF!</v>
      </c>
      <c r="D56" s="104" t="e">
        <f>'CO_attainment for FA-TH ESE'!#REF!</f>
        <v>#REF!</v>
      </c>
      <c r="E56" s="104"/>
    </row>
    <row r="57" spans="2:5" ht="15.75" hidden="1" customHeight="1">
      <c r="B57" s="104"/>
      <c r="C57" s="104" t="e">
        <f>'CO_attainment for FA-TH ESE'!#REF!</f>
        <v>#REF!</v>
      </c>
      <c r="D57" s="104" t="e">
        <f>'CO_attainment for FA-TH ESE'!#REF!</f>
        <v>#REF!</v>
      </c>
      <c r="E57" s="104"/>
    </row>
    <row r="58" spans="2:5" ht="15.75" hidden="1" customHeight="1">
      <c r="B58" s="104"/>
      <c r="C58" s="104" t="e">
        <f>'CO_attainment for FA-TH ESE'!#REF!</f>
        <v>#REF!</v>
      </c>
      <c r="D58" s="104" t="e">
        <f>'CO_attainment for FA-TH ESE'!#REF!</f>
        <v>#REF!</v>
      </c>
      <c r="E58" s="104"/>
    </row>
    <row r="59" spans="2:5" ht="15.75" hidden="1" customHeight="1">
      <c r="B59" s="104"/>
      <c r="C59" s="104" t="e">
        <f>'CO_attainment for FA-TH ESE'!#REF!</f>
        <v>#REF!</v>
      </c>
      <c r="D59" s="104" t="e">
        <f>'CO_attainment for FA-TH ESE'!#REF!</f>
        <v>#REF!</v>
      </c>
      <c r="E59" s="104"/>
    </row>
    <row r="60" spans="2:5" ht="15.75" hidden="1" customHeight="1">
      <c r="B60" s="104"/>
      <c r="C60" s="104" t="e">
        <f>'CO_attainment for FA-TH ESE'!#REF!</f>
        <v>#REF!</v>
      </c>
      <c r="D60" s="104" t="e">
        <f>'CO_attainment for FA-TH ESE'!#REF!</f>
        <v>#REF!</v>
      </c>
      <c r="E60" s="104"/>
    </row>
    <row r="61" spans="2:5" ht="15.75" hidden="1" customHeight="1">
      <c r="B61" s="104"/>
      <c r="C61" s="104" t="e">
        <f>'CO_attainment for FA-TH ESE'!#REF!</f>
        <v>#REF!</v>
      </c>
      <c r="D61" s="104" t="e">
        <f>'CO_attainment for FA-TH ESE'!#REF!</f>
        <v>#REF!</v>
      </c>
      <c r="E61" s="104"/>
    </row>
    <row r="62" spans="2:5" ht="15.75" hidden="1" customHeight="1">
      <c r="B62" s="104"/>
      <c r="C62" s="104" t="e">
        <f>'CO_attainment for FA-TH ESE'!#REF!</f>
        <v>#REF!</v>
      </c>
      <c r="D62" s="104" t="e">
        <f>'CO_attainment for FA-TH ESE'!#REF!</f>
        <v>#REF!</v>
      </c>
      <c r="E62" s="104"/>
    </row>
    <row r="63" spans="2:5" ht="15.75" hidden="1" customHeight="1">
      <c r="B63" s="104"/>
      <c r="C63" s="104" t="e">
        <f>'CO_attainment for FA-TH ESE'!#REF!</f>
        <v>#REF!</v>
      </c>
      <c r="D63" s="104" t="e">
        <f>'CO_attainment for FA-TH ESE'!#REF!</f>
        <v>#REF!</v>
      </c>
      <c r="E63" s="104"/>
    </row>
    <row r="64" spans="2:5" ht="15.75" customHeight="1">
      <c r="B64" s="104">
        <v>7</v>
      </c>
      <c r="C64" s="104" t="e">
        <f>'CO_attainment for FA-TH ESE'!#REF!</f>
        <v>#REF!</v>
      </c>
      <c r="D64" s="104" t="e">
        <f>'CO_attainment for FA-TH ESE'!#REF!</f>
        <v>#REF!</v>
      </c>
      <c r="E64" s="104"/>
    </row>
    <row r="65" spans="2:5" ht="15.75" hidden="1" customHeight="1">
      <c r="B65" s="104"/>
      <c r="C65" s="104" t="e">
        <f>'CO_attainment for FA-TH ESE'!#REF!</f>
        <v>#REF!</v>
      </c>
      <c r="D65" s="104" t="e">
        <f>'CO_attainment for FA-TH ESE'!#REF!</f>
        <v>#REF!</v>
      </c>
      <c r="E65" s="104"/>
    </row>
    <row r="66" spans="2:5" ht="15.75" hidden="1" customHeight="1">
      <c r="B66" s="104"/>
      <c r="C66" s="104" t="e">
        <f>'CO_attainment for FA-TH ESE'!#REF!</f>
        <v>#REF!</v>
      </c>
      <c r="D66" s="104" t="e">
        <f>'CO_attainment for FA-TH ESE'!#REF!</f>
        <v>#REF!</v>
      </c>
      <c r="E66" s="104"/>
    </row>
    <row r="67" spans="2:5" ht="15.75" hidden="1" customHeight="1">
      <c r="B67" s="104"/>
      <c r="C67" s="104" t="e">
        <f>'CO_attainment for FA-TH ESE'!#REF!</f>
        <v>#REF!</v>
      </c>
      <c r="D67" s="104" t="e">
        <f>'CO_attainment for FA-TH ESE'!#REF!</f>
        <v>#REF!</v>
      </c>
      <c r="E67" s="104"/>
    </row>
    <row r="68" spans="2:5" ht="15.75" customHeight="1">
      <c r="B68" s="104">
        <v>8</v>
      </c>
      <c r="C68" s="104" t="e">
        <f>'CO_attainment for FA-TH ESE'!#REF!</f>
        <v>#REF!</v>
      </c>
      <c r="D68" s="104" t="e">
        <f>'CO_attainment for FA-TH ESE'!#REF!</f>
        <v>#REF!</v>
      </c>
      <c r="E68" s="104"/>
    </row>
    <row r="69" spans="2:5" ht="15.75" hidden="1" customHeight="1">
      <c r="B69" s="104"/>
      <c r="C69" s="104" t="e">
        <f>'CO_attainment for FA-TH ESE'!#REF!</f>
        <v>#REF!</v>
      </c>
      <c r="D69" s="104" t="e">
        <f>'CO_attainment for FA-TH ESE'!#REF!</f>
        <v>#REF!</v>
      </c>
      <c r="E69" s="104"/>
    </row>
    <row r="70" spans="2:5" ht="15.75" hidden="1" customHeight="1">
      <c r="B70" s="104"/>
      <c r="C70" s="104" t="e">
        <f>'CO_attainment for FA-TH ESE'!#REF!</f>
        <v>#REF!</v>
      </c>
      <c r="D70" s="104" t="e">
        <f>'CO_attainment for FA-TH ESE'!#REF!</f>
        <v>#REF!</v>
      </c>
      <c r="E70" s="104"/>
    </row>
    <row r="71" spans="2:5" ht="15.75" customHeight="1">
      <c r="B71" s="104">
        <v>9</v>
      </c>
      <c r="C71" s="104" t="e">
        <f>'CO_attainment for FA-TH ESE'!#REF!</f>
        <v>#REF!</v>
      </c>
      <c r="D71" s="104" t="e">
        <f>'CO_attainment for FA-TH ESE'!#REF!</f>
        <v>#REF!</v>
      </c>
      <c r="E71" s="104"/>
    </row>
    <row r="72" spans="2:5" ht="15.75" hidden="1" customHeight="1">
      <c r="B72" s="104"/>
      <c r="C72" s="104" t="e">
        <f>'CO_attainment for FA-TH ESE'!#REF!</f>
        <v>#REF!</v>
      </c>
      <c r="D72" s="104" t="e">
        <f>'CO_attainment for FA-TH ESE'!#REF!</f>
        <v>#REF!</v>
      </c>
      <c r="E72" s="104"/>
    </row>
    <row r="73" spans="2:5" ht="15.75" customHeight="1">
      <c r="B73" s="104"/>
      <c r="C73" s="104"/>
      <c r="D73" s="104"/>
      <c r="E73" s="104"/>
    </row>
    <row r="74" spans="2:5" ht="15.75" customHeight="1">
      <c r="B74" s="104"/>
      <c r="C74" s="104"/>
      <c r="D74" s="104"/>
      <c r="E74" s="104"/>
    </row>
    <row r="75" spans="2:5" ht="15.75" customHeight="1">
      <c r="B75" s="104"/>
      <c r="C75" s="104"/>
      <c r="D75" s="104"/>
      <c r="E75" s="104"/>
    </row>
    <row r="76" spans="2:5" ht="15.75" customHeight="1">
      <c r="B76" s="104"/>
      <c r="C76" s="104"/>
      <c r="D76" s="104"/>
      <c r="E76" s="104"/>
    </row>
    <row r="77" spans="2:5" ht="15.75" customHeight="1">
      <c r="B77" s="104"/>
      <c r="C77" s="104"/>
      <c r="D77" s="104"/>
      <c r="E77" s="104"/>
    </row>
    <row r="78" spans="2:5" ht="15.75" customHeight="1">
      <c r="B78" s="104"/>
      <c r="C78" s="104"/>
      <c r="D78" s="104"/>
      <c r="E78" s="104"/>
    </row>
    <row r="79" spans="2:5" ht="15.75" customHeight="1">
      <c r="B79" s="104"/>
      <c r="C79" s="106"/>
      <c r="D79" s="106"/>
      <c r="E79" s="106"/>
    </row>
    <row r="80" spans="2:5" ht="15.75" customHeight="1">
      <c r="D80" s="107" t="s">
        <v>166</v>
      </c>
      <c r="E80" s="108">
        <f>ROUNDUP(AVERAGE(E15:E79),1)</f>
        <v>0</v>
      </c>
    </row>
    <row r="81" spans="1:7" ht="15.75" customHeight="1">
      <c r="D81" s="107" t="s">
        <v>167</v>
      </c>
      <c r="E81" s="108">
        <f>(E80/5)*100</f>
        <v>0</v>
      </c>
    </row>
    <row r="82" spans="1:7" ht="15.75" customHeight="1">
      <c r="A82" s="4" t="s">
        <v>168</v>
      </c>
      <c r="D82" s="101"/>
      <c r="E82" s="31"/>
    </row>
    <row r="83" spans="1:7" ht="15.75" customHeight="1">
      <c r="A83" s="4" t="s">
        <v>169</v>
      </c>
      <c r="D83" s="101"/>
      <c r="E83" s="31"/>
    </row>
    <row r="84" spans="1:7" ht="15.75" customHeight="1"/>
    <row r="85" spans="1:7" ht="42.75" customHeight="1">
      <c r="A85" s="312" t="s">
        <v>170</v>
      </c>
      <c r="B85" s="223"/>
      <c r="C85" s="223"/>
      <c r="D85" s="224"/>
      <c r="E85" s="109" t="s">
        <v>132</v>
      </c>
    </row>
    <row r="86" spans="1:7" ht="15.75" customHeight="1">
      <c r="A86" s="313" t="s">
        <v>133</v>
      </c>
      <c r="B86" s="314" t="s">
        <v>171</v>
      </c>
      <c r="C86" s="315"/>
      <c r="D86" s="290"/>
      <c r="E86" s="110">
        <v>1</v>
      </c>
    </row>
    <row r="87" spans="1:7" ht="15.75" customHeight="1">
      <c r="A87" s="270"/>
      <c r="B87" s="316" t="s">
        <v>172</v>
      </c>
      <c r="C87" s="317"/>
      <c r="D87" s="276"/>
      <c r="E87" s="111">
        <v>2</v>
      </c>
    </row>
    <row r="88" spans="1:7" ht="15.75" customHeight="1">
      <c r="A88" s="271"/>
      <c r="B88" s="318" t="s">
        <v>173</v>
      </c>
      <c r="C88" s="319"/>
      <c r="D88" s="264"/>
      <c r="E88" s="112">
        <v>3</v>
      </c>
    </row>
    <row r="89" spans="1:7" ht="15.75" customHeight="1"/>
    <row r="90" spans="1:7" ht="30.75" customHeight="1">
      <c r="A90" s="320" t="s">
        <v>158</v>
      </c>
      <c r="B90" s="306"/>
      <c r="C90" s="113" t="s">
        <v>9</v>
      </c>
      <c r="D90" s="113" t="s">
        <v>11</v>
      </c>
      <c r="E90" s="113" t="s">
        <v>13</v>
      </c>
      <c r="F90" s="113" t="s">
        <v>136</v>
      </c>
      <c r="G90" s="114" t="s">
        <v>137</v>
      </c>
    </row>
    <row r="91" spans="1:7" ht="30" customHeight="1">
      <c r="A91" s="321" t="s">
        <v>174</v>
      </c>
      <c r="B91" s="296"/>
      <c r="C91" s="115">
        <f>IF(E81&gt;=80,3,IF(E81&gt;=65,2,IF(E81&gt;=40,1,0)))</f>
        <v>0</v>
      </c>
      <c r="D91" s="115">
        <f t="shared" ref="D91:G91" si="0">$C91</f>
        <v>0</v>
      </c>
      <c r="E91" s="115">
        <f t="shared" si="0"/>
        <v>0</v>
      </c>
      <c r="F91" s="115">
        <f t="shared" si="0"/>
        <v>0</v>
      </c>
      <c r="G91" s="116">
        <f t="shared" si="0"/>
        <v>0</v>
      </c>
    </row>
    <row r="92" spans="1:7" ht="15" customHeight="1">
      <c r="A92" s="4" t="s">
        <v>175</v>
      </c>
      <c r="E92" s="15"/>
    </row>
    <row r="93" spans="1:7" ht="12" customHeight="1">
      <c r="B93" s="4" t="s">
        <v>176</v>
      </c>
    </row>
    <row r="94" spans="1:7" ht="15.75" customHeight="1"/>
    <row r="95" spans="1:7" ht="15.75" customHeight="1"/>
    <row r="96" spans="1:7"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90:B90"/>
    <mergeCell ref="A91:B91"/>
    <mergeCell ref="B10:B14"/>
    <mergeCell ref="C10:C14"/>
    <mergeCell ref="D10:D14"/>
    <mergeCell ref="E10:E13"/>
    <mergeCell ref="A85:D85"/>
    <mergeCell ref="A86:A88"/>
    <mergeCell ref="B86:D86"/>
    <mergeCell ref="B87:D87"/>
    <mergeCell ref="B88:D8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P1000"/>
  <sheetViews>
    <sheetView workbookViewId="0"/>
  </sheetViews>
  <sheetFormatPr defaultColWidth="14.42578125" defaultRowHeight="15" customHeight="1"/>
  <cols>
    <col min="1" max="3" width="8.7109375" customWidth="1"/>
    <col min="4" max="4" width="31.140625" customWidth="1"/>
    <col min="5" max="5" width="11.42578125" customWidth="1"/>
    <col min="6" max="16" width="8.7109375" customWidth="1"/>
  </cols>
  <sheetData>
    <row r="1" spans="2:16" ht="28.5">
      <c r="F1" s="117" t="s">
        <v>177</v>
      </c>
      <c r="G1" s="117"/>
      <c r="H1" s="117"/>
      <c r="I1" s="3"/>
    </row>
    <row r="4" spans="2:16" ht="15.75">
      <c r="B4" s="15"/>
      <c r="C4" s="16" t="s">
        <v>178</v>
      </c>
      <c r="D4" s="15"/>
      <c r="E4" s="15"/>
      <c r="F4" s="15"/>
      <c r="G4" s="15"/>
      <c r="H4" s="15"/>
      <c r="I4" s="15"/>
      <c r="J4" s="15"/>
      <c r="K4" s="15"/>
      <c r="L4" s="15"/>
      <c r="M4" s="15"/>
      <c r="N4" s="15"/>
      <c r="O4" s="15"/>
      <c r="P4" s="15"/>
    </row>
    <row r="5" spans="2:16" ht="15.75">
      <c r="B5" s="15"/>
      <c r="C5" s="16" t="s">
        <v>179</v>
      </c>
      <c r="D5" s="15"/>
      <c r="E5" s="15"/>
      <c r="F5" s="15"/>
      <c r="G5" s="15"/>
      <c r="H5" s="15"/>
      <c r="I5" s="15"/>
      <c r="J5" s="15"/>
      <c r="K5" s="15"/>
      <c r="L5" s="15"/>
      <c r="M5" s="15"/>
      <c r="N5" s="15"/>
      <c r="O5" s="15"/>
      <c r="P5" s="15"/>
    </row>
    <row r="6" spans="2:16">
      <c r="B6" s="237" t="s">
        <v>21</v>
      </c>
      <c r="C6" s="225" t="s">
        <v>22</v>
      </c>
      <c r="D6" s="226"/>
      <c r="E6" s="222" t="s">
        <v>23</v>
      </c>
      <c r="F6" s="223"/>
      <c r="G6" s="223"/>
      <c r="H6" s="223"/>
      <c r="I6" s="223"/>
      <c r="J6" s="223"/>
      <c r="K6" s="223"/>
      <c r="L6" s="223"/>
      <c r="M6" s="223"/>
      <c r="N6" s="224"/>
      <c r="O6" s="222" t="s">
        <v>24</v>
      </c>
      <c r="P6" s="224"/>
    </row>
    <row r="7" spans="2:16">
      <c r="B7" s="238"/>
      <c r="C7" s="227"/>
      <c r="D7" s="228"/>
      <c r="E7" s="17" t="s">
        <v>25</v>
      </c>
      <c r="F7" s="17" t="s">
        <v>26</v>
      </c>
      <c r="G7" s="17" t="s">
        <v>27</v>
      </c>
      <c r="H7" s="17" t="s">
        <v>28</v>
      </c>
      <c r="I7" s="17" t="s">
        <v>29</v>
      </c>
      <c r="J7" s="17" t="s">
        <v>30</v>
      </c>
      <c r="K7" s="17" t="s">
        <v>31</v>
      </c>
      <c r="L7" s="17" t="s">
        <v>180</v>
      </c>
      <c r="M7" s="17" t="s">
        <v>181</v>
      </c>
      <c r="N7" s="17" t="s">
        <v>182</v>
      </c>
      <c r="O7" s="17" t="s">
        <v>32</v>
      </c>
      <c r="P7" s="17" t="s">
        <v>33</v>
      </c>
    </row>
    <row r="8" spans="2:16" ht="62.25">
      <c r="B8" s="239"/>
      <c r="C8" s="229"/>
      <c r="D8" s="230"/>
      <c r="E8" s="18" t="s">
        <v>183</v>
      </c>
      <c r="F8" s="18" t="s">
        <v>184</v>
      </c>
      <c r="G8" s="18" t="s">
        <v>185</v>
      </c>
      <c r="H8" s="18" t="s">
        <v>186</v>
      </c>
      <c r="I8" s="18" t="s">
        <v>187</v>
      </c>
      <c r="J8" s="18" t="s">
        <v>188</v>
      </c>
      <c r="K8" s="18" t="s">
        <v>189</v>
      </c>
      <c r="L8" s="18" t="s">
        <v>190</v>
      </c>
      <c r="M8" s="18" t="s">
        <v>191</v>
      </c>
      <c r="N8" s="18" t="s">
        <v>192</v>
      </c>
      <c r="O8" s="118" t="s">
        <v>193</v>
      </c>
      <c r="P8" s="119" t="s">
        <v>194</v>
      </c>
    </row>
    <row r="9" spans="2:16" ht="63.75" customHeight="1">
      <c r="B9" s="120">
        <v>1</v>
      </c>
      <c r="C9" s="20" t="s">
        <v>9</v>
      </c>
      <c r="D9" s="21" t="s">
        <v>195</v>
      </c>
      <c r="E9" s="121">
        <v>3</v>
      </c>
      <c r="F9" s="121">
        <v>3</v>
      </c>
      <c r="G9" s="121">
        <v>2</v>
      </c>
      <c r="H9" s="121">
        <v>2</v>
      </c>
      <c r="I9" s="121">
        <v>2</v>
      </c>
      <c r="J9" s="121">
        <v>2</v>
      </c>
      <c r="K9" s="121">
        <v>2</v>
      </c>
      <c r="L9" s="121">
        <v>2</v>
      </c>
      <c r="M9" s="121">
        <v>2</v>
      </c>
      <c r="N9" s="121">
        <v>3</v>
      </c>
      <c r="O9" s="121">
        <v>3</v>
      </c>
      <c r="P9" s="121">
        <v>2</v>
      </c>
    </row>
    <row r="10" spans="2:16" ht="60.75" customHeight="1">
      <c r="B10" s="120">
        <v>2</v>
      </c>
      <c r="C10" s="20" t="s">
        <v>11</v>
      </c>
      <c r="D10" s="23" t="s">
        <v>196</v>
      </c>
      <c r="E10" s="121">
        <v>3</v>
      </c>
      <c r="F10" s="121">
        <v>3</v>
      </c>
      <c r="G10" s="121">
        <v>1</v>
      </c>
      <c r="H10" s="121">
        <v>2</v>
      </c>
      <c r="I10" s="121">
        <v>2</v>
      </c>
      <c r="J10" s="121">
        <v>2</v>
      </c>
      <c r="K10" s="121">
        <v>2</v>
      </c>
      <c r="L10" s="121">
        <v>2</v>
      </c>
      <c r="M10" s="121">
        <v>2</v>
      </c>
      <c r="N10" s="121">
        <v>1</v>
      </c>
      <c r="O10" s="121">
        <v>2</v>
      </c>
      <c r="P10" s="121">
        <v>2</v>
      </c>
    </row>
    <row r="11" spans="2:16" ht="57.75" customHeight="1">
      <c r="B11" s="120">
        <v>3</v>
      </c>
      <c r="C11" s="20" t="s">
        <v>13</v>
      </c>
      <c r="D11" s="23" t="s">
        <v>197</v>
      </c>
      <c r="E11" s="121">
        <v>3</v>
      </c>
      <c r="F11" s="121">
        <v>3</v>
      </c>
      <c r="G11" s="121">
        <v>2</v>
      </c>
      <c r="H11" s="121">
        <v>2</v>
      </c>
      <c r="I11" s="121">
        <v>2</v>
      </c>
      <c r="J11" s="121">
        <v>3</v>
      </c>
      <c r="K11" s="121">
        <v>2</v>
      </c>
      <c r="L11" s="121">
        <v>3</v>
      </c>
      <c r="M11" s="121">
        <v>2</v>
      </c>
      <c r="N11" s="121">
        <v>2</v>
      </c>
      <c r="O11" s="121">
        <v>2</v>
      </c>
      <c r="P11" s="121">
        <v>2</v>
      </c>
    </row>
    <row r="12" spans="2:16" ht="84" customHeight="1">
      <c r="B12" s="120">
        <v>4</v>
      </c>
      <c r="C12" s="20" t="s">
        <v>15</v>
      </c>
      <c r="D12" s="23" t="s">
        <v>198</v>
      </c>
      <c r="E12" s="121">
        <v>3</v>
      </c>
      <c r="F12" s="121">
        <v>3</v>
      </c>
      <c r="G12" s="121">
        <v>2</v>
      </c>
      <c r="H12" s="121">
        <v>3</v>
      </c>
      <c r="I12" s="121">
        <v>3</v>
      </c>
      <c r="J12" s="121">
        <v>2</v>
      </c>
      <c r="K12" s="121">
        <v>3</v>
      </c>
      <c r="L12" s="121">
        <v>2</v>
      </c>
      <c r="M12" s="121">
        <v>2</v>
      </c>
      <c r="N12" s="121">
        <v>3</v>
      </c>
      <c r="O12" s="121">
        <v>2</v>
      </c>
      <c r="P12" s="121">
        <v>2</v>
      </c>
    </row>
    <row r="13" spans="2:16" ht="48" customHeight="1">
      <c r="B13" s="120">
        <v>5</v>
      </c>
      <c r="C13" s="20" t="s">
        <v>17</v>
      </c>
      <c r="D13" s="23" t="s">
        <v>199</v>
      </c>
      <c r="E13" s="121">
        <v>3</v>
      </c>
      <c r="F13" s="121">
        <v>3</v>
      </c>
      <c r="G13" s="121">
        <v>3</v>
      </c>
      <c r="H13" s="121">
        <v>3</v>
      </c>
      <c r="I13" s="121">
        <v>2</v>
      </c>
      <c r="J13" s="121">
        <v>2</v>
      </c>
      <c r="K13" s="121">
        <v>1</v>
      </c>
      <c r="L13" s="121">
        <v>3</v>
      </c>
      <c r="M13" s="121">
        <v>2</v>
      </c>
      <c r="N13" s="121">
        <v>2</v>
      </c>
      <c r="O13" s="121">
        <v>3</v>
      </c>
      <c r="P13" s="121">
        <v>3</v>
      </c>
    </row>
    <row r="14" spans="2:16" ht="48" customHeight="1">
      <c r="B14" s="120">
        <v>6</v>
      </c>
      <c r="C14" s="20" t="s">
        <v>200</v>
      </c>
      <c r="D14" s="23" t="s">
        <v>201</v>
      </c>
      <c r="E14" s="121">
        <v>3</v>
      </c>
      <c r="F14" s="121">
        <v>3</v>
      </c>
      <c r="G14" s="121">
        <v>2</v>
      </c>
      <c r="H14" s="121">
        <v>2</v>
      </c>
      <c r="I14" s="121">
        <v>1</v>
      </c>
      <c r="J14" s="121">
        <v>2</v>
      </c>
      <c r="K14" s="121">
        <v>1</v>
      </c>
      <c r="L14" s="121">
        <v>1</v>
      </c>
      <c r="M14" s="121">
        <v>2</v>
      </c>
      <c r="N14" s="121">
        <v>1</v>
      </c>
      <c r="O14" s="121">
        <v>2</v>
      </c>
      <c r="P14" s="121">
        <v>2</v>
      </c>
    </row>
    <row r="15" spans="2:16">
      <c r="B15" s="325" t="s">
        <v>202</v>
      </c>
      <c r="C15" s="223"/>
      <c r="D15" s="224"/>
      <c r="E15" s="122">
        <f t="shared" ref="E15:P15" si="0">ROUNDUP(AVERAGE(E9:E14),2)</f>
        <v>3</v>
      </c>
      <c r="F15" s="122">
        <f t="shared" si="0"/>
        <v>3</v>
      </c>
      <c r="G15" s="122">
        <f t="shared" si="0"/>
        <v>2</v>
      </c>
      <c r="H15" s="122">
        <f t="shared" si="0"/>
        <v>2.34</v>
      </c>
      <c r="I15" s="122">
        <f t="shared" si="0"/>
        <v>2</v>
      </c>
      <c r="J15" s="122">
        <f t="shared" si="0"/>
        <v>2.17</v>
      </c>
      <c r="K15" s="122">
        <f t="shared" si="0"/>
        <v>1.84</v>
      </c>
      <c r="L15" s="122">
        <f t="shared" si="0"/>
        <v>2.17</v>
      </c>
      <c r="M15" s="122">
        <f t="shared" si="0"/>
        <v>2</v>
      </c>
      <c r="N15" s="122">
        <f t="shared" si="0"/>
        <v>2</v>
      </c>
      <c r="O15" s="122">
        <f t="shared" si="0"/>
        <v>2.34</v>
      </c>
      <c r="P15" s="122">
        <f t="shared" si="0"/>
        <v>2.17</v>
      </c>
    </row>
    <row r="16" spans="2:16">
      <c r="B16" s="324" t="s">
        <v>203</v>
      </c>
      <c r="C16" s="223"/>
      <c r="D16" s="224"/>
      <c r="E16" s="123">
        <f t="shared" ref="E16:P16" si="1">ROUNDUP((E15*2.66)/3,2)</f>
        <v>2.66</v>
      </c>
      <c r="F16" s="123">
        <f t="shared" si="1"/>
        <v>2.66</v>
      </c>
      <c r="G16" s="123">
        <f t="shared" si="1"/>
        <v>1.78</v>
      </c>
      <c r="H16" s="123">
        <f t="shared" si="1"/>
        <v>2.0799999999999996</v>
      </c>
      <c r="I16" s="123">
        <f t="shared" si="1"/>
        <v>1.78</v>
      </c>
      <c r="J16" s="123">
        <f t="shared" si="1"/>
        <v>1.93</v>
      </c>
      <c r="K16" s="123">
        <f t="shared" si="1"/>
        <v>1.64</v>
      </c>
      <c r="L16" s="123">
        <f t="shared" si="1"/>
        <v>1.93</v>
      </c>
      <c r="M16" s="123">
        <f t="shared" si="1"/>
        <v>1.78</v>
      </c>
      <c r="N16" s="123">
        <f t="shared" si="1"/>
        <v>1.78</v>
      </c>
      <c r="O16" s="123">
        <f t="shared" si="1"/>
        <v>2.0799999999999996</v>
      </c>
      <c r="P16" s="123">
        <f t="shared" si="1"/>
        <v>1.93</v>
      </c>
    </row>
    <row r="17" spans="2:16">
      <c r="B17" s="324" t="s">
        <v>204</v>
      </c>
      <c r="C17" s="223"/>
      <c r="D17" s="224"/>
      <c r="E17" s="123">
        <f t="shared" ref="E17:P17" si="2">ROUNDUP((E16/3)*100,2)</f>
        <v>88.67</v>
      </c>
      <c r="F17" s="123">
        <f t="shared" si="2"/>
        <v>88.67</v>
      </c>
      <c r="G17" s="123">
        <f t="shared" si="2"/>
        <v>59.339999999999996</v>
      </c>
      <c r="H17" s="123">
        <f t="shared" si="2"/>
        <v>69.34</v>
      </c>
      <c r="I17" s="123">
        <f t="shared" si="2"/>
        <v>59.339999999999996</v>
      </c>
      <c r="J17" s="123">
        <f t="shared" si="2"/>
        <v>64.34</v>
      </c>
      <c r="K17" s="123">
        <f t="shared" si="2"/>
        <v>54.669999999999995</v>
      </c>
      <c r="L17" s="123">
        <f t="shared" si="2"/>
        <v>64.34</v>
      </c>
      <c r="M17" s="123">
        <f t="shared" si="2"/>
        <v>59.339999999999996</v>
      </c>
      <c r="N17" s="123">
        <f t="shared" si="2"/>
        <v>59.339999999999996</v>
      </c>
      <c r="O17" s="123">
        <f t="shared" si="2"/>
        <v>69.34</v>
      </c>
      <c r="P17" s="123">
        <f t="shared" si="2"/>
        <v>64.34</v>
      </c>
    </row>
    <row r="21" spans="2:16" ht="15.75" customHeight="1"/>
    <row r="22" spans="2:16" ht="15.75" customHeight="1"/>
    <row r="23" spans="2:16" ht="15.75" customHeight="1"/>
    <row r="24" spans="2:16" ht="15.75" customHeight="1"/>
    <row r="25" spans="2:16" ht="15.75" customHeight="1"/>
    <row r="26" spans="2:16" ht="15.75" customHeight="1"/>
    <row r="27" spans="2:16" ht="15.75" customHeight="1"/>
    <row r="28" spans="2:16" ht="15.75" customHeight="1"/>
    <row r="29" spans="2:16" ht="15.75" customHeight="1"/>
    <row r="30" spans="2:16" ht="15.75" customHeight="1"/>
    <row r="31" spans="2:16" ht="15.75" customHeight="1"/>
    <row r="32" spans="2: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O6:P6"/>
    <mergeCell ref="B15:D15"/>
    <mergeCell ref="B16:D16"/>
    <mergeCell ref="B17:D17"/>
    <mergeCell ref="B6:B8"/>
    <mergeCell ref="C6:D8"/>
    <mergeCell ref="E6:N6"/>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sheetPr>
  <dimension ref="A1:Z1000"/>
  <sheetViews>
    <sheetView showGridLines="0" workbookViewId="0"/>
  </sheetViews>
  <sheetFormatPr defaultColWidth="14.42578125" defaultRowHeight="15" customHeight="1"/>
  <cols>
    <col min="1" max="1" width="9.140625" customWidth="1"/>
    <col min="2" max="2" width="7.140625" customWidth="1"/>
    <col min="3" max="3" width="19" customWidth="1"/>
    <col min="4" max="4" width="26.85546875" customWidth="1"/>
    <col min="5" max="5" width="9.7109375" customWidth="1"/>
    <col min="6" max="6" width="7.140625" customWidth="1"/>
    <col min="7" max="7" width="6.5703125" customWidth="1"/>
    <col min="8" max="8" width="10.28515625" customWidth="1"/>
    <col min="9" max="9" width="13.7109375" customWidth="1"/>
    <col min="10" max="10" width="10.7109375" customWidth="1"/>
    <col min="11" max="26" width="9.140625" customWidth="1"/>
  </cols>
  <sheetData>
    <row r="1" spans="1:26" ht="23.25">
      <c r="A1" s="15"/>
      <c r="B1" s="15"/>
      <c r="C1" s="15"/>
      <c r="D1" s="15"/>
      <c r="E1" s="124" t="s">
        <v>205</v>
      </c>
      <c r="F1" s="15"/>
      <c r="G1" s="15"/>
      <c r="H1" s="15"/>
      <c r="I1" s="15"/>
      <c r="J1" s="15"/>
      <c r="K1" s="15"/>
      <c r="L1" s="15"/>
      <c r="M1" s="15"/>
      <c r="N1" s="15"/>
      <c r="O1" s="15"/>
      <c r="P1" s="15"/>
      <c r="Q1" s="15"/>
      <c r="R1" s="15"/>
      <c r="S1" s="15"/>
      <c r="T1" s="15"/>
      <c r="U1" s="15"/>
      <c r="V1" s="15"/>
      <c r="W1" s="15"/>
      <c r="X1" s="15"/>
      <c r="Y1" s="15"/>
      <c r="Z1" s="15"/>
    </row>
    <row r="2" spans="1:26">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c r="A3" s="15"/>
      <c r="B3" s="33"/>
      <c r="C3" s="34" t="s">
        <v>1</v>
      </c>
      <c r="D3" s="100" t="str">
        <f>'CO_attainment for Indirect'!D4</f>
        <v>Data Structures Using _C</v>
      </c>
      <c r="E3" s="15"/>
      <c r="F3" s="15"/>
      <c r="G3" s="15"/>
      <c r="H3" s="15"/>
      <c r="I3" s="15"/>
      <c r="J3" s="15"/>
      <c r="K3" s="15"/>
      <c r="L3" s="15"/>
      <c r="M3" s="15"/>
      <c r="N3" s="15"/>
      <c r="O3" s="15"/>
      <c r="P3" s="15"/>
      <c r="Q3" s="15"/>
      <c r="R3" s="15"/>
      <c r="S3" s="15"/>
      <c r="T3" s="15"/>
      <c r="U3" s="15"/>
      <c r="V3" s="15"/>
      <c r="W3" s="15"/>
      <c r="X3" s="15"/>
      <c r="Y3" s="15"/>
      <c r="Z3" s="15"/>
    </row>
    <row r="4" spans="1:26">
      <c r="A4" s="15"/>
      <c r="B4" s="33"/>
      <c r="C4" s="34" t="s">
        <v>3</v>
      </c>
      <c r="D4" s="100">
        <f>'CO_attainment for Indirect'!D5</f>
        <v>22317</v>
      </c>
      <c r="E4" s="15"/>
      <c r="F4" s="15"/>
      <c r="G4" s="15"/>
      <c r="H4" s="15"/>
      <c r="I4" s="15"/>
      <c r="J4" s="15"/>
      <c r="K4" s="15"/>
      <c r="L4" s="15"/>
      <c r="M4" s="15"/>
      <c r="N4" s="15"/>
      <c r="O4" s="15"/>
      <c r="P4" s="15"/>
      <c r="Q4" s="15"/>
      <c r="R4" s="15"/>
      <c r="S4" s="15"/>
      <c r="T4" s="15"/>
      <c r="U4" s="15"/>
      <c r="V4" s="15"/>
      <c r="W4" s="15"/>
      <c r="X4" s="15"/>
      <c r="Y4" s="15"/>
      <c r="Z4" s="15"/>
    </row>
    <row r="5" spans="1:26">
      <c r="A5" s="15"/>
      <c r="B5" s="33"/>
      <c r="C5" s="34" t="s">
        <v>54</v>
      </c>
      <c r="D5" s="100" t="str">
        <f>'CO_attainment for Indirect'!D6</f>
        <v>3rd SEM(CO3I SCHEME)</v>
      </c>
      <c r="E5" s="15"/>
      <c r="F5" s="15"/>
      <c r="G5" s="15"/>
      <c r="H5" s="15"/>
      <c r="I5" s="15"/>
      <c r="J5" s="15"/>
      <c r="K5" s="15"/>
      <c r="L5" s="15"/>
      <c r="M5" s="15"/>
      <c r="N5" s="15"/>
      <c r="O5" s="15"/>
      <c r="P5" s="15"/>
      <c r="Q5" s="15"/>
      <c r="R5" s="15"/>
      <c r="S5" s="15"/>
      <c r="T5" s="15"/>
      <c r="U5" s="15"/>
      <c r="V5" s="15"/>
      <c r="W5" s="15"/>
      <c r="X5" s="15"/>
      <c r="Y5" s="15"/>
      <c r="Z5" s="15"/>
    </row>
    <row r="6" spans="1:26">
      <c r="A6" s="15"/>
      <c r="B6" s="33"/>
      <c r="C6" s="34" t="s">
        <v>152</v>
      </c>
      <c r="D6" s="100" t="str">
        <f>'CO_attain_SLA_FA-PR_SA-PR'!D7</f>
        <v>2023-24</v>
      </c>
      <c r="E6" s="15"/>
      <c r="F6" s="15"/>
      <c r="G6" s="15"/>
      <c r="H6" s="15"/>
      <c r="I6" s="15"/>
      <c r="J6" s="15"/>
      <c r="K6" s="15"/>
      <c r="L6" s="15"/>
      <c r="M6" s="15"/>
      <c r="N6" s="15"/>
      <c r="O6" s="15"/>
      <c r="P6" s="15"/>
      <c r="Q6" s="15"/>
      <c r="R6" s="15"/>
      <c r="S6" s="15"/>
      <c r="T6" s="15"/>
      <c r="U6" s="15"/>
      <c r="V6" s="15"/>
      <c r="W6" s="15"/>
      <c r="X6" s="15"/>
      <c r="Y6" s="15"/>
      <c r="Z6" s="15"/>
    </row>
    <row r="7" spans="1:26">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ht="21">
      <c r="A8" s="15"/>
      <c r="B8" s="15"/>
      <c r="C8" s="332" t="s">
        <v>206</v>
      </c>
      <c r="D8" s="223"/>
      <c r="E8" s="223"/>
      <c r="F8" s="223"/>
      <c r="G8" s="223"/>
      <c r="H8" s="223"/>
      <c r="I8" s="223"/>
      <c r="J8" s="224"/>
      <c r="K8" s="15"/>
      <c r="L8" s="15"/>
      <c r="M8" s="15"/>
      <c r="N8" s="15"/>
      <c r="O8" s="15"/>
      <c r="P8" s="15"/>
      <c r="Q8" s="15"/>
      <c r="R8" s="15"/>
      <c r="S8" s="15"/>
      <c r="T8" s="15"/>
      <c r="U8" s="15"/>
      <c r="V8" s="15"/>
      <c r="W8" s="15"/>
      <c r="X8" s="15"/>
      <c r="Y8" s="15"/>
      <c r="Z8" s="15"/>
    </row>
    <row r="9" spans="1:26">
      <c r="A9" s="15"/>
      <c r="B9" s="15"/>
      <c r="C9" s="333" t="s">
        <v>207</v>
      </c>
      <c r="D9" s="223"/>
      <c r="E9" s="223"/>
      <c r="F9" s="223"/>
      <c r="G9" s="223"/>
      <c r="H9" s="224"/>
      <c r="I9" s="334" t="s">
        <v>208</v>
      </c>
      <c r="J9" s="226"/>
      <c r="K9" s="15"/>
      <c r="L9" s="15"/>
      <c r="M9" s="15"/>
      <c r="N9" s="15"/>
      <c r="O9" s="15"/>
      <c r="P9" s="15"/>
      <c r="Q9" s="15"/>
      <c r="R9" s="15"/>
      <c r="S9" s="15"/>
      <c r="T9" s="15"/>
      <c r="U9" s="15"/>
      <c r="V9" s="15"/>
      <c r="W9" s="15"/>
      <c r="X9" s="15"/>
      <c r="Y9" s="15"/>
      <c r="Z9" s="15"/>
    </row>
    <row r="10" spans="1:26">
      <c r="A10" s="15"/>
      <c r="B10" s="15"/>
      <c r="C10" s="335" t="s">
        <v>209</v>
      </c>
      <c r="D10" s="336" t="s">
        <v>210</v>
      </c>
      <c r="E10" s="337"/>
      <c r="F10" s="337"/>
      <c r="G10" s="230"/>
      <c r="H10" s="125" t="s">
        <v>211</v>
      </c>
      <c r="I10" s="229"/>
      <c r="J10" s="230"/>
      <c r="K10" s="15"/>
      <c r="L10" s="15"/>
      <c r="M10" s="15"/>
      <c r="N10" s="15"/>
      <c r="O10" s="15"/>
      <c r="P10" s="15"/>
      <c r="Q10" s="15"/>
      <c r="R10" s="15"/>
      <c r="S10" s="15"/>
      <c r="T10" s="15"/>
      <c r="U10" s="15"/>
      <c r="V10" s="15"/>
      <c r="W10" s="15"/>
      <c r="X10" s="15"/>
      <c r="Y10" s="15"/>
      <c r="Z10" s="15"/>
    </row>
    <row r="11" spans="1:26" ht="45.75" customHeight="1">
      <c r="A11" s="15"/>
      <c r="B11" s="15"/>
      <c r="C11" s="239"/>
      <c r="D11" s="126" t="s">
        <v>212</v>
      </c>
      <c r="E11" s="127" t="s">
        <v>213</v>
      </c>
      <c r="F11" s="127" t="s">
        <v>214</v>
      </c>
      <c r="G11" s="128" t="s">
        <v>155</v>
      </c>
      <c r="H11" s="129" t="s">
        <v>215</v>
      </c>
      <c r="I11" s="338" t="s">
        <v>216</v>
      </c>
      <c r="J11" s="224"/>
      <c r="K11" s="15"/>
      <c r="L11" s="15"/>
      <c r="M11" s="15"/>
      <c r="N11" s="15"/>
      <c r="O11" s="15"/>
      <c r="P11" s="15"/>
      <c r="Q11" s="15"/>
      <c r="R11" s="15"/>
      <c r="S11" s="15"/>
      <c r="T11" s="15"/>
      <c r="U11" s="15"/>
      <c r="V11" s="15"/>
      <c r="W11" s="15"/>
      <c r="X11" s="15"/>
      <c r="Y11" s="15"/>
      <c r="Z11" s="15"/>
    </row>
    <row r="12" spans="1:26">
      <c r="A12" s="15"/>
      <c r="B12" s="15"/>
      <c r="C12" s="130" t="s">
        <v>9</v>
      </c>
      <c r="D12" s="131">
        <f>'CO_Attainment for Unit Tests'!D109</f>
        <v>3</v>
      </c>
      <c r="E12" s="132">
        <f>'CO_attain_SLA_FA-PR_SA-PR'!C111</f>
        <v>3</v>
      </c>
      <c r="F12" s="132">
        <f>'CO_attain_SLA_FA-PR_SA-PR'!C110</f>
        <v>3</v>
      </c>
      <c r="G12" s="132">
        <f>'CO_attain_SLA_FA-PR_SA-PR'!C112</f>
        <v>3</v>
      </c>
      <c r="H12" s="133">
        <f>'CO_attainment for FA-TH ESE'!C110</f>
        <v>1</v>
      </c>
      <c r="I12" s="328">
        <f>'CO_attainment for Indirect'!C91</f>
        <v>0</v>
      </c>
      <c r="J12" s="290"/>
      <c r="K12" s="15"/>
      <c r="L12" s="15"/>
      <c r="M12" s="15"/>
      <c r="N12" s="15"/>
      <c r="O12" s="15"/>
      <c r="P12" s="15"/>
      <c r="Q12" s="15"/>
      <c r="R12" s="15"/>
      <c r="S12" s="15"/>
      <c r="T12" s="15"/>
      <c r="U12" s="15"/>
      <c r="V12" s="15"/>
      <c r="W12" s="15"/>
      <c r="X12" s="15"/>
      <c r="Y12" s="15"/>
      <c r="Z12" s="15"/>
    </row>
    <row r="13" spans="1:26">
      <c r="A13" s="15"/>
      <c r="B13" s="15"/>
      <c r="C13" s="134" t="s">
        <v>11</v>
      </c>
      <c r="D13" s="135">
        <f>'CO_Attainment for Unit Tests'!E109</f>
        <v>2</v>
      </c>
      <c r="E13" s="136">
        <f t="shared" ref="E13:E17" si="0">$E12</f>
        <v>3</v>
      </c>
      <c r="F13" s="136">
        <f t="shared" ref="F13:F17" si="1">$F12</f>
        <v>3</v>
      </c>
      <c r="G13" s="136">
        <f t="shared" ref="G13:G17" si="2">$G12</f>
        <v>3</v>
      </c>
      <c r="H13" s="137">
        <f t="shared" ref="H13:H17" si="3">$H12</f>
        <v>1</v>
      </c>
      <c r="I13" s="327">
        <f t="shared" ref="I13:I17" si="4">$I12</f>
        <v>0</v>
      </c>
      <c r="J13" s="276"/>
      <c r="K13" s="15"/>
      <c r="L13" s="15"/>
      <c r="M13" s="15"/>
      <c r="N13" s="15"/>
      <c r="O13" s="15"/>
      <c r="P13" s="15"/>
      <c r="Q13" s="15"/>
      <c r="R13" s="15"/>
      <c r="S13" s="15"/>
      <c r="T13" s="15"/>
      <c r="U13" s="15"/>
      <c r="V13" s="15"/>
      <c r="W13" s="15"/>
      <c r="X13" s="15"/>
      <c r="Y13" s="15"/>
      <c r="Z13" s="15"/>
    </row>
    <row r="14" spans="1:26">
      <c r="A14" s="15"/>
      <c r="B14" s="15"/>
      <c r="C14" s="134" t="s">
        <v>13</v>
      </c>
      <c r="D14" s="135">
        <f>'CO_Attainment for Unit Tests'!F109</f>
        <v>3</v>
      </c>
      <c r="E14" s="136">
        <f t="shared" si="0"/>
        <v>3</v>
      </c>
      <c r="F14" s="136">
        <f t="shared" si="1"/>
        <v>3</v>
      </c>
      <c r="G14" s="136">
        <f t="shared" si="2"/>
        <v>3</v>
      </c>
      <c r="H14" s="137">
        <f t="shared" si="3"/>
        <v>1</v>
      </c>
      <c r="I14" s="327">
        <f t="shared" si="4"/>
        <v>0</v>
      </c>
      <c r="J14" s="276"/>
      <c r="K14" s="15"/>
      <c r="L14" s="15"/>
      <c r="M14" s="15"/>
      <c r="N14" s="15"/>
      <c r="O14" s="15"/>
      <c r="P14" s="15"/>
      <c r="Q14" s="15"/>
      <c r="R14" s="15"/>
      <c r="S14" s="15"/>
      <c r="T14" s="15"/>
      <c r="U14" s="15"/>
      <c r="V14" s="15"/>
      <c r="W14" s="15"/>
      <c r="X14" s="15"/>
      <c r="Y14" s="15"/>
      <c r="Z14" s="15"/>
    </row>
    <row r="15" spans="1:26">
      <c r="A15" s="15"/>
      <c r="B15" s="15"/>
      <c r="C15" s="134" t="s">
        <v>15</v>
      </c>
      <c r="D15" s="135">
        <f>'CO_Attainment for Unit Tests'!G109</f>
        <v>3</v>
      </c>
      <c r="E15" s="136">
        <f t="shared" si="0"/>
        <v>3</v>
      </c>
      <c r="F15" s="136">
        <f t="shared" si="1"/>
        <v>3</v>
      </c>
      <c r="G15" s="136">
        <f t="shared" si="2"/>
        <v>3</v>
      </c>
      <c r="H15" s="137">
        <f t="shared" si="3"/>
        <v>1</v>
      </c>
      <c r="I15" s="327">
        <f t="shared" si="4"/>
        <v>0</v>
      </c>
      <c r="J15" s="276"/>
      <c r="K15" s="15"/>
      <c r="L15" s="15"/>
      <c r="M15" s="15"/>
      <c r="N15" s="15"/>
      <c r="O15" s="15"/>
      <c r="P15" s="15"/>
      <c r="Q15" s="15"/>
      <c r="R15" s="15"/>
      <c r="S15" s="15"/>
      <c r="T15" s="15"/>
      <c r="U15" s="15"/>
      <c r="V15" s="15"/>
      <c r="W15" s="15"/>
      <c r="X15" s="15"/>
      <c r="Y15" s="15"/>
      <c r="Z15" s="15"/>
    </row>
    <row r="16" spans="1:26">
      <c r="A16" s="15"/>
      <c r="B16" s="15"/>
      <c r="C16" s="134" t="s">
        <v>17</v>
      </c>
      <c r="D16" s="135">
        <f>'CO_Attainment for Unit Tests'!H109</f>
        <v>3</v>
      </c>
      <c r="E16" s="136">
        <f t="shared" si="0"/>
        <v>3</v>
      </c>
      <c r="F16" s="136">
        <f t="shared" si="1"/>
        <v>3</v>
      </c>
      <c r="G16" s="136">
        <f t="shared" si="2"/>
        <v>3</v>
      </c>
      <c r="H16" s="137">
        <f t="shared" si="3"/>
        <v>1</v>
      </c>
      <c r="I16" s="327">
        <f t="shared" si="4"/>
        <v>0</v>
      </c>
      <c r="J16" s="276"/>
      <c r="K16" s="15"/>
      <c r="L16" s="15"/>
      <c r="M16" s="15"/>
      <c r="N16" s="15"/>
      <c r="O16" s="15"/>
      <c r="P16" s="15"/>
      <c r="Q16" s="15"/>
      <c r="R16" s="15"/>
      <c r="S16" s="15"/>
      <c r="T16" s="15"/>
      <c r="U16" s="15"/>
      <c r="V16" s="15"/>
      <c r="W16" s="15"/>
      <c r="X16" s="15"/>
      <c r="Y16" s="15"/>
      <c r="Z16" s="15"/>
    </row>
    <row r="17" spans="1:26">
      <c r="A17" s="15"/>
      <c r="B17" s="15"/>
      <c r="C17" s="138" t="s">
        <v>200</v>
      </c>
      <c r="D17" s="139">
        <f>'CO_Attainment for Unit Tests'!I109</f>
        <v>0</v>
      </c>
      <c r="E17" s="140">
        <f t="shared" si="0"/>
        <v>3</v>
      </c>
      <c r="F17" s="140">
        <f t="shared" si="1"/>
        <v>3</v>
      </c>
      <c r="G17" s="140">
        <f t="shared" si="2"/>
        <v>3</v>
      </c>
      <c r="H17" s="141">
        <f t="shared" si="3"/>
        <v>1</v>
      </c>
      <c r="I17" s="327">
        <f t="shared" si="4"/>
        <v>0</v>
      </c>
      <c r="J17" s="276"/>
      <c r="K17" s="15"/>
      <c r="L17" s="15"/>
      <c r="M17" s="15"/>
      <c r="N17" s="15"/>
      <c r="O17" s="15"/>
      <c r="P17" s="15"/>
      <c r="Q17" s="15"/>
      <c r="R17" s="15"/>
      <c r="S17" s="15"/>
      <c r="T17" s="15"/>
      <c r="U17" s="15"/>
      <c r="V17" s="15"/>
      <c r="W17" s="15"/>
      <c r="X17" s="15"/>
      <c r="Y17" s="15"/>
      <c r="Z17" s="15"/>
    </row>
    <row r="18" spans="1:26">
      <c r="A18" s="15"/>
      <c r="B18" s="15"/>
      <c r="C18" s="130" t="s">
        <v>217</v>
      </c>
      <c r="D18" s="131">
        <f t="shared" ref="D18:I18" si="5">ROUND(AVERAGE(D12:D17),2)</f>
        <v>2.33</v>
      </c>
      <c r="E18" s="132">
        <f t="shared" si="5"/>
        <v>3</v>
      </c>
      <c r="F18" s="132">
        <f t="shared" si="5"/>
        <v>3</v>
      </c>
      <c r="G18" s="132">
        <f t="shared" si="5"/>
        <v>3</v>
      </c>
      <c r="H18" s="133">
        <f t="shared" si="5"/>
        <v>1</v>
      </c>
      <c r="I18" s="328">
        <f t="shared" si="5"/>
        <v>0</v>
      </c>
      <c r="J18" s="290"/>
      <c r="K18" s="15"/>
      <c r="L18" s="15"/>
      <c r="M18" s="15"/>
      <c r="N18" s="15"/>
      <c r="O18" s="15"/>
      <c r="P18" s="15"/>
      <c r="Q18" s="15"/>
      <c r="R18" s="15"/>
      <c r="S18" s="15"/>
      <c r="T18" s="15"/>
      <c r="U18" s="15"/>
      <c r="V18" s="15"/>
      <c r="W18" s="15"/>
      <c r="X18" s="15"/>
      <c r="Y18" s="15"/>
      <c r="Z18" s="15"/>
    </row>
    <row r="19" spans="1:26" ht="27" customHeight="1">
      <c r="A19" s="15"/>
      <c r="B19" s="15"/>
      <c r="C19" s="142" t="s">
        <v>218</v>
      </c>
      <c r="D19" s="143">
        <v>10</v>
      </c>
      <c r="E19" s="143">
        <v>10</v>
      </c>
      <c r="F19" s="143">
        <v>10</v>
      </c>
      <c r="G19" s="143">
        <v>10</v>
      </c>
      <c r="H19" s="143">
        <v>60</v>
      </c>
      <c r="I19" s="329">
        <v>100</v>
      </c>
      <c r="J19" s="251"/>
      <c r="K19" s="15"/>
      <c r="L19" s="15"/>
      <c r="M19" s="15"/>
      <c r="N19" s="15"/>
      <c r="O19" s="15"/>
      <c r="P19" s="15"/>
      <c r="Q19" s="15"/>
      <c r="R19" s="15"/>
      <c r="S19" s="15"/>
      <c r="T19" s="15"/>
      <c r="U19" s="15"/>
      <c r="V19" s="15"/>
      <c r="W19" s="15"/>
      <c r="X19" s="15"/>
      <c r="Y19" s="15"/>
      <c r="Z19" s="15"/>
    </row>
    <row r="20" spans="1:26" ht="31.5" customHeight="1">
      <c r="A20" s="15"/>
      <c r="B20" s="15"/>
      <c r="C20" s="144" t="s">
        <v>219</v>
      </c>
      <c r="D20" s="139">
        <f t="shared" ref="D20:I20" si="6">D18*D19/100</f>
        <v>0.23300000000000001</v>
      </c>
      <c r="E20" s="139">
        <f t="shared" si="6"/>
        <v>0.3</v>
      </c>
      <c r="F20" s="139">
        <f t="shared" si="6"/>
        <v>0.3</v>
      </c>
      <c r="G20" s="139">
        <f t="shared" si="6"/>
        <v>0.3</v>
      </c>
      <c r="H20" s="139">
        <f t="shared" si="6"/>
        <v>0.6</v>
      </c>
      <c r="I20" s="330">
        <f t="shared" si="6"/>
        <v>0</v>
      </c>
      <c r="J20" s="264"/>
      <c r="K20" s="15"/>
      <c r="L20" s="15"/>
      <c r="M20" s="15"/>
      <c r="N20" s="15"/>
      <c r="O20" s="15"/>
      <c r="P20" s="15"/>
      <c r="Q20" s="15"/>
      <c r="R20" s="15"/>
      <c r="S20" s="15"/>
      <c r="T20" s="15"/>
      <c r="U20" s="15"/>
      <c r="V20" s="15"/>
      <c r="W20" s="15"/>
      <c r="X20" s="15"/>
      <c r="Y20" s="15"/>
      <c r="Z20" s="15"/>
    </row>
    <row r="21" spans="1:26" ht="48" customHeight="1">
      <c r="A21" s="15"/>
      <c r="B21" s="15"/>
      <c r="C21" s="331" t="s">
        <v>220</v>
      </c>
      <c r="D21" s="223"/>
      <c r="E21" s="223"/>
      <c r="F21" s="223"/>
      <c r="G21" s="224"/>
      <c r="H21" s="145">
        <f>SUM(D20:H20)</f>
        <v>1.7330000000000001</v>
      </c>
      <c r="I21" s="146" t="s">
        <v>221</v>
      </c>
      <c r="J21" s="145">
        <f>I20</f>
        <v>0</v>
      </c>
      <c r="K21" s="15"/>
      <c r="L21" s="15"/>
      <c r="M21" s="15"/>
      <c r="N21" s="15"/>
      <c r="O21" s="15"/>
      <c r="P21" s="15"/>
      <c r="Q21" s="15"/>
      <c r="R21" s="15"/>
      <c r="S21" s="15"/>
      <c r="T21" s="15"/>
      <c r="U21" s="15"/>
      <c r="V21" s="15"/>
      <c r="W21" s="15"/>
      <c r="X21" s="15"/>
      <c r="Y21" s="15"/>
      <c r="Z21" s="15"/>
    </row>
    <row r="22" spans="1:26" ht="22.5" customHeight="1">
      <c r="A22" s="15"/>
      <c r="B22" s="15"/>
      <c r="C22" s="331" t="s">
        <v>222</v>
      </c>
      <c r="D22" s="223"/>
      <c r="E22" s="223"/>
      <c r="F22" s="223"/>
      <c r="G22" s="224"/>
      <c r="H22" s="147">
        <v>0.8</v>
      </c>
      <c r="I22" s="148" t="s">
        <v>223</v>
      </c>
      <c r="J22" s="147">
        <v>0.2</v>
      </c>
      <c r="K22" s="15"/>
      <c r="L22" s="15"/>
      <c r="M22" s="15"/>
      <c r="N22" s="15"/>
      <c r="O22" s="15"/>
      <c r="P22" s="15"/>
      <c r="Q22" s="15"/>
      <c r="R22" s="15"/>
      <c r="S22" s="15"/>
      <c r="T22" s="15"/>
      <c r="U22" s="15"/>
      <c r="V22" s="15"/>
      <c r="W22" s="15"/>
      <c r="X22" s="15"/>
      <c r="Y22" s="15"/>
      <c r="Z22" s="15"/>
    </row>
    <row r="23" spans="1:26" ht="45" customHeight="1">
      <c r="A23" s="15"/>
      <c r="B23" s="15"/>
      <c r="C23" s="331" t="s">
        <v>224</v>
      </c>
      <c r="D23" s="223"/>
      <c r="E23" s="223"/>
      <c r="F23" s="223"/>
      <c r="G23" s="224"/>
      <c r="H23" s="145">
        <f>0.8*H21</f>
        <v>1.3864000000000001</v>
      </c>
      <c r="I23" s="146" t="s">
        <v>225</v>
      </c>
      <c r="J23" s="148">
        <f>0.2*J21</f>
        <v>0</v>
      </c>
      <c r="K23" s="15"/>
      <c r="L23" s="15"/>
      <c r="M23" s="15"/>
      <c r="N23" s="15"/>
      <c r="O23" s="15"/>
      <c r="P23" s="15"/>
      <c r="Q23" s="15"/>
      <c r="R23" s="15"/>
      <c r="S23" s="15"/>
      <c r="T23" s="15"/>
      <c r="U23" s="15"/>
      <c r="V23" s="15"/>
      <c r="W23" s="15"/>
      <c r="X23" s="15"/>
      <c r="Y23" s="15"/>
      <c r="Z23" s="15"/>
    </row>
    <row r="24" spans="1:26" ht="25.5" customHeight="1">
      <c r="A24" s="15"/>
      <c r="B24" s="15"/>
      <c r="C24" s="326" t="s">
        <v>226</v>
      </c>
      <c r="D24" s="223"/>
      <c r="E24" s="223"/>
      <c r="F24" s="223"/>
      <c r="G24" s="223"/>
      <c r="H24" s="224"/>
      <c r="I24" s="149">
        <f>ROUNDUP(H23+J23,2)</f>
        <v>1.39</v>
      </c>
      <c r="J24" s="150"/>
      <c r="K24" s="15"/>
      <c r="L24" s="15"/>
      <c r="M24" s="15"/>
      <c r="N24" s="15"/>
      <c r="O24" s="15"/>
      <c r="P24" s="15"/>
      <c r="Q24" s="15"/>
      <c r="R24" s="15"/>
      <c r="S24" s="15"/>
      <c r="T24" s="15"/>
      <c r="U24" s="15"/>
      <c r="V24" s="15"/>
      <c r="W24" s="15"/>
      <c r="X24" s="15"/>
      <c r="Y24" s="15"/>
      <c r="Z24" s="15"/>
    </row>
    <row r="25" spans="1:26"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75" customHeight="1">
      <c r="A30" s="15"/>
      <c r="B30" s="15"/>
      <c r="C30" s="15"/>
      <c r="D30" s="15"/>
      <c r="E30" s="15"/>
      <c r="F30" s="15"/>
      <c r="G30" s="15" t="s">
        <v>227</v>
      </c>
      <c r="H30" s="15"/>
      <c r="I30" s="15"/>
      <c r="J30" s="15"/>
      <c r="K30" s="15"/>
      <c r="L30" s="15"/>
      <c r="M30" s="15"/>
      <c r="N30" s="15"/>
      <c r="O30" s="15"/>
      <c r="P30" s="15"/>
      <c r="Q30" s="15"/>
      <c r="R30" s="15"/>
      <c r="S30" s="15"/>
      <c r="T30" s="15"/>
      <c r="U30" s="15"/>
      <c r="V30" s="15"/>
      <c r="W30" s="15"/>
      <c r="X30" s="15"/>
      <c r="Y30" s="15"/>
      <c r="Z30" s="15"/>
    </row>
    <row r="31" spans="1:26" ht="15.75" customHeight="1">
      <c r="A31" s="15"/>
      <c r="B31" s="15"/>
      <c r="C31" s="15"/>
      <c r="D31" s="15"/>
      <c r="E31" s="15"/>
      <c r="F31" s="15"/>
      <c r="G31" s="15" t="s">
        <v>228</v>
      </c>
      <c r="H31" s="15"/>
      <c r="I31" s="15"/>
      <c r="J31" s="15"/>
      <c r="K31" s="15"/>
      <c r="L31" s="15"/>
      <c r="M31" s="15"/>
      <c r="N31" s="15"/>
      <c r="O31" s="15"/>
      <c r="P31" s="15"/>
      <c r="Q31" s="15"/>
      <c r="R31" s="15"/>
      <c r="S31" s="15"/>
      <c r="T31" s="15"/>
      <c r="U31" s="15"/>
      <c r="V31" s="15"/>
      <c r="W31" s="15"/>
      <c r="X31" s="15"/>
      <c r="Y31" s="15"/>
      <c r="Z31" s="15"/>
    </row>
    <row r="32" spans="1:26" ht="60.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48"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48"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48"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48"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48"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48"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C8:J8"/>
    <mergeCell ref="C9:H9"/>
    <mergeCell ref="I9:J10"/>
    <mergeCell ref="C10:C11"/>
    <mergeCell ref="D10:G10"/>
    <mergeCell ref="I11:J11"/>
    <mergeCell ref="I12:J12"/>
    <mergeCell ref="I20:J20"/>
    <mergeCell ref="C21:G21"/>
    <mergeCell ref="C22:G22"/>
    <mergeCell ref="C23:G23"/>
    <mergeCell ref="C24:H24"/>
    <mergeCell ref="I13:J13"/>
    <mergeCell ref="I14:J14"/>
    <mergeCell ref="I15:J15"/>
    <mergeCell ref="I16:J16"/>
    <mergeCell ref="I17:J17"/>
    <mergeCell ref="I18:J18"/>
    <mergeCell ref="I19:J19"/>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00"/>
  </sheetPr>
  <dimension ref="A1:Z1000"/>
  <sheetViews>
    <sheetView showGridLines="0" topLeftCell="A14" workbookViewId="0">
      <selection activeCell="D26" sqref="D26"/>
    </sheetView>
  </sheetViews>
  <sheetFormatPr defaultColWidth="14.42578125" defaultRowHeight="15" customHeight="1"/>
  <cols>
    <col min="1" max="1" width="9.140625" customWidth="1"/>
    <col min="2" max="2" width="7.140625" customWidth="1"/>
    <col min="3" max="3" width="19" customWidth="1"/>
    <col min="4" max="4" width="26.85546875" customWidth="1"/>
    <col min="5" max="5" width="10.28515625" customWidth="1"/>
    <col min="6" max="6" width="7.28515625" customWidth="1"/>
    <col min="7" max="7" width="9.7109375" customWidth="1"/>
    <col min="8" max="8" width="12.7109375" customWidth="1"/>
    <col min="9" max="9" width="11.7109375" customWidth="1"/>
    <col min="10" max="10" width="14.140625" customWidth="1"/>
    <col min="11" max="11" width="7.85546875" customWidth="1"/>
    <col min="12" max="26" width="9.140625" customWidth="1"/>
  </cols>
  <sheetData>
    <row r="1" spans="1:26" ht="23.25">
      <c r="A1" s="15"/>
      <c r="B1" s="15"/>
      <c r="C1" s="15"/>
      <c r="D1" s="15"/>
      <c r="E1" s="124" t="s">
        <v>205</v>
      </c>
      <c r="F1" s="15"/>
      <c r="G1" s="15"/>
      <c r="H1" s="15"/>
      <c r="I1" s="15"/>
      <c r="J1" s="15"/>
      <c r="K1" s="15"/>
      <c r="L1" s="15"/>
      <c r="M1" s="15"/>
      <c r="N1" s="15"/>
      <c r="O1" s="15"/>
      <c r="P1" s="15"/>
      <c r="Q1" s="15"/>
      <c r="R1" s="15"/>
      <c r="S1" s="15"/>
      <c r="T1" s="15"/>
      <c r="U1" s="15"/>
      <c r="V1" s="15"/>
      <c r="W1" s="15"/>
      <c r="X1" s="15"/>
      <c r="Y1" s="15"/>
      <c r="Z1" s="15"/>
    </row>
    <row r="2" spans="1:26">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c r="A3" s="15"/>
      <c r="B3" s="33"/>
      <c r="C3" s="34" t="s">
        <v>1</v>
      </c>
      <c r="D3" s="97" t="str">
        <f>'CO_attainment for Indirect'!D4</f>
        <v>Data Structures Using _C</v>
      </c>
      <c r="E3" s="15"/>
      <c r="F3" s="15"/>
      <c r="G3" s="15"/>
      <c r="H3" s="15"/>
      <c r="I3" s="15"/>
      <c r="J3" s="15"/>
      <c r="K3" s="15"/>
      <c r="L3" s="15"/>
      <c r="M3" s="15"/>
      <c r="N3" s="15"/>
      <c r="O3" s="15"/>
      <c r="P3" s="15"/>
      <c r="Q3" s="15"/>
      <c r="R3" s="15"/>
      <c r="S3" s="15"/>
      <c r="T3" s="15"/>
      <c r="U3" s="15"/>
      <c r="V3" s="15"/>
      <c r="W3" s="15"/>
      <c r="X3" s="15"/>
      <c r="Y3" s="15"/>
      <c r="Z3" s="15"/>
    </row>
    <row r="4" spans="1:26">
      <c r="A4" s="15"/>
      <c r="B4" s="33"/>
      <c r="C4" s="34" t="s">
        <v>3</v>
      </c>
      <c r="D4" s="97">
        <f>'CO_attainment for Indirect'!D5</f>
        <v>22317</v>
      </c>
      <c r="E4" s="15"/>
      <c r="F4" s="15"/>
      <c r="G4" s="15"/>
      <c r="H4" s="15"/>
      <c r="I4" s="15"/>
      <c r="J4" s="15"/>
      <c r="K4" s="15"/>
      <c r="L4" s="15"/>
      <c r="M4" s="15"/>
      <c r="N4" s="15"/>
      <c r="O4" s="15"/>
      <c r="P4" s="15"/>
      <c r="Q4" s="15"/>
      <c r="R4" s="15"/>
      <c r="S4" s="15"/>
      <c r="T4" s="15"/>
      <c r="U4" s="15"/>
      <c r="V4" s="15"/>
      <c r="W4" s="15"/>
      <c r="X4" s="15"/>
      <c r="Y4" s="15"/>
      <c r="Z4" s="15"/>
    </row>
    <row r="5" spans="1:26">
      <c r="A5" s="15"/>
      <c r="B5" s="33"/>
      <c r="C5" s="34" t="s">
        <v>54</v>
      </c>
      <c r="D5" s="97" t="str">
        <f>'CO_attainment for Indirect'!D6</f>
        <v>3rd SEM(CO3I SCHEME)</v>
      </c>
      <c r="E5" s="15"/>
      <c r="F5" s="15"/>
      <c r="G5" s="15"/>
      <c r="H5" s="15"/>
      <c r="I5" s="15"/>
      <c r="J5" s="15"/>
      <c r="K5" s="15"/>
      <c r="L5" s="15"/>
      <c r="M5" s="15"/>
      <c r="N5" s="15"/>
      <c r="O5" s="15"/>
      <c r="P5" s="15"/>
      <c r="Q5" s="15"/>
      <c r="R5" s="15"/>
      <c r="S5" s="15"/>
      <c r="T5" s="15"/>
      <c r="U5" s="15"/>
      <c r="V5" s="15"/>
      <c r="W5" s="15"/>
      <c r="X5" s="15"/>
      <c r="Y5" s="15"/>
      <c r="Z5" s="15"/>
    </row>
    <row r="6" spans="1:26">
      <c r="A6" s="15"/>
      <c r="B6" s="33"/>
      <c r="C6" s="34" t="s">
        <v>152</v>
      </c>
      <c r="D6" s="97" t="str">
        <f>'CO_attain_SLA_FA-PR_SA-PR'!D7</f>
        <v>2023-24</v>
      </c>
      <c r="E6" s="15"/>
      <c r="F6" s="15"/>
      <c r="G6" s="15"/>
      <c r="H6" s="15"/>
      <c r="I6" s="15"/>
      <c r="J6" s="15"/>
      <c r="K6" s="15"/>
      <c r="L6" s="15"/>
      <c r="M6" s="15"/>
      <c r="N6" s="15"/>
      <c r="O6" s="15"/>
      <c r="P6" s="15"/>
      <c r="Q6" s="15"/>
      <c r="R6" s="15"/>
      <c r="S6" s="15"/>
      <c r="T6" s="15"/>
      <c r="U6" s="15"/>
      <c r="V6" s="15"/>
      <c r="W6" s="15"/>
      <c r="X6" s="15"/>
      <c r="Y6" s="15"/>
      <c r="Z6" s="15"/>
    </row>
    <row r="7" spans="1:26">
      <c r="A7" s="15"/>
      <c r="B7" s="33"/>
      <c r="C7" s="34"/>
      <c r="D7" s="101"/>
      <c r="E7" s="15"/>
      <c r="F7" s="15"/>
      <c r="G7" s="15"/>
      <c r="H7" s="15"/>
      <c r="I7" s="15"/>
      <c r="J7" s="15"/>
      <c r="K7" s="15"/>
      <c r="L7" s="15"/>
      <c r="M7" s="15"/>
      <c r="N7" s="15"/>
      <c r="O7" s="15"/>
      <c r="P7" s="15"/>
      <c r="Q7" s="15"/>
      <c r="R7" s="15"/>
      <c r="S7" s="15"/>
      <c r="T7" s="15"/>
      <c r="U7" s="15"/>
      <c r="V7" s="15"/>
      <c r="W7" s="15"/>
      <c r="X7" s="15"/>
      <c r="Y7" s="15"/>
      <c r="Z7" s="15"/>
    </row>
    <row r="8" spans="1:26">
      <c r="A8" s="15"/>
      <c r="B8" s="33"/>
      <c r="C8" s="353" t="s">
        <v>229</v>
      </c>
      <c r="D8" s="354"/>
      <c r="E8" s="356" t="s">
        <v>230</v>
      </c>
      <c r="F8" s="315"/>
      <c r="G8" s="296"/>
      <c r="H8" s="151" t="s">
        <v>154</v>
      </c>
      <c r="I8" s="151" t="s">
        <v>155</v>
      </c>
      <c r="J8" s="151" t="s">
        <v>231</v>
      </c>
      <c r="K8" s="357" t="s">
        <v>232</v>
      </c>
      <c r="L8" s="15"/>
      <c r="M8" s="15"/>
      <c r="N8" s="15"/>
      <c r="O8" s="15"/>
      <c r="P8" s="15"/>
      <c r="Q8" s="15"/>
      <c r="R8" s="15"/>
      <c r="S8" s="15"/>
      <c r="T8" s="15"/>
      <c r="U8" s="15"/>
      <c r="V8" s="15"/>
      <c r="W8" s="15"/>
      <c r="X8" s="15"/>
      <c r="Y8" s="15"/>
      <c r="Z8" s="15"/>
    </row>
    <row r="9" spans="1:26" ht="30">
      <c r="A9" s="15"/>
      <c r="B9" s="33"/>
      <c r="C9" s="229"/>
      <c r="D9" s="355"/>
      <c r="E9" s="152" t="s">
        <v>233</v>
      </c>
      <c r="F9" s="152" t="s">
        <v>234</v>
      </c>
      <c r="G9" s="152" t="s">
        <v>235</v>
      </c>
      <c r="H9" s="152" t="s">
        <v>213</v>
      </c>
      <c r="I9" s="152" t="s">
        <v>236</v>
      </c>
      <c r="J9" s="153" t="s">
        <v>215</v>
      </c>
      <c r="K9" s="358"/>
      <c r="L9" s="15"/>
      <c r="M9" s="15"/>
      <c r="N9" s="15"/>
      <c r="O9" s="15"/>
      <c r="P9" s="15"/>
      <c r="Q9" s="15"/>
      <c r="R9" s="15"/>
      <c r="S9" s="15"/>
      <c r="T9" s="15"/>
      <c r="U9" s="15"/>
      <c r="V9" s="15"/>
      <c r="W9" s="15"/>
      <c r="X9" s="15"/>
      <c r="Y9" s="15"/>
      <c r="Z9" s="15"/>
    </row>
    <row r="10" spans="1:26" ht="19.5" customHeight="1">
      <c r="A10" s="15"/>
      <c r="B10" s="33"/>
      <c r="C10" s="359" t="s">
        <v>237</v>
      </c>
      <c r="D10" s="296"/>
      <c r="E10" s="360">
        <v>20</v>
      </c>
      <c r="F10" s="296"/>
      <c r="G10" s="154">
        <v>10</v>
      </c>
      <c r="H10" s="154">
        <v>25</v>
      </c>
      <c r="I10" s="154">
        <v>25</v>
      </c>
      <c r="J10" s="154">
        <v>70</v>
      </c>
      <c r="K10" s="133">
        <f t="shared" ref="K10:K11" si="0">SUM(E10:J10)</f>
        <v>150</v>
      </c>
      <c r="L10" s="15"/>
      <c r="M10" s="15"/>
      <c r="N10" s="15"/>
      <c r="O10" s="15"/>
      <c r="P10" s="15"/>
      <c r="Q10" s="15"/>
      <c r="R10" s="15"/>
      <c r="S10" s="15"/>
      <c r="T10" s="15"/>
      <c r="U10" s="15"/>
      <c r="V10" s="15"/>
      <c r="W10" s="15"/>
      <c r="X10" s="15"/>
      <c r="Y10" s="15"/>
      <c r="Z10" s="15"/>
    </row>
    <row r="11" spans="1:26" ht="17.25" customHeight="1">
      <c r="A11" s="15"/>
      <c r="B11" s="33"/>
      <c r="C11" s="346" t="s">
        <v>238</v>
      </c>
      <c r="D11" s="285"/>
      <c r="E11" s="347">
        <f>(E10/$K10)*100</f>
        <v>13.333333333333334</v>
      </c>
      <c r="F11" s="285"/>
      <c r="G11" s="155">
        <f t="shared" ref="G11:J11" si="1">(G10/$K10)*100</f>
        <v>6.666666666666667</v>
      </c>
      <c r="H11" s="155">
        <f t="shared" si="1"/>
        <v>16.666666666666664</v>
      </c>
      <c r="I11" s="155">
        <f t="shared" si="1"/>
        <v>16.666666666666664</v>
      </c>
      <c r="J11" s="155">
        <f t="shared" si="1"/>
        <v>46.666666666666664</v>
      </c>
      <c r="K11" s="156">
        <f t="shared" si="0"/>
        <v>100</v>
      </c>
      <c r="L11" s="15"/>
      <c r="M11" s="15"/>
      <c r="N11" s="15"/>
      <c r="O11" s="15"/>
      <c r="P11" s="15"/>
      <c r="Q11" s="15"/>
      <c r="R11" s="15"/>
      <c r="S11" s="15"/>
      <c r="T11" s="15"/>
      <c r="U11" s="15"/>
      <c r="V11" s="15"/>
      <c r="W11" s="15"/>
      <c r="X11" s="15"/>
      <c r="Y11" s="15"/>
      <c r="Z11" s="15"/>
    </row>
    <row r="12" spans="1:26">
      <c r="A12" s="15"/>
      <c r="B12" s="33"/>
      <c r="C12" s="34"/>
      <c r="D12" s="101"/>
      <c r="E12" s="15"/>
      <c r="F12" s="15"/>
      <c r="G12" s="15"/>
      <c r="H12" s="15"/>
      <c r="I12" s="15"/>
      <c r="J12" s="15"/>
      <c r="K12" s="15"/>
      <c r="L12" s="15"/>
      <c r="M12" s="15"/>
      <c r="N12" s="15"/>
      <c r="O12" s="15"/>
      <c r="P12" s="15"/>
      <c r="Q12" s="15"/>
      <c r="R12" s="15"/>
      <c r="S12" s="15"/>
      <c r="T12" s="15"/>
      <c r="U12" s="15"/>
      <c r="V12" s="15"/>
      <c r="W12" s="15"/>
      <c r="X12" s="15"/>
      <c r="Y12" s="15"/>
      <c r="Z12" s="15"/>
    </row>
    <row r="13" spans="1:26">
      <c r="A13" s="15"/>
      <c r="B13" s="33"/>
      <c r="C13" s="34"/>
      <c r="D13" s="101"/>
      <c r="E13" s="15"/>
      <c r="F13" s="15"/>
      <c r="G13" s="15"/>
      <c r="H13" s="15"/>
      <c r="I13" s="15"/>
      <c r="J13" s="15"/>
      <c r="K13" s="15"/>
      <c r="L13" s="15"/>
      <c r="M13" s="15"/>
      <c r="N13" s="15"/>
      <c r="O13" s="15"/>
      <c r="P13" s="15"/>
      <c r="Q13" s="15"/>
      <c r="R13" s="15"/>
      <c r="S13" s="15"/>
      <c r="T13" s="15"/>
      <c r="U13" s="15"/>
      <c r="V13" s="15"/>
      <c r="W13" s="15"/>
      <c r="X13" s="15"/>
      <c r="Y13" s="15"/>
      <c r="Z13" s="15"/>
    </row>
    <row r="14" spans="1:26">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21">
      <c r="A15" s="15"/>
      <c r="B15" s="15"/>
      <c r="C15" s="348" t="s">
        <v>206</v>
      </c>
      <c r="D15" s="223"/>
      <c r="E15" s="223"/>
      <c r="F15" s="223"/>
      <c r="G15" s="223"/>
      <c r="H15" s="223"/>
      <c r="I15" s="223"/>
      <c r="J15" s="224"/>
      <c r="K15" s="15"/>
      <c r="L15" s="15"/>
      <c r="M15" s="15"/>
      <c r="N15" s="15"/>
      <c r="O15" s="15"/>
      <c r="P15" s="15"/>
      <c r="Q15" s="15"/>
      <c r="R15" s="15"/>
      <c r="S15" s="15"/>
      <c r="T15" s="15"/>
      <c r="U15" s="15"/>
      <c r="V15" s="15"/>
      <c r="W15" s="15"/>
      <c r="X15" s="15"/>
      <c r="Y15" s="15"/>
      <c r="Z15" s="15"/>
    </row>
    <row r="16" spans="1:26" ht="21">
      <c r="A16" s="15"/>
      <c r="B16" s="15"/>
      <c r="C16" s="349" t="s">
        <v>207</v>
      </c>
      <c r="D16" s="223"/>
      <c r="E16" s="223"/>
      <c r="F16" s="223"/>
      <c r="G16" s="223"/>
      <c r="H16" s="224"/>
      <c r="I16" s="350"/>
      <c r="J16" s="226"/>
      <c r="K16" s="15"/>
      <c r="L16" s="15"/>
      <c r="M16" s="15"/>
      <c r="N16" s="15"/>
      <c r="O16" s="15"/>
      <c r="P16" s="15"/>
      <c r="Q16" s="15"/>
      <c r="R16" s="15"/>
      <c r="S16" s="15"/>
      <c r="T16" s="15"/>
      <c r="U16" s="15"/>
      <c r="V16" s="15"/>
      <c r="W16" s="15"/>
      <c r="X16" s="15"/>
      <c r="Y16" s="15"/>
      <c r="Z16" s="15"/>
    </row>
    <row r="17" spans="1:26">
      <c r="A17" s="15"/>
      <c r="B17" s="15"/>
      <c r="C17" s="351" t="s">
        <v>239</v>
      </c>
      <c r="D17" s="157"/>
      <c r="E17" s="158" t="s">
        <v>210</v>
      </c>
      <c r="F17" s="159"/>
      <c r="G17" s="160"/>
      <c r="H17" s="161" t="s">
        <v>211</v>
      </c>
      <c r="I17" s="229"/>
      <c r="J17" s="230"/>
      <c r="K17" s="15"/>
      <c r="L17" s="15"/>
      <c r="M17" s="15"/>
      <c r="N17" s="15"/>
      <c r="O17" s="15"/>
      <c r="P17" s="15"/>
      <c r="Q17" s="15"/>
      <c r="R17" s="15"/>
      <c r="S17" s="15"/>
      <c r="T17" s="15"/>
      <c r="U17" s="15"/>
      <c r="V17" s="15"/>
      <c r="W17" s="15"/>
      <c r="X17" s="15"/>
      <c r="Y17" s="15"/>
      <c r="Z17" s="15"/>
    </row>
    <row r="18" spans="1:26" ht="45.75" customHeight="1">
      <c r="A18" s="15"/>
      <c r="B18" s="15"/>
      <c r="C18" s="239"/>
      <c r="D18" s="162" t="s">
        <v>212</v>
      </c>
      <c r="E18" s="163" t="s">
        <v>213</v>
      </c>
      <c r="F18" s="163" t="s">
        <v>214</v>
      </c>
      <c r="G18" s="164" t="s">
        <v>155</v>
      </c>
      <c r="H18" s="165" t="s">
        <v>215</v>
      </c>
      <c r="I18" s="352"/>
      <c r="J18" s="224"/>
      <c r="K18" s="15"/>
      <c r="L18" s="15"/>
      <c r="M18" s="15"/>
      <c r="N18" s="15"/>
      <c r="O18" s="15"/>
      <c r="P18" s="15"/>
      <c r="Q18" s="15"/>
      <c r="R18" s="15"/>
      <c r="S18" s="15"/>
      <c r="T18" s="15"/>
      <c r="U18" s="15"/>
      <c r="V18" s="15"/>
      <c r="W18" s="15"/>
      <c r="X18" s="15"/>
      <c r="Y18" s="15"/>
      <c r="Z18" s="15"/>
    </row>
    <row r="19" spans="1:26">
      <c r="A19" s="15"/>
      <c r="B19" s="15"/>
      <c r="C19" s="166" t="s">
        <v>9</v>
      </c>
      <c r="D19" s="167">
        <f>'CO_Attainment for Unit Tests'!D109</f>
        <v>3</v>
      </c>
      <c r="E19" s="151">
        <f>'CO_attain_SLA_FA-PR_SA-PR'!C111</f>
        <v>3</v>
      </c>
      <c r="F19" s="151">
        <f>'CO_attain_SLA_FA-PR_SA-PR'!C110</f>
        <v>3</v>
      </c>
      <c r="G19" s="151">
        <f>'CO_attain_SLA_FA-PR_SA-PR'!C112</f>
        <v>3</v>
      </c>
      <c r="H19" s="168">
        <f>'CO_attainment for FA-TH ESE'!C110</f>
        <v>1</v>
      </c>
      <c r="I19" s="342"/>
      <c r="J19" s="290"/>
      <c r="K19" s="15"/>
      <c r="L19" s="15"/>
      <c r="M19" s="15"/>
      <c r="N19" s="15"/>
      <c r="O19" s="15"/>
      <c r="P19" s="15"/>
      <c r="Q19" s="15"/>
      <c r="R19" s="15"/>
      <c r="S19" s="15"/>
      <c r="T19" s="15"/>
      <c r="U19" s="15"/>
      <c r="V19" s="15"/>
      <c r="W19" s="15"/>
      <c r="X19" s="15"/>
      <c r="Y19" s="15"/>
      <c r="Z19" s="15"/>
    </row>
    <row r="20" spans="1:26">
      <c r="A20" s="15"/>
      <c r="B20" s="15"/>
      <c r="C20" s="169" t="s">
        <v>11</v>
      </c>
      <c r="D20" s="170">
        <f>'CO_Attainment for Unit Tests'!E109</f>
        <v>2</v>
      </c>
      <c r="E20" s="171">
        <f t="shared" ref="E20:E24" si="2">$E19</f>
        <v>3</v>
      </c>
      <c r="F20" s="171">
        <f t="shared" ref="F20:F24" si="3">$F19</f>
        <v>3</v>
      </c>
      <c r="G20" s="171">
        <f t="shared" ref="G20:G24" si="4">$G19</f>
        <v>3</v>
      </c>
      <c r="H20" s="172">
        <f t="shared" ref="H20:H24" si="5">$H19</f>
        <v>1</v>
      </c>
      <c r="I20" s="341"/>
      <c r="J20" s="276"/>
      <c r="K20" s="15"/>
      <c r="L20" s="15"/>
      <c r="M20" s="15"/>
      <c r="N20" s="15"/>
      <c r="O20" s="15"/>
      <c r="P20" s="15"/>
      <c r="Q20" s="15"/>
      <c r="R20" s="15"/>
      <c r="S20" s="15"/>
      <c r="T20" s="15"/>
      <c r="U20" s="15"/>
      <c r="V20" s="15"/>
      <c r="W20" s="15"/>
      <c r="X20" s="15"/>
      <c r="Y20" s="15"/>
      <c r="Z20" s="15"/>
    </row>
    <row r="21" spans="1:26" ht="15.75" customHeight="1">
      <c r="A21" s="15"/>
      <c r="B21" s="15"/>
      <c r="C21" s="169" t="s">
        <v>13</v>
      </c>
      <c r="D21" s="170">
        <f>'CO_Attainment for Unit Tests'!F109</f>
        <v>3</v>
      </c>
      <c r="E21" s="171">
        <f t="shared" si="2"/>
        <v>3</v>
      </c>
      <c r="F21" s="171">
        <f t="shared" si="3"/>
        <v>3</v>
      </c>
      <c r="G21" s="171">
        <f t="shared" si="4"/>
        <v>3</v>
      </c>
      <c r="H21" s="172">
        <f t="shared" si="5"/>
        <v>1</v>
      </c>
      <c r="I21" s="341"/>
      <c r="J21" s="276"/>
      <c r="K21" s="15"/>
      <c r="L21" s="15"/>
      <c r="M21" s="15"/>
      <c r="N21" s="15"/>
      <c r="O21" s="15"/>
      <c r="P21" s="15"/>
      <c r="Q21" s="15"/>
      <c r="R21" s="15"/>
      <c r="S21" s="15"/>
      <c r="T21" s="15"/>
      <c r="U21" s="15"/>
      <c r="V21" s="15"/>
      <c r="W21" s="15"/>
      <c r="X21" s="15"/>
      <c r="Y21" s="15"/>
      <c r="Z21" s="15"/>
    </row>
    <row r="22" spans="1:26" ht="15.75" customHeight="1">
      <c r="A22" s="15"/>
      <c r="B22" s="15"/>
      <c r="C22" s="169" t="s">
        <v>15</v>
      </c>
      <c r="D22" s="170">
        <f>'CO_Attainment for Unit Tests'!G109</f>
        <v>3</v>
      </c>
      <c r="E22" s="171">
        <f t="shared" si="2"/>
        <v>3</v>
      </c>
      <c r="F22" s="171">
        <f t="shared" si="3"/>
        <v>3</v>
      </c>
      <c r="G22" s="171">
        <f t="shared" si="4"/>
        <v>3</v>
      </c>
      <c r="H22" s="172">
        <f t="shared" si="5"/>
        <v>1</v>
      </c>
      <c r="I22" s="341"/>
      <c r="J22" s="276"/>
      <c r="K22" s="15"/>
      <c r="L22" s="15"/>
      <c r="M22" s="15"/>
      <c r="N22" s="15"/>
      <c r="O22" s="15"/>
      <c r="P22" s="15"/>
      <c r="Q22" s="15"/>
      <c r="R22" s="15"/>
      <c r="S22" s="15"/>
      <c r="T22" s="15"/>
      <c r="U22" s="15"/>
      <c r="V22" s="15"/>
      <c r="W22" s="15"/>
      <c r="X22" s="15"/>
      <c r="Y22" s="15"/>
      <c r="Z22" s="15"/>
    </row>
    <row r="23" spans="1:26" ht="15.75" customHeight="1">
      <c r="A23" s="15"/>
      <c r="B23" s="15"/>
      <c r="C23" s="169" t="s">
        <v>17</v>
      </c>
      <c r="D23" s="170">
        <f>'CO_Attainment for Unit Tests'!H109</f>
        <v>3</v>
      </c>
      <c r="E23" s="171">
        <f t="shared" si="2"/>
        <v>3</v>
      </c>
      <c r="F23" s="171">
        <f t="shared" si="3"/>
        <v>3</v>
      </c>
      <c r="G23" s="171">
        <f t="shared" si="4"/>
        <v>3</v>
      </c>
      <c r="H23" s="172">
        <f t="shared" si="5"/>
        <v>1</v>
      </c>
      <c r="I23" s="341"/>
      <c r="J23" s="276"/>
      <c r="K23" s="15"/>
      <c r="L23" s="15"/>
      <c r="M23" s="15"/>
      <c r="N23" s="15"/>
      <c r="O23" s="15"/>
      <c r="P23" s="15"/>
      <c r="Q23" s="15"/>
      <c r="R23" s="15"/>
      <c r="S23" s="15"/>
      <c r="T23" s="15"/>
      <c r="U23" s="15"/>
      <c r="V23" s="15"/>
      <c r="W23" s="15"/>
      <c r="X23" s="15"/>
      <c r="Y23" s="15"/>
      <c r="Z23" s="15"/>
    </row>
    <row r="24" spans="1:26" ht="15.75" customHeight="1">
      <c r="A24" s="15"/>
      <c r="B24" s="15"/>
      <c r="C24" s="173" t="s">
        <v>200</v>
      </c>
      <c r="D24" s="174">
        <f>'CO_Attainment for Unit Tests'!I109</f>
        <v>0</v>
      </c>
      <c r="E24" s="153">
        <f t="shared" si="2"/>
        <v>3</v>
      </c>
      <c r="F24" s="153">
        <f t="shared" si="3"/>
        <v>3</v>
      </c>
      <c r="G24" s="153">
        <f t="shared" si="4"/>
        <v>3</v>
      </c>
      <c r="H24" s="175">
        <f t="shared" si="5"/>
        <v>1</v>
      </c>
      <c r="I24" s="341"/>
      <c r="J24" s="276"/>
      <c r="K24" s="15"/>
      <c r="L24" s="15"/>
      <c r="M24" s="15"/>
      <c r="N24" s="15"/>
      <c r="O24" s="15"/>
      <c r="P24" s="15"/>
      <c r="Q24" s="15"/>
      <c r="R24" s="15"/>
      <c r="S24" s="15"/>
      <c r="T24" s="15"/>
      <c r="U24" s="15"/>
      <c r="V24" s="15"/>
      <c r="W24" s="15"/>
      <c r="X24" s="15"/>
      <c r="Y24" s="15"/>
      <c r="Z24" s="15"/>
    </row>
    <row r="25" spans="1:26" ht="15.75" customHeight="1">
      <c r="A25" s="15"/>
      <c r="B25" s="15"/>
      <c r="C25" s="166" t="s">
        <v>217</v>
      </c>
      <c r="D25" s="167">
        <f t="shared" ref="D25:H25" si="6">ROUND(AVERAGE(D19:D24),2)</f>
        <v>2.33</v>
      </c>
      <c r="E25" s="151">
        <f t="shared" si="6"/>
        <v>3</v>
      </c>
      <c r="F25" s="151">
        <f t="shared" si="6"/>
        <v>3</v>
      </c>
      <c r="G25" s="151">
        <f t="shared" si="6"/>
        <v>3</v>
      </c>
      <c r="H25" s="168">
        <f t="shared" si="6"/>
        <v>1</v>
      </c>
      <c r="I25" s="342"/>
      <c r="J25" s="290"/>
      <c r="K25" s="15"/>
      <c r="L25" s="15"/>
      <c r="M25" s="15"/>
      <c r="N25" s="15"/>
      <c r="O25" s="15"/>
      <c r="P25" s="15"/>
      <c r="Q25" s="15"/>
      <c r="R25" s="15"/>
      <c r="S25" s="15"/>
      <c r="T25" s="15"/>
      <c r="U25" s="15"/>
      <c r="V25" s="15"/>
      <c r="W25" s="15"/>
      <c r="X25" s="15"/>
      <c r="Y25" s="15"/>
      <c r="Z25" s="15"/>
    </row>
    <row r="26" spans="1:26" ht="38.25" customHeight="1">
      <c r="A26" s="15"/>
      <c r="B26" s="15"/>
      <c r="C26" s="176" t="s">
        <v>218</v>
      </c>
      <c r="D26" s="177">
        <f>E11</f>
        <v>13.333333333333334</v>
      </c>
      <c r="E26" s="177">
        <f>H11</f>
        <v>16.666666666666664</v>
      </c>
      <c r="F26" s="177">
        <f>G11</f>
        <v>6.666666666666667</v>
      </c>
      <c r="G26" s="177">
        <f t="shared" ref="G26:H26" si="7">I11</f>
        <v>16.666666666666664</v>
      </c>
      <c r="H26" s="177">
        <f t="shared" si="7"/>
        <v>46.666666666666664</v>
      </c>
      <c r="I26" s="343"/>
      <c r="J26" s="276"/>
      <c r="K26" s="15"/>
      <c r="L26" s="15"/>
      <c r="M26" s="15"/>
      <c r="N26" s="15"/>
      <c r="O26" s="15"/>
      <c r="P26" s="15"/>
      <c r="Q26" s="15"/>
      <c r="R26" s="15"/>
      <c r="S26" s="15"/>
      <c r="T26" s="15"/>
      <c r="U26" s="15"/>
      <c r="V26" s="15"/>
      <c r="W26" s="15"/>
      <c r="X26" s="15"/>
      <c r="Y26" s="15"/>
      <c r="Z26" s="15"/>
    </row>
    <row r="27" spans="1:26" ht="38.25" customHeight="1">
      <c r="A27" s="15"/>
      <c r="B27" s="15"/>
      <c r="C27" s="178" t="s">
        <v>219</v>
      </c>
      <c r="D27" s="179">
        <f t="shared" ref="D27:H27" si="8">D25*D26/100</f>
        <v>0.3106666666666667</v>
      </c>
      <c r="E27" s="179">
        <f t="shared" si="8"/>
        <v>0.49999999999999994</v>
      </c>
      <c r="F27" s="179">
        <f t="shared" si="8"/>
        <v>0.2</v>
      </c>
      <c r="G27" s="179">
        <f t="shared" si="8"/>
        <v>0.49999999999999994</v>
      </c>
      <c r="H27" s="179">
        <f t="shared" si="8"/>
        <v>0.46666666666666662</v>
      </c>
      <c r="I27" s="344"/>
      <c r="J27" s="264"/>
      <c r="K27" s="15"/>
      <c r="L27" s="15"/>
      <c r="M27" s="15"/>
      <c r="N27" s="15"/>
      <c r="O27" s="15"/>
      <c r="P27" s="15"/>
      <c r="Q27" s="15"/>
      <c r="R27" s="15"/>
      <c r="S27" s="15"/>
      <c r="T27" s="15"/>
      <c r="U27" s="15"/>
      <c r="V27" s="15"/>
      <c r="W27" s="15"/>
      <c r="X27" s="15"/>
      <c r="Y27" s="15"/>
      <c r="Z27" s="15"/>
    </row>
    <row r="28" spans="1:26" ht="30" customHeight="1">
      <c r="A28" s="15"/>
      <c r="B28" s="15"/>
      <c r="C28" s="345" t="s">
        <v>220</v>
      </c>
      <c r="D28" s="223"/>
      <c r="E28" s="223"/>
      <c r="F28" s="223"/>
      <c r="G28" s="224"/>
      <c r="H28" s="180">
        <f>SUM(D27:H27)</f>
        <v>1.9773333333333332</v>
      </c>
      <c r="I28" s="181"/>
      <c r="J28" s="182"/>
      <c r="K28" s="15"/>
      <c r="L28" s="15"/>
      <c r="M28" s="15"/>
      <c r="N28" s="15"/>
      <c r="O28" s="15"/>
      <c r="P28" s="15"/>
      <c r="Q28" s="15"/>
      <c r="R28" s="15"/>
      <c r="S28" s="15"/>
      <c r="T28" s="15"/>
      <c r="U28" s="15"/>
      <c r="V28" s="15"/>
      <c r="W28" s="15"/>
      <c r="X28" s="15"/>
      <c r="Y28" s="15"/>
      <c r="Z28" s="15"/>
    </row>
    <row r="29" spans="1:26" ht="15.75" customHeight="1">
      <c r="A29" s="15"/>
      <c r="B29" s="15"/>
      <c r="C29" s="345" t="s">
        <v>222</v>
      </c>
      <c r="D29" s="223"/>
      <c r="E29" s="223"/>
      <c r="F29" s="223"/>
      <c r="G29" s="224"/>
      <c r="H29" s="183">
        <v>1</v>
      </c>
      <c r="I29" s="184"/>
      <c r="J29" s="183"/>
      <c r="K29" s="15"/>
      <c r="L29" s="15"/>
      <c r="M29" s="15"/>
      <c r="N29" s="15"/>
      <c r="O29" s="15"/>
      <c r="P29" s="15"/>
      <c r="Q29" s="15"/>
      <c r="R29" s="15"/>
      <c r="S29" s="15"/>
      <c r="T29" s="15"/>
      <c r="U29" s="15"/>
      <c r="V29" s="15"/>
      <c r="W29" s="15"/>
      <c r="X29" s="15"/>
      <c r="Y29" s="15"/>
      <c r="Z29" s="15"/>
    </row>
    <row r="30" spans="1:26" ht="62.25" customHeight="1">
      <c r="A30" s="15"/>
      <c r="B30" s="15"/>
      <c r="C30" s="345" t="s">
        <v>224</v>
      </c>
      <c r="D30" s="223"/>
      <c r="E30" s="223"/>
      <c r="F30" s="223"/>
      <c r="G30" s="224"/>
      <c r="H30" s="180">
        <f>H29*H28</f>
        <v>1.9773333333333332</v>
      </c>
      <c r="I30" s="181"/>
      <c r="J30" s="184"/>
      <c r="K30" s="15"/>
      <c r="L30" s="15"/>
      <c r="M30" s="15"/>
      <c r="N30" s="15"/>
      <c r="O30" s="15"/>
      <c r="P30" s="15"/>
      <c r="Q30" s="15"/>
      <c r="R30" s="15"/>
      <c r="S30" s="15"/>
      <c r="T30" s="15"/>
      <c r="U30" s="15"/>
      <c r="V30" s="15"/>
      <c r="W30" s="15"/>
      <c r="X30" s="15"/>
      <c r="Y30" s="15"/>
      <c r="Z30" s="15"/>
    </row>
    <row r="31" spans="1:26" ht="25.5" customHeight="1">
      <c r="A31" s="15"/>
      <c r="B31" s="15"/>
      <c r="C31" s="339" t="s">
        <v>226</v>
      </c>
      <c r="D31" s="223"/>
      <c r="E31" s="223"/>
      <c r="F31" s="223"/>
      <c r="G31" s="223"/>
      <c r="H31" s="224"/>
      <c r="I31" s="185">
        <f>H30+J30</f>
        <v>1.9773333333333332</v>
      </c>
      <c r="J31" s="186"/>
      <c r="K31" s="15"/>
      <c r="L31" s="15"/>
      <c r="M31" s="15"/>
      <c r="N31" s="15"/>
      <c r="O31" s="15"/>
      <c r="P31" s="15"/>
      <c r="Q31" s="15"/>
      <c r="R31" s="15"/>
      <c r="S31" s="15"/>
      <c r="T31" s="15"/>
      <c r="U31" s="15"/>
      <c r="V31" s="15"/>
      <c r="W31" s="15"/>
      <c r="X31" s="15"/>
      <c r="Y31" s="15"/>
      <c r="Z31" s="15"/>
    </row>
    <row r="32" spans="1:26"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75" customHeight="1">
      <c r="A34" s="15"/>
      <c r="B34" s="15"/>
      <c r="C34" s="15"/>
      <c r="D34" s="15"/>
      <c r="E34" s="15"/>
      <c r="F34" s="15"/>
      <c r="G34" s="15"/>
      <c r="H34" s="216" t="s">
        <v>47</v>
      </c>
      <c r="I34" s="217"/>
      <c r="J34" s="217"/>
      <c r="L34" s="15"/>
      <c r="M34" s="15"/>
      <c r="N34" s="15"/>
      <c r="O34" s="15"/>
      <c r="P34" s="15"/>
      <c r="Q34" s="15"/>
      <c r="R34" s="15"/>
      <c r="S34" s="15"/>
      <c r="T34" s="15"/>
      <c r="U34" s="15"/>
      <c r="V34" s="15"/>
      <c r="W34" s="15"/>
      <c r="X34" s="15"/>
      <c r="Y34" s="15"/>
      <c r="Z34" s="15"/>
    </row>
    <row r="35" spans="1:26" ht="15.75" customHeight="1">
      <c r="A35" s="15"/>
      <c r="B35" s="15"/>
      <c r="C35" s="15"/>
      <c r="D35" s="15"/>
      <c r="E35" s="15"/>
      <c r="F35" s="15"/>
      <c r="G35" s="15"/>
      <c r="H35" s="340" t="s">
        <v>48</v>
      </c>
      <c r="I35" s="219"/>
      <c r="J35" s="219"/>
      <c r="K35" s="4"/>
      <c r="L35" s="4"/>
      <c r="M35" s="4"/>
      <c r="N35" s="15"/>
      <c r="O35" s="15"/>
      <c r="P35" s="15"/>
      <c r="Q35" s="15"/>
      <c r="R35" s="15"/>
      <c r="S35" s="15"/>
      <c r="T35" s="15"/>
      <c r="U35" s="15"/>
      <c r="V35" s="15"/>
      <c r="W35" s="15"/>
      <c r="X35" s="15"/>
      <c r="Y35" s="15"/>
      <c r="Z35" s="15"/>
    </row>
    <row r="36" spans="1:2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60.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48"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48"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48"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48"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48"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48"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C8:D9"/>
    <mergeCell ref="E8:G8"/>
    <mergeCell ref="K8:K9"/>
    <mergeCell ref="C10:D10"/>
    <mergeCell ref="E10:F10"/>
    <mergeCell ref="C11:D11"/>
    <mergeCell ref="E11:F11"/>
    <mergeCell ref="C15:J15"/>
    <mergeCell ref="C16:H16"/>
    <mergeCell ref="I16:J17"/>
    <mergeCell ref="C17:C18"/>
    <mergeCell ref="I18:J18"/>
    <mergeCell ref="I19:J19"/>
    <mergeCell ref="I20:J20"/>
    <mergeCell ref="C28:G28"/>
    <mergeCell ref="C29:G29"/>
    <mergeCell ref="C30:G30"/>
    <mergeCell ref="C31:H31"/>
    <mergeCell ref="H34:J34"/>
    <mergeCell ref="H35:J35"/>
    <mergeCell ref="I21:J21"/>
    <mergeCell ref="I22:J22"/>
    <mergeCell ref="I23:J23"/>
    <mergeCell ref="I24:J24"/>
    <mergeCell ref="I25:J25"/>
    <mergeCell ref="I26:J26"/>
    <mergeCell ref="I27:J27"/>
  </mergeCells>
  <pageMargins left="0.7" right="0.7" top="0.75" bottom="0.75" header="0" footer="0"/>
  <pageSetup orientation="landscape"/>
  <colBreaks count="1" manualBreakCount="1">
    <brk id="12"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FF00"/>
  </sheetPr>
  <dimension ref="A1:Y1000"/>
  <sheetViews>
    <sheetView topLeftCell="A11" workbookViewId="0">
      <selection activeCell="I18" sqref="I18"/>
    </sheetView>
  </sheetViews>
  <sheetFormatPr defaultColWidth="14.42578125" defaultRowHeight="15" customHeight="1"/>
  <cols>
    <col min="1" max="1" width="11" customWidth="1"/>
    <col min="2" max="2" width="12" customWidth="1"/>
    <col min="3" max="3" width="13.28515625" customWidth="1"/>
    <col min="4" max="4" width="37.85546875" customWidth="1"/>
    <col min="5" max="5" width="17.7109375" customWidth="1"/>
    <col min="6" max="7" width="11.7109375" customWidth="1"/>
    <col min="8" max="8" width="13.5703125" customWidth="1"/>
    <col min="9" max="9" width="16.42578125" customWidth="1"/>
    <col min="10" max="13" width="11.7109375" customWidth="1"/>
    <col min="14" max="25" width="9.140625" customWidth="1"/>
  </cols>
  <sheetData>
    <row r="1" spans="1:25" ht="28.5">
      <c r="A1" s="4"/>
      <c r="B1" s="4"/>
      <c r="C1" s="4"/>
      <c r="D1" s="4"/>
      <c r="E1" s="117" t="s">
        <v>240</v>
      </c>
      <c r="F1" s="117"/>
      <c r="G1" s="117"/>
      <c r="H1" s="3"/>
      <c r="I1" s="3"/>
      <c r="J1" s="4"/>
      <c r="K1" s="4"/>
      <c r="L1" s="4"/>
      <c r="M1" s="4"/>
      <c r="N1" s="4"/>
      <c r="O1" s="4"/>
      <c r="P1" s="4"/>
      <c r="Q1" s="4"/>
      <c r="R1" s="4"/>
      <c r="S1" s="4"/>
      <c r="T1" s="4"/>
      <c r="U1" s="4"/>
      <c r="V1" s="4"/>
      <c r="W1" s="4"/>
      <c r="X1" s="4"/>
      <c r="Y1" s="4"/>
    </row>
    <row r="2" spans="1:25">
      <c r="A2" s="4"/>
      <c r="B2" s="4"/>
      <c r="C2" s="34" t="s">
        <v>1</v>
      </c>
      <c r="D2" s="250" t="str">
        <f>'Overall CO attainment'!D3</f>
        <v>Data Structures Using _C</v>
      </c>
      <c r="E2" s="251"/>
      <c r="F2" s="4"/>
      <c r="G2" s="4"/>
      <c r="H2" s="4"/>
      <c r="I2" s="4"/>
      <c r="J2" s="4"/>
      <c r="K2" s="4"/>
      <c r="L2" s="4"/>
      <c r="M2" s="4"/>
      <c r="N2" s="4"/>
      <c r="O2" s="4"/>
      <c r="P2" s="4"/>
      <c r="Q2" s="4"/>
      <c r="R2" s="4"/>
      <c r="S2" s="4"/>
      <c r="T2" s="4"/>
      <c r="U2" s="4"/>
      <c r="V2" s="4"/>
      <c r="W2" s="4"/>
      <c r="X2" s="4"/>
      <c r="Y2" s="4"/>
    </row>
    <row r="3" spans="1:25">
      <c r="A3" s="4"/>
      <c r="B3" s="4"/>
      <c r="C3" s="34" t="s">
        <v>3</v>
      </c>
      <c r="D3" s="250">
        <f>'Overall CO attainment'!D4</f>
        <v>22317</v>
      </c>
      <c r="E3" s="251"/>
      <c r="F3" s="4"/>
      <c r="G3" s="4"/>
      <c r="H3" s="4"/>
      <c r="I3" s="4"/>
      <c r="J3" s="4"/>
      <c r="K3" s="4"/>
      <c r="L3" s="4"/>
      <c r="M3" s="4"/>
      <c r="N3" s="4"/>
      <c r="O3" s="4"/>
      <c r="P3" s="4"/>
      <c r="Q3" s="4"/>
      <c r="R3" s="4"/>
      <c r="S3" s="4"/>
      <c r="T3" s="4"/>
      <c r="U3" s="4"/>
      <c r="V3" s="4"/>
      <c r="W3" s="4"/>
      <c r="X3" s="4"/>
      <c r="Y3" s="4"/>
    </row>
    <row r="4" spans="1:25">
      <c r="A4" s="4"/>
      <c r="B4" s="4"/>
      <c r="C4" s="34" t="s">
        <v>4</v>
      </c>
      <c r="D4" s="250" t="str">
        <f>'Overall CO attainment'!D5</f>
        <v>3rd SEM(CO3I SCHEME)</v>
      </c>
      <c r="E4" s="251"/>
      <c r="F4" s="4"/>
      <c r="G4" s="4"/>
      <c r="H4" s="4"/>
      <c r="I4" s="4"/>
      <c r="J4" s="4"/>
      <c r="K4" s="4"/>
      <c r="L4" s="4"/>
      <c r="M4" s="4"/>
      <c r="N4" s="4"/>
      <c r="O4" s="4"/>
      <c r="P4" s="4"/>
      <c r="Q4" s="4"/>
      <c r="R4" s="4"/>
      <c r="S4" s="4"/>
      <c r="T4" s="4"/>
      <c r="U4" s="4"/>
      <c r="V4" s="4"/>
      <c r="W4" s="4"/>
      <c r="X4" s="4"/>
      <c r="Y4" s="4"/>
    </row>
    <row r="5" spans="1:25">
      <c r="A5" s="4"/>
      <c r="B5" s="4"/>
      <c r="C5" s="34" t="s">
        <v>152</v>
      </c>
      <c r="D5" s="250" t="str">
        <f>'Overall CO attainment'!D6</f>
        <v>2023-24</v>
      </c>
      <c r="E5" s="251"/>
      <c r="F5" s="4"/>
      <c r="G5" s="4"/>
      <c r="H5" s="4"/>
      <c r="I5" s="4"/>
      <c r="J5" s="4"/>
      <c r="K5" s="4"/>
      <c r="L5" s="4"/>
      <c r="M5" s="4"/>
      <c r="N5" s="4"/>
      <c r="O5" s="4"/>
      <c r="P5" s="4"/>
      <c r="Q5" s="4"/>
      <c r="R5" s="4"/>
      <c r="S5" s="4"/>
      <c r="T5" s="4"/>
      <c r="U5" s="4"/>
      <c r="V5" s="4"/>
      <c r="W5" s="4"/>
      <c r="X5" s="4"/>
      <c r="Y5" s="4"/>
    </row>
    <row r="6" spans="1:25">
      <c r="A6" s="4"/>
      <c r="B6" s="4"/>
      <c r="C6" s="4"/>
      <c r="D6" s="75"/>
      <c r="E6" s="4"/>
      <c r="F6" s="4"/>
      <c r="G6" s="4"/>
      <c r="H6" s="4"/>
      <c r="I6" s="4"/>
      <c r="J6" s="4"/>
      <c r="K6" s="4"/>
      <c r="L6" s="4"/>
      <c r="M6" s="4"/>
      <c r="N6" s="4"/>
      <c r="O6" s="4"/>
      <c r="P6" s="4"/>
      <c r="Q6" s="4"/>
      <c r="R6" s="4"/>
      <c r="S6" s="4"/>
      <c r="T6" s="4"/>
      <c r="U6" s="4"/>
      <c r="V6" s="4"/>
      <c r="W6" s="4"/>
      <c r="X6" s="4"/>
      <c r="Y6" s="4"/>
    </row>
    <row r="7" spans="1:25" ht="18.75">
      <c r="A7" s="4"/>
      <c r="B7" s="14"/>
      <c r="C7" s="15"/>
      <c r="D7" s="4"/>
      <c r="E7" s="15"/>
      <c r="F7" s="15"/>
      <c r="G7" s="15"/>
      <c r="H7" s="15"/>
      <c r="I7" s="15"/>
      <c r="J7" s="15"/>
      <c r="K7" s="15"/>
      <c r="L7" s="15"/>
      <c r="M7" s="15"/>
      <c r="N7" s="15"/>
      <c r="O7" s="15"/>
      <c r="P7" s="4"/>
      <c r="Q7" s="4"/>
      <c r="R7" s="4"/>
      <c r="S7" s="4"/>
      <c r="T7" s="4"/>
      <c r="U7" s="4"/>
      <c r="V7" s="4"/>
      <c r="W7" s="4"/>
      <c r="X7" s="4"/>
      <c r="Y7" s="4"/>
    </row>
    <row r="8" spans="1:25" ht="15.75">
      <c r="A8" s="4"/>
      <c r="B8" s="16" t="s">
        <v>241</v>
      </c>
      <c r="C8" s="4"/>
      <c r="D8" s="4"/>
      <c r="E8" s="4"/>
      <c r="F8" s="4"/>
      <c r="G8" s="4"/>
      <c r="H8" s="4"/>
      <c r="I8" s="4"/>
      <c r="J8" s="4"/>
      <c r="K8" s="4"/>
      <c r="L8" s="4"/>
      <c r="M8" s="4"/>
      <c r="N8" s="4"/>
      <c r="O8" s="4"/>
      <c r="P8" s="4"/>
      <c r="Q8" s="4"/>
      <c r="R8" s="4"/>
      <c r="S8" s="4"/>
      <c r="T8" s="4"/>
      <c r="U8" s="4"/>
      <c r="V8" s="4"/>
      <c r="W8" s="4"/>
      <c r="X8" s="4"/>
      <c r="Y8" s="4"/>
    </row>
    <row r="9" spans="1:25">
      <c r="A9" s="4"/>
      <c r="B9" s="237" t="s">
        <v>21</v>
      </c>
      <c r="C9" s="225" t="s">
        <v>22</v>
      </c>
      <c r="D9" s="226"/>
      <c r="E9" s="222" t="s">
        <v>23</v>
      </c>
      <c r="F9" s="223"/>
      <c r="G9" s="223"/>
      <c r="H9" s="223"/>
      <c r="I9" s="223"/>
      <c r="J9" s="223"/>
      <c r="K9" s="224"/>
      <c r="L9" s="222" t="s">
        <v>24</v>
      </c>
      <c r="M9" s="224"/>
      <c r="N9" s="4"/>
      <c r="O9" s="4"/>
      <c r="P9" s="4"/>
      <c r="Q9" s="4"/>
      <c r="R9" s="4"/>
      <c r="S9" s="4"/>
      <c r="T9" s="4"/>
      <c r="U9" s="4"/>
      <c r="V9" s="4"/>
      <c r="W9" s="4"/>
      <c r="X9" s="4"/>
      <c r="Y9" s="4"/>
    </row>
    <row r="10" spans="1:25" ht="15.75" customHeight="1">
      <c r="A10" s="4"/>
      <c r="B10" s="238"/>
      <c r="C10" s="227"/>
      <c r="D10" s="228"/>
      <c r="E10" s="17" t="s">
        <v>25</v>
      </c>
      <c r="F10" s="17" t="s">
        <v>26</v>
      </c>
      <c r="G10" s="17" t="s">
        <v>27</v>
      </c>
      <c r="H10" s="17" t="s">
        <v>28</v>
      </c>
      <c r="I10" s="17" t="s">
        <v>29</v>
      </c>
      <c r="J10" s="17" t="s">
        <v>30</v>
      </c>
      <c r="K10" s="17" t="s">
        <v>31</v>
      </c>
      <c r="L10" s="17" t="s">
        <v>32</v>
      </c>
      <c r="M10" s="17" t="s">
        <v>33</v>
      </c>
      <c r="N10" s="4"/>
      <c r="O10" s="4"/>
      <c r="P10" s="4"/>
      <c r="Q10" s="4"/>
      <c r="R10" s="4"/>
      <c r="S10" s="4"/>
      <c r="T10" s="4"/>
      <c r="U10" s="4"/>
      <c r="V10" s="4"/>
      <c r="W10" s="4"/>
      <c r="X10" s="4"/>
      <c r="Y10" s="4"/>
    </row>
    <row r="11" spans="1:25" ht="119.25" customHeight="1">
      <c r="A11" s="4"/>
      <c r="B11" s="239"/>
      <c r="C11" s="229"/>
      <c r="D11" s="230"/>
      <c r="E11" s="18" t="s">
        <v>34</v>
      </c>
      <c r="F11" s="18" t="s">
        <v>35</v>
      </c>
      <c r="G11" s="18" t="s">
        <v>36</v>
      </c>
      <c r="H11" s="18" t="s">
        <v>37</v>
      </c>
      <c r="I11" s="18" t="s">
        <v>38</v>
      </c>
      <c r="J11" s="18" t="s">
        <v>39</v>
      </c>
      <c r="K11" s="18" t="s">
        <v>40</v>
      </c>
      <c r="L11" s="18" t="s">
        <v>41</v>
      </c>
      <c r="M11" s="18" t="s">
        <v>42</v>
      </c>
      <c r="N11" s="4"/>
      <c r="O11" s="4"/>
      <c r="P11" s="4"/>
      <c r="Q11" s="4"/>
      <c r="R11" s="4"/>
      <c r="S11" s="4"/>
      <c r="T11" s="4"/>
      <c r="U11" s="4"/>
      <c r="V11" s="4"/>
      <c r="W11" s="4"/>
      <c r="X11" s="4"/>
      <c r="Y11" s="4"/>
    </row>
    <row r="12" spans="1:25" ht="40.5" customHeight="1">
      <c r="A12" s="4"/>
      <c r="B12" s="19">
        <f>'PO Set Target attain level'!B20</f>
        <v>1</v>
      </c>
      <c r="C12" s="20" t="str">
        <f>'PO Set Target attain level'!C20</f>
        <v>CO1</v>
      </c>
      <c r="D12" s="21" t="str">
        <f>'PO Set Target attain level'!D20</f>
        <v>Perform basic operations on arrays</v>
      </c>
      <c r="E12" s="187">
        <f>'PO Set Target attain level'!E20</f>
        <v>3</v>
      </c>
      <c r="F12" s="187">
        <f>'PO Set Target attain level'!F20</f>
        <v>2</v>
      </c>
      <c r="G12" s="187">
        <f>'PO Set Target attain level'!G20</f>
        <v>2</v>
      </c>
      <c r="H12" s="187">
        <f>'PO Set Target attain level'!H20</f>
        <v>1</v>
      </c>
      <c r="I12" s="187">
        <f>'PO Set Target attain level'!I20</f>
        <v>1</v>
      </c>
      <c r="J12" s="187" t="str">
        <f>'PO Set Target attain level'!J20</f>
        <v>-</v>
      </c>
      <c r="K12" s="187" t="str">
        <f>'PO Set Target attain level'!K20</f>
        <v>-</v>
      </c>
      <c r="L12" s="187">
        <f>'PO Set Target attain level'!L20</f>
        <v>3</v>
      </c>
      <c r="M12" s="187">
        <f>'PO Set Target attain level'!M20</f>
        <v>1</v>
      </c>
      <c r="N12" s="4"/>
      <c r="O12" s="4"/>
      <c r="P12" s="4"/>
      <c r="Q12" s="4"/>
      <c r="R12" s="4"/>
      <c r="S12" s="4"/>
      <c r="T12" s="4"/>
      <c r="U12" s="4"/>
      <c r="V12" s="4"/>
      <c r="W12" s="4"/>
      <c r="X12" s="4"/>
      <c r="Y12" s="4"/>
    </row>
    <row r="13" spans="1:25" ht="40.5" customHeight="1">
      <c r="A13" s="4"/>
      <c r="B13" s="19">
        <f>'PO Set Target attain level'!B21</f>
        <v>2</v>
      </c>
      <c r="C13" s="20" t="str">
        <f>'PO Set Target attain level'!C21</f>
        <v>CO2</v>
      </c>
      <c r="D13" s="23" t="str">
        <f>'PO Set Target attain level'!D21</f>
        <v xml:space="preserve"> Apply different searching and sorting techniques.</v>
      </c>
      <c r="E13" s="187">
        <f>'PO Set Target attain level'!E21</f>
        <v>3</v>
      </c>
      <c r="F13" s="187">
        <f>'PO Set Target attain level'!F21</f>
        <v>3</v>
      </c>
      <c r="G13" s="187">
        <f>'PO Set Target attain level'!G21</f>
        <v>3</v>
      </c>
      <c r="H13" s="187">
        <f>'PO Set Target attain level'!H21</f>
        <v>2</v>
      </c>
      <c r="I13" s="187">
        <f>'PO Set Target attain level'!I21</f>
        <v>2</v>
      </c>
      <c r="J13" s="187" t="str">
        <f>'PO Set Target attain level'!J21</f>
        <v>-</v>
      </c>
      <c r="K13" s="187" t="str">
        <f>'PO Set Target attain level'!K21</f>
        <v>-</v>
      </c>
      <c r="L13" s="187">
        <f>'PO Set Target attain level'!L21</f>
        <v>3</v>
      </c>
      <c r="M13" s="187">
        <f>'PO Set Target attain level'!M21</f>
        <v>2</v>
      </c>
      <c r="N13" s="4"/>
      <c r="O13" s="4"/>
      <c r="P13" s="4"/>
      <c r="Q13" s="4"/>
      <c r="R13" s="4"/>
      <c r="S13" s="4"/>
      <c r="T13" s="4"/>
      <c r="U13" s="4"/>
      <c r="V13" s="4"/>
      <c r="W13" s="4"/>
      <c r="X13" s="4"/>
      <c r="Y13" s="4"/>
    </row>
    <row r="14" spans="1:25" ht="40.5" customHeight="1">
      <c r="A14" s="4"/>
      <c r="B14" s="19">
        <f>'PO Set Target attain level'!B22</f>
        <v>3</v>
      </c>
      <c r="C14" s="20" t="str">
        <f>'PO Set Target attain level'!C22</f>
        <v>CO3</v>
      </c>
      <c r="D14" s="23" t="str">
        <f>'PO Set Target attain level'!D22</f>
        <v>Implement basic operations on stack and queue using array representation</v>
      </c>
      <c r="E14" s="187">
        <f>'PO Set Target attain level'!E22</f>
        <v>3</v>
      </c>
      <c r="F14" s="187">
        <f>'PO Set Target attain level'!F22</f>
        <v>3</v>
      </c>
      <c r="G14" s="187">
        <f>'PO Set Target attain level'!G22</f>
        <v>3</v>
      </c>
      <c r="H14" s="187">
        <f>'PO Set Target attain level'!H22</f>
        <v>2</v>
      </c>
      <c r="I14" s="187">
        <f>'PO Set Target attain level'!I22</f>
        <v>2</v>
      </c>
      <c r="J14" s="187" t="str">
        <f>'PO Set Target attain level'!J22</f>
        <v>-</v>
      </c>
      <c r="K14" s="187" t="str">
        <f>'PO Set Target attain level'!K22</f>
        <v>-</v>
      </c>
      <c r="L14" s="187">
        <f>'PO Set Target attain level'!L22</f>
        <v>3</v>
      </c>
      <c r="M14" s="187">
        <f>'PO Set Target attain level'!M22</f>
        <v>2</v>
      </c>
      <c r="N14" s="4"/>
      <c r="O14" s="4"/>
      <c r="P14" s="4"/>
      <c r="Q14" s="4"/>
      <c r="R14" s="4"/>
      <c r="S14" s="4"/>
      <c r="T14" s="4"/>
      <c r="U14" s="4"/>
      <c r="V14" s="4"/>
      <c r="W14" s="4"/>
      <c r="X14" s="4"/>
      <c r="Y14" s="4"/>
    </row>
    <row r="15" spans="1:25" ht="40.5" customHeight="1">
      <c r="A15" s="4"/>
      <c r="B15" s="19">
        <f>'PO Set Target attain level'!B23</f>
        <v>4</v>
      </c>
      <c r="C15" s="20" t="str">
        <f>'PO Set Target attain level'!C23</f>
        <v>CO4</v>
      </c>
      <c r="D15" s="23" t="str">
        <f>'PO Set Target attain level'!D23</f>
        <v xml:space="preserve"> Implement basic operations on Linked List</v>
      </c>
      <c r="E15" s="187">
        <f>'PO Set Target attain level'!E23</f>
        <v>3</v>
      </c>
      <c r="F15" s="187">
        <f>'PO Set Target attain level'!F23</f>
        <v>3</v>
      </c>
      <c r="G15" s="187">
        <f>'PO Set Target attain level'!G23</f>
        <v>3</v>
      </c>
      <c r="H15" s="187">
        <f>'PO Set Target attain level'!H23</f>
        <v>2</v>
      </c>
      <c r="I15" s="187">
        <f>'PO Set Target attain level'!I23</f>
        <v>2</v>
      </c>
      <c r="J15" s="187" t="str">
        <f>'PO Set Target attain level'!J23</f>
        <v>-</v>
      </c>
      <c r="K15" s="187" t="str">
        <f>'PO Set Target attain level'!K23</f>
        <v>-</v>
      </c>
      <c r="L15" s="187">
        <f>'PO Set Target attain level'!L23</f>
        <v>3</v>
      </c>
      <c r="M15" s="187">
        <f>'PO Set Target attain level'!M23</f>
        <v>2</v>
      </c>
      <c r="N15" s="4"/>
      <c r="O15" s="4"/>
      <c r="P15" s="4"/>
      <c r="Q15" s="4"/>
      <c r="R15" s="4"/>
      <c r="S15" s="4"/>
      <c r="T15" s="4"/>
      <c r="U15" s="4"/>
      <c r="V15" s="4"/>
      <c r="W15" s="4"/>
      <c r="X15" s="4"/>
      <c r="Y15" s="4"/>
    </row>
    <row r="16" spans="1:25" ht="40.5" customHeight="1">
      <c r="A16" s="4"/>
      <c r="B16" s="19">
        <f>'PO Set Target attain level'!B24</f>
        <v>5</v>
      </c>
      <c r="C16" s="20" t="str">
        <f>'PO Set Target attain level'!C24</f>
        <v>CO5</v>
      </c>
      <c r="D16" s="23" t="str">
        <f>'PO Set Target attain level'!D24</f>
        <v>Implement program to create and traverse tree to solve problems</v>
      </c>
      <c r="E16" s="187"/>
      <c r="F16" s="187">
        <f>'PO Set Target attain level'!F24</f>
        <v>3</v>
      </c>
      <c r="G16" s="187">
        <f>'PO Set Target attain level'!G24</f>
        <v>3</v>
      </c>
      <c r="H16" s="187">
        <f>'PO Set Target attain level'!H24</f>
        <v>3</v>
      </c>
      <c r="I16" s="187">
        <f>'PO Set Target attain level'!I24</f>
        <v>2</v>
      </c>
      <c r="J16" s="187" t="str">
        <f>'PO Set Target attain level'!J24</f>
        <v>-</v>
      </c>
      <c r="K16" s="187" t="str">
        <f>'PO Set Target attain level'!K24</f>
        <v>-</v>
      </c>
      <c r="L16" s="187">
        <f>'PO Set Target attain level'!L24</f>
        <v>3</v>
      </c>
      <c r="M16" s="187">
        <f>'PO Set Target attain level'!M24</f>
        <v>2</v>
      </c>
      <c r="N16" s="4"/>
      <c r="O16" s="4"/>
      <c r="P16" s="4"/>
      <c r="Q16" s="4"/>
      <c r="R16" s="4"/>
      <c r="S16" s="4"/>
      <c r="T16" s="4"/>
      <c r="U16" s="4"/>
      <c r="V16" s="4"/>
      <c r="W16" s="4"/>
      <c r="X16" s="4"/>
      <c r="Y16" s="4"/>
    </row>
    <row r="17" spans="1:25" ht="33.75" customHeight="1">
      <c r="A17" s="4"/>
      <c r="B17" s="231" t="s">
        <v>242</v>
      </c>
      <c r="C17" s="223"/>
      <c r="D17" s="224"/>
      <c r="E17" s="20">
        <f t="shared" ref="E17:M17" si="0">IFERROR(AVERAGE(E12:E16),0)</f>
        <v>3</v>
      </c>
      <c r="F17" s="20">
        <f t="shared" si="0"/>
        <v>2.8</v>
      </c>
      <c r="G17" s="20">
        <f t="shared" si="0"/>
        <v>2.8</v>
      </c>
      <c r="H17" s="20">
        <f t="shared" si="0"/>
        <v>2</v>
      </c>
      <c r="I17" s="20">
        <f t="shared" si="0"/>
        <v>1.8</v>
      </c>
      <c r="J17" s="20">
        <f t="shared" si="0"/>
        <v>0</v>
      </c>
      <c r="K17" s="20">
        <f t="shared" si="0"/>
        <v>0</v>
      </c>
      <c r="L17" s="20">
        <f t="shared" si="0"/>
        <v>3</v>
      </c>
      <c r="M17" s="20">
        <f t="shared" si="0"/>
        <v>1.8</v>
      </c>
      <c r="N17" s="4"/>
      <c r="O17" s="4"/>
      <c r="P17" s="4"/>
      <c r="Q17" s="4"/>
      <c r="R17" s="4"/>
      <c r="S17" s="4"/>
      <c r="T17" s="4"/>
      <c r="U17" s="4"/>
      <c r="V17" s="4"/>
      <c r="W17" s="4"/>
      <c r="X17" s="4"/>
      <c r="Y17" s="4"/>
    </row>
    <row r="18" spans="1:25" ht="28.5" customHeight="1">
      <c r="A18" s="4"/>
      <c r="B18" s="232" t="s">
        <v>243</v>
      </c>
      <c r="C18" s="223"/>
      <c r="D18" s="224"/>
      <c r="E18" s="188">
        <f>E17*'Overall CO attainment'!I31/3</f>
        <v>1.9773333333333332</v>
      </c>
      <c r="F18" s="188">
        <f>F17*'Overall CO attainment'!I31/3</f>
        <v>1.8455111111111109</v>
      </c>
      <c r="G18" s="188">
        <f>G17*'Overall CO attainment'!I31/3</f>
        <v>1.8455111111111109</v>
      </c>
      <c r="H18" s="188">
        <f>H17*'Overall CO attainment'!I31/3</f>
        <v>1.3182222222222222</v>
      </c>
      <c r="I18" s="188">
        <f>I17*'Overall CO attainment'!I31/3</f>
        <v>1.1863999999999999</v>
      </c>
      <c r="J18" s="188">
        <f>J17*'Overall CO attainment'!I31/3</f>
        <v>0</v>
      </c>
      <c r="K18" s="188">
        <f>K17*'Overall CO attainment'!I31/3</f>
        <v>0</v>
      </c>
      <c r="L18" s="188">
        <f>L17*'Overall CO attainment'!I31/3</f>
        <v>1.9773333333333332</v>
      </c>
      <c r="M18" s="188">
        <f>M17*'Overall CO attainment'!I31/3</f>
        <v>1.1863999999999999</v>
      </c>
      <c r="N18" s="4"/>
      <c r="O18" s="4"/>
      <c r="P18" s="4"/>
      <c r="Q18" s="4"/>
      <c r="R18" s="4"/>
      <c r="S18" s="4"/>
      <c r="T18" s="4"/>
      <c r="U18" s="4"/>
      <c r="V18" s="4"/>
      <c r="W18" s="4"/>
      <c r="X18" s="4"/>
      <c r="Y18" s="4"/>
    </row>
    <row r="19" spans="1:25" ht="15.75" hidden="1" customHeight="1">
      <c r="A19" s="4"/>
      <c r="B19" s="324" t="s">
        <v>204</v>
      </c>
      <c r="C19" s="223"/>
      <c r="D19" s="224"/>
      <c r="E19" s="123">
        <f t="shared" ref="E19:M19" si="1">ROUNDUP((E18/3)*100,2)</f>
        <v>65.92</v>
      </c>
      <c r="F19" s="123">
        <f t="shared" si="1"/>
        <v>61.519999999999996</v>
      </c>
      <c r="G19" s="123">
        <f t="shared" si="1"/>
        <v>61.519999999999996</v>
      </c>
      <c r="H19" s="123">
        <f t="shared" si="1"/>
        <v>43.949999999999996</v>
      </c>
      <c r="I19" s="123">
        <f t="shared" si="1"/>
        <v>39.549999999999997</v>
      </c>
      <c r="J19" s="123">
        <f t="shared" si="1"/>
        <v>0</v>
      </c>
      <c r="K19" s="123">
        <f t="shared" si="1"/>
        <v>0</v>
      </c>
      <c r="L19" s="123">
        <f t="shared" si="1"/>
        <v>65.92</v>
      </c>
      <c r="M19" s="123">
        <f t="shared" si="1"/>
        <v>39.549999999999997</v>
      </c>
      <c r="N19" s="4"/>
      <c r="O19" s="4"/>
      <c r="P19" s="4"/>
      <c r="Q19" s="4"/>
      <c r="R19" s="4"/>
      <c r="S19" s="4"/>
      <c r="T19" s="4"/>
      <c r="U19" s="4"/>
      <c r="V19" s="4"/>
      <c r="W19" s="4"/>
      <c r="X19" s="4"/>
      <c r="Y19" s="4"/>
    </row>
    <row r="20" spans="1:25"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spans="1:25" ht="15.75" customHeight="1">
      <c r="A21" s="4"/>
      <c r="B21" s="4"/>
      <c r="C21" s="4"/>
      <c r="D21" s="4"/>
      <c r="E21" s="189"/>
      <c r="F21" s="189"/>
      <c r="G21" s="189"/>
      <c r="H21" s="189"/>
      <c r="I21" s="189"/>
      <c r="J21" s="189"/>
      <c r="K21" s="189"/>
      <c r="L21" s="189"/>
      <c r="M21" s="189"/>
      <c r="N21" s="4"/>
      <c r="O21" s="4"/>
      <c r="P21" s="4"/>
      <c r="Q21" s="4"/>
      <c r="R21" s="4"/>
      <c r="S21" s="4"/>
      <c r="T21" s="4"/>
      <c r="U21" s="4"/>
      <c r="V21" s="4"/>
      <c r="W21" s="4"/>
      <c r="X21" s="4"/>
      <c r="Y21" s="4"/>
    </row>
    <row r="22" spans="1:25" ht="15.75" customHeight="1">
      <c r="A22" s="4"/>
      <c r="B22" s="4"/>
      <c r="C22" s="4"/>
      <c r="D22" s="4"/>
      <c r="E22" s="4"/>
      <c r="F22" s="4"/>
      <c r="G22" s="4"/>
      <c r="H22" s="4"/>
      <c r="I22" s="4"/>
      <c r="J22" s="216" t="s">
        <v>47</v>
      </c>
      <c r="K22" s="217"/>
      <c r="L22" s="217"/>
      <c r="M22" s="217"/>
      <c r="N22" s="4"/>
      <c r="O22" s="4"/>
      <c r="P22" s="4"/>
      <c r="Q22" s="4"/>
      <c r="R22" s="4"/>
      <c r="S22" s="4"/>
      <c r="T22" s="4"/>
      <c r="U22" s="4"/>
      <c r="V22" s="4"/>
      <c r="W22" s="4"/>
      <c r="X22" s="4"/>
      <c r="Y22" s="4"/>
    </row>
    <row r="23" spans="1:25" ht="15.75" customHeight="1">
      <c r="A23" s="4"/>
      <c r="B23" s="4"/>
      <c r="C23" s="4"/>
      <c r="D23" s="4"/>
      <c r="E23" s="4"/>
      <c r="F23" s="4"/>
      <c r="G23" s="4"/>
      <c r="H23" s="4"/>
      <c r="I23" s="4"/>
      <c r="J23" s="218" t="s">
        <v>48</v>
      </c>
      <c r="K23" s="219"/>
      <c r="L23" s="219"/>
      <c r="M23" s="219"/>
      <c r="N23" s="32"/>
      <c r="O23" s="32"/>
      <c r="P23" s="4"/>
      <c r="Q23" s="4"/>
      <c r="R23" s="4"/>
      <c r="S23" s="4"/>
      <c r="T23" s="4"/>
      <c r="U23" s="4"/>
      <c r="V23" s="4"/>
      <c r="W23" s="4"/>
      <c r="X23" s="4"/>
      <c r="Y23" s="4"/>
    </row>
    <row r="24" spans="1:25"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spans="1: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spans="1:25"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spans="1:25"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spans="1:25"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spans="1:25"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spans="1:25" ht="15.75" customHeight="1">
      <c r="A30" s="4"/>
      <c r="B30" s="4"/>
      <c r="C30" s="4"/>
      <c r="D30" s="4"/>
      <c r="E30" s="4"/>
      <c r="F30" s="4"/>
      <c r="G30" s="4"/>
      <c r="H30" s="15"/>
      <c r="I30" s="4"/>
      <c r="J30" s="4"/>
      <c r="K30" s="4"/>
      <c r="L30" s="4"/>
      <c r="M30" s="4"/>
      <c r="N30" s="4"/>
      <c r="O30" s="4"/>
      <c r="P30" s="4"/>
      <c r="Q30" s="4"/>
      <c r="R30" s="4"/>
      <c r="S30" s="4"/>
      <c r="T30" s="4"/>
      <c r="U30" s="4"/>
      <c r="V30" s="4"/>
      <c r="W30" s="4"/>
      <c r="X30" s="4"/>
      <c r="Y30" s="4"/>
    </row>
    <row r="31" spans="1:25" ht="15.75" customHeight="1">
      <c r="A31" s="4"/>
      <c r="B31" s="4"/>
      <c r="C31" s="4"/>
      <c r="D31" s="4"/>
      <c r="E31" s="4"/>
      <c r="F31" s="4"/>
      <c r="G31" s="4"/>
      <c r="H31" s="15"/>
      <c r="I31" s="4"/>
      <c r="J31" s="4"/>
      <c r="K31" s="4"/>
      <c r="L31" s="4"/>
      <c r="M31" s="4"/>
      <c r="N31" s="4"/>
      <c r="O31" s="4"/>
      <c r="P31" s="4"/>
      <c r="Q31" s="4"/>
      <c r="R31" s="4"/>
      <c r="S31" s="4"/>
      <c r="T31" s="4"/>
      <c r="U31" s="4"/>
      <c r="V31" s="4"/>
      <c r="W31" s="4"/>
      <c r="X31" s="4"/>
      <c r="Y31" s="4"/>
    </row>
    <row r="32" spans="1:25"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spans="1:25"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spans="1:25"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spans="1:2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spans="1:25"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spans="1:25"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spans="1:25"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spans="1:25"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spans="1:25"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spans="1:25"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spans="1:25"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spans="1:25"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spans="1:2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spans="1:25"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25"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spans="1:25"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spans="1:25"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spans="1:25"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spans="1:25"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spans="1:25"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spans="1:25"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spans="1:2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spans="1:25"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spans="1:25"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spans="1:25"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spans="1:25"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spans="1:25"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spans="1:25"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spans="1:25"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spans="1:25"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spans="1:2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spans="1:25"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spans="1:25"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spans="1:25"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spans="1:25"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spans="1:25"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spans="1:25"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spans="1:25"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spans="1:25"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spans="1:25"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spans="1:2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spans="1:25"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spans="1:25"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spans="1:25"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spans="1:25"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spans="1:25"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spans="1:25"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spans="1:25"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spans="1:25"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spans="1:2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spans="1:25"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spans="1:25"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spans="1:25"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spans="1:25"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spans="1:25"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spans="1:25"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spans="1:25"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spans="1:25"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spans="1:25"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spans="1:2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spans="1:25"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spans="1:25"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spans="1:25"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spans="1:25"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spans="1:25"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J23:M23"/>
    <mergeCell ref="D2:E2"/>
    <mergeCell ref="D3:E3"/>
    <mergeCell ref="D4:E4"/>
    <mergeCell ref="D5:E5"/>
    <mergeCell ref="E9:K9"/>
    <mergeCell ref="L9:M9"/>
    <mergeCell ref="C9:D11"/>
    <mergeCell ref="B17:D17"/>
    <mergeCell ref="B18:D18"/>
    <mergeCell ref="B19:D19"/>
    <mergeCell ref="J22:M22"/>
    <mergeCell ref="B9:B1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4:J30"/>
  <sheetViews>
    <sheetView workbookViewId="0"/>
  </sheetViews>
  <sheetFormatPr defaultColWidth="14.42578125" defaultRowHeight="15" customHeight="1"/>
  <cols>
    <col min="2" max="10" width="9.7109375" customWidth="1"/>
  </cols>
  <sheetData>
    <row r="4" spans="1:10">
      <c r="A4" s="22" t="s">
        <v>22</v>
      </c>
      <c r="B4" s="22" t="s">
        <v>25</v>
      </c>
      <c r="C4" s="22" t="s">
        <v>26</v>
      </c>
      <c r="D4" s="22" t="s">
        <v>27</v>
      </c>
      <c r="E4" s="22" t="s">
        <v>28</v>
      </c>
      <c r="F4" s="22" t="s">
        <v>29</v>
      </c>
      <c r="G4" s="22" t="s">
        <v>30</v>
      </c>
      <c r="H4" s="22" t="s">
        <v>31</v>
      </c>
      <c r="I4" s="22" t="s">
        <v>32</v>
      </c>
      <c r="J4" s="22" t="s">
        <v>33</v>
      </c>
    </row>
    <row r="5" spans="1:10">
      <c r="A5" s="190" t="s">
        <v>9</v>
      </c>
      <c r="B5" s="22">
        <v>3</v>
      </c>
      <c r="C5" s="22">
        <v>2</v>
      </c>
      <c r="D5" s="22">
        <v>2</v>
      </c>
      <c r="E5" s="22">
        <v>1</v>
      </c>
      <c r="F5" s="22">
        <v>1</v>
      </c>
      <c r="G5" s="22" t="s">
        <v>43</v>
      </c>
      <c r="H5" s="22" t="s">
        <v>43</v>
      </c>
      <c r="I5" s="22">
        <v>3</v>
      </c>
      <c r="J5" s="22">
        <v>1</v>
      </c>
    </row>
    <row r="6" spans="1:10">
      <c r="A6" s="190" t="s">
        <v>11</v>
      </c>
      <c r="B6" s="22">
        <v>3</v>
      </c>
      <c r="C6" s="22">
        <v>3</v>
      </c>
      <c r="D6" s="22">
        <v>3</v>
      </c>
      <c r="E6" s="22">
        <v>2</v>
      </c>
      <c r="F6" s="22">
        <v>2</v>
      </c>
      <c r="G6" s="22" t="s">
        <v>43</v>
      </c>
      <c r="H6" s="22" t="s">
        <v>43</v>
      </c>
      <c r="I6" s="22">
        <v>3</v>
      </c>
      <c r="J6" s="22">
        <v>2</v>
      </c>
    </row>
    <row r="7" spans="1:10">
      <c r="A7" s="190" t="s">
        <v>13</v>
      </c>
      <c r="B7" s="22">
        <v>3</v>
      </c>
      <c r="C7" s="22">
        <v>3</v>
      </c>
      <c r="D7" s="22">
        <v>3</v>
      </c>
      <c r="E7" s="22">
        <v>2</v>
      </c>
      <c r="F7" s="22">
        <v>2</v>
      </c>
      <c r="G7" s="22" t="s">
        <v>43</v>
      </c>
      <c r="H7" s="22" t="s">
        <v>43</v>
      </c>
      <c r="I7" s="22">
        <v>3</v>
      </c>
      <c r="J7" s="22">
        <v>2</v>
      </c>
    </row>
    <row r="8" spans="1:10">
      <c r="A8" s="190" t="s">
        <v>15</v>
      </c>
      <c r="B8" s="22">
        <v>3</v>
      </c>
      <c r="C8" s="22">
        <v>3</v>
      </c>
      <c r="D8" s="22">
        <v>3</v>
      </c>
      <c r="E8" s="22">
        <v>2</v>
      </c>
      <c r="F8" s="22">
        <v>2</v>
      </c>
      <c r="G8" s="22" t="s">
        <v>43</v>
      </c>
      <c r="H8" s="22" t="s">
        <v>43</v>
      </c>
      <c r="I8" s="22">
        <v>3</v>
      </c>
      <c r="J8" s="22">
        <v>2</v>
      </c>
    </row>
    <row r="9" spans="1:10">
      <c r="A9" s="190" t="s">
        <v>17</v>
      </c>
      <c r="B9" s="22">
        <v>3</v>
      </c>
      <c r="C9" s="22">
        <v>3</v>
      </c>
      <c r="D9" s="22">
        <v>3</v>
      </c>
      <c r="E9" s="22">
        <v>3</v>
      </c>
      <c r="F9" s="22">
        <v>2</v>
      </c>
      <c r="G9" s="22" t="s">
        <v>43</v>
      </c>
      <c r="H9" s="22" t="s">
        <v>43</v>
      </c>
      <c r="I9" s="22">
        <v>3</v>
      </c>
      <c r="J9" s="22">
        <v>2</v>
      </c>
    </row>
    <row r="14" spans="1:10" ht="15" customHeight="1">
      <c r="C14" s="191" t="s">
        <v>244</v>
      </c>
    </row>
    <row r="15" spans="1:10" ht="15" customHeight="1">
      <c r="C15" s="191"/>
    </row>
    <row r="16" spans="1:10" ht="15" customHeight="1">
      <c r="C16" s="191" t="s">
        <v>245</v>
      </c>
    </row>
    <row r="17" spans="3:3" ht="15" customHeight="1">
      <c r="C17" s="191"/>
    </row>
    <row r="18" spans="3:3" ht="15" customHeight="1">
      <c r="C18" s="191" t="s">
        <v>246</v>
      </c>
    </row>
    <row r="19" spans="3:3" ht="15" customHeight="1">
      <c r="C19" s="191"/>
    </row>
    <row r="20" spans="3:3" ht="15" customHeight="1">
      <c r="C20" s="191" t="s">
        <v>247</v>
      </c>
    </row>
    <row r="21" spans="3:3" ht="15" customHeight="1">
      <c r="C21" s="191"/>
    </row>
    <row r="22" spans="3:3" ht="15" customHeight="1">
      <c r="C22" s="191" t="s">
        <v>248</v>
      </c>
    </row>
    <row r="23" spans="3:3" ht="15" customHeight="1">
      <c r="C23" s="191"/>
    </row>
    <row r="24" spans="3:3" ht="15" customHeight="1">
      <c r="C24" s="191" t="s">
        <v>249</v>
      </c>
    </row>
    <row r="25" spans="3:3" ht="15" customHeight="1">
      <c r="C25" s="191"/>
    </row>
    <row r="26" spans="3:3" ht="15" customHeight="1">
      <c r="C26" s="191" t="s">
        <v>250</v>
      </c>
    </row>
    <row r="27" spans="3:3" ht="15" customHeight="1">
      <c r="C27" s="191"/>
    </row>
    <row r="28" spans="3:3" ht="15" customHeight="1">
      <c r="C28" s="191" t="s">
        <v>251</v>
      </c>
    </row>
    <row r="29" spans="3:3" ht="15" customHeight="1">
      <c r="C29" s="191"/>
    </row>
    <row r="30" spans="3:3" ht="15" customHeight="1">
      <c r="C30" s="191"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 Set Target attain level</vt:lpstr>
      <vt:lpstr>CO_Attainment for Unit Tests</vt:lpstr>
      <vt:lpstr>CO_attainment for FA-TH ESE</vt:lpstr>
      <vt:lpstr>CO_attain_SLA_FA-PR_SA-PR</vt:lpstr>
      <vt:lpstr>CO_attainment for Indirect</vt:lpstr>
      <vt:lpstr>CO_PO Mapping Attainment </vt:lpstr>
      <vt:lpstr>Overall CO attainment (2)</vt:lpstr>
      <vt:lpstr>Overall CO attainment</vt:lpstr>
      <vt:lpstr>CO_PO Mapping Attainment_PO7</vt:lpstr>
      <vt:lpstr>Justification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MSBTE-Osmanabad-028</cp:lastModifiedBy>
  <dcterms:created xsi:type="dcterms:W3CDTF">2019-05-31T18:42:57Z</dcterms:created>
  <dcterms:modified xsi:type="dcterms:W3CDTF">2026-06-23T10:45:24Z</dcterms:modified>
</cp:coreProperties>
</file>