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 Set Target attain level" sheetId="1" r:id="rId4"/>
    <sheet state="visible" name="CO_Attainment for Unit Tests" sheetId="2" r:id="rId5"/>
    <sheet state="visible" name="CO_attainment for FA-TH ESE" sheetId="3" r:id="rId6"/>
    <sheet state="visible" name="CO_attain_SLA_FA-PR_SA-PR" sheetId="4" r:id="rId7"/>
    <sheet state="hidden" name="CO_attainment for Indirect" sheetId="5" r:id="rId8"/>
    <sheet state="hidden" name="CO_PO Mapping Attainment " sheetId="6" r:id="rId9"/>
    <sheet state="hidden" name="Overall CO attainment (2)" sheetId="7" r:id="rId10"/>
    <sheet state="visible" name="Overall CO attainment" sheetId="8" r:id="rId11"/>
    <sheet state="visible" name="CO_PO Mapping Attainment_PO7" sheetId="9" r:id="rId12"/>
    <sheet state="visible" name="Justification" sheetId="10" r:id="rId13"/>
  </sheets>
  <definedNames/>
  <calcPr/>
  <extLst>
    <ext uri="GoogleSheetsCustomDataVersion2">
      <go:sheetsCustomData xmlns:go="http://customooxmlschemas.google.com/" r:id="rId14" roundtripDataChecksum="3gD0xuC8pweVZOQ7BKr1GLWAiKScqPRgKJqs6kNlqIY="/>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2">
      <text>
        <t xml:space="preserve">======
ID#AAAB84YcYks
hp    (2023-02-03 10:38:19)
Max. marks</t>
      </text>
    </comment>
  </commentList>
  <extLst>
    <ext uri="GoogleSheetsCustomDataVersion2">
      <go:sheetsCustomData xmlns:go="http://customooxmlschemas.google.com/" r:id="rId1" roundtripDataSignature="AMtx7miLOtNQwIGTqg4CDt+chKsSxdcklA=="/>
    </ext>
  </extLst>
</comments>
</file>

<file path=xl/sharedStrings.xml><?xml version="1.0" encoding="utf-8"?>
<sst xmlns="http://schemas.openxmlformats.org/spreadsheetml/2006/main" count="447" uniqueCount="260">
  <si>
    <t xml:space="preserve">                        PO-CO Mapping (Targetted Level) - Course Articulation Matrix</t>
  </si>
  <si>
    <t>Course Name :</t>
  </si>
  <si>
    <t>Data Structures Using _C</t>
  </si>
  <si>
    <t>Course Code :</t>
  </si>
  <si>
    <t xml:space="preserve">Program/Scheme-MSBTE Inst.code : </t>
  </si>
  <si>
    <t>3rd SEM(CO3I SCHEME)</t>
  </si>
  <si>
    <t>Academic Year :</t>
  </si>
  <si>
    <t>2023-24</t>
  </si>
  <si>
    <t>Course Outcomes :</t>
  </si>
  <si>
    <t>CO1</t>
  </si>
  <si>
    <t>Perform basic operations on arrays</t>
  </si>
  <si>
    <t>CO2</t>
  </si>
  <si>
    <t xml:space="preserve"> Apply different searching and sorting techniques.</t>
  </si>
  <si>
    <t>CO3</t>
  </si>
  <si>
    <t>Implement basic operations on stack and queue using array representation</t>
  </si>
  <si>
    <t>CO4</t>
  </si>
  <si>
    <t xml:space="preserve"> Implement basic operations on Linked List</t>
  </si>
  <si>
    <t>CO5</t>
  </si>
  <si>
    <t>Implement program to create and traverse tree to solve problems</t>
  </si>
  <si>
    <t>Set Correlation  of CO-PO Mapping</t>
  </si>
  <si>
    <r>
      <rPr>
        <rFont val="Times New Roman"/>
        <b/>
        <color theme="1"/>
        <sz val="12.0"/>
      </rPr>
      <t xml:space="preserve">Strength of correlation : </t>
    </r>
    <r>
      <rPr>
        <rFont val="Times New Roman"/>
        <b val="0"/>
        <color theme="1"/>
        <sz val="12.0"/>
      </rPr>
      <t>3</t>
    </r>
    <r>
      <rPr>
        <rFont val="Times New Roman"/>
        <b/>
        <color theme="1"/>
        <sz val="12.0"/>
      </rPr>
      <t xml:space="preserve"> - </t>
    </r>
    <r>
      <rPr>
        <rFont val="Times New Roman"/>
        <b val="0"/>
        <color theme="1"/>
        <sz val="12.0"/>
      </rPr>
      <t>high (Substantial), 2- medium (moderate) , 1- low, No relation : '-'</t>
    </r>
  </si>
  <si>
    <t>Sr. No.</t>
  </si>
  <si>
    <t>CO</t>
  </si>
  <si>
    <t>PO</t>
  </si>
  <si>
    <t>PSO</t>
  </si>
  <si>
    <t>PO1</t>
  </si>
  <si>
    <t>PO2</t>
  </si>
  <si>
    <t>PO3</t>
  </si>
  <si>
    <t>PO4</t>
  </si>
  <si>
    <t>PO5</t>
  </si>
  <si>
    <t>PO6</t>
  </si>
  <si>
    <t>PO7</t>
  </si>
  <si>
    <t>PSO1</t>
  </si>
  <si>
    <t>PSO2</t>
  </si>
  <si>
    <t>Basic Knowledge &amp; Discipline Knowledge</t>
  </si>
  <si>
    <t>Problem analysis</t>
  </si>
  <si>
    <t>Design/developmet of solutions</t>
  </si>
  <si>
    <t>Engineering tools, Experimentation and Testing</t>
  </si>
  <si>
    <t>Engineering Practices for society, sustainability , Environment, Ethics</t>
  </si>
  <si>
    <t>Project Management</t>
  </si>
  <si>
    <t xml:space="preserve">Life Long learning </t>
  </si>
  <si>
    <t>Computer Software and Hardware Usage</t>
  </si>
  <si>
    <t>Computer Engineering Maintenance</t>
  </si>
  <si>
    <t>-</t>
  </si>
  <si>
    <t>Average</t>
  </si>
  <si>
    <t>Targeted Attainment Level</t>
  </si>
  <si>
    <t xml:space="preserve">          HOD COMPUTER</t>
  </si>
  <si>
    <t>Name of Faculty &amp; Signature</t>
  </si>
  <si>
    <t>GOVERNMENT POLYTECHNIC DHARASHIV</t>
  </si>
  <si>
    <t>Note :</t>
  </si>
  <si>
    <t xml:space="preserve">           Fill only this colour cells for all worksheets</t>
  </si>
  <si>
    <r>
      <rPr>
        <rFont val="Calibri"/>
        <i/>
        <color theme="1"/>
        <sz val="11.0"/>
        <u/>
      </rPr>
      <t>This cells are autofilled fields .</t>
    </r>
    <r>
      <rPr>
        <rFont val="Calibri"/>
        <i/>
        <color theme="1"/>
        <sz val="11.0"/>
        <u/>
      </rPr>
      <t xml:space="preserve">                                                         </t>
    </r>
    <r>
      <rPr>
        <rFont val="Calibri"/>
        <i/>
        <color theme="1"/>
        <sz val="11.0"/>
        <u/>
      </rPr>
      <t xml:space="preserve">   Do not overwrite this cells for all worksheets</t>
    </r>
  </si>
  <si>
    <t>Evaluation of Answersheets for FA-TH(Unit Test)</t>
  </si>
  <si>
    <t>Internal Assessment ( Direct Mode)</t>
  </si>
  <si>
    <t xml:space="preserve">Program/Semester : </t>
  </si>
  <si>
    <t>Academic Year</t>
  </si>
  <si>
    <t>Enrollment ID / Seat No</t>
  </si>
  <si>
    <t>Student Name</t>
  </si>
  <si>
    <t>CO1 
max. Marks</t>
  </si>
  <si>
    <t>CO2
 max. Marks</t>
  </si>
  <si>
    <t>CO3 max. Marks</t>
  </si>
  <si>
    <t>CO4 
max. Marks</t>
  </si>
  <si>
    <t>CO5 max. Marks</t>
  </si>
  <si>
    <t>CO6 
max. Marks</t>
  </si>
  <si>
    <t>U. TEST I</t>
  </si>
  <si>
    <t>U. TEST II</t>
  </si>
  <si>
    <t>Total Max. Marks(with Extra)</t>
  </si>
  <si>
    <t>GARAD ANJALI NITIN</t>
  </si>
  <si>
    <t>WALANDE GAURI DAYANAND</t>
  </si>
  <si>
    <t>ZUNJURE SARTHAK BALAJI</t>
  </si>
  <si>
    <t>BHANDE GAYATRI DAMODAR</t>
  </si>
  <si>
    <t>MUNDHE GAYATRI PARMESHWAR</t>
  </si>
  <si>
    <t>YADAV RADHA SAMADHAN</t>
  </si>
  <si>
    <t>DESHMANE MANSI SIDDHESHWAR</t>
  </si>
  <si>
    <t>GAWALGADADE POOJA ARVIND</t>
  </si>
  <si>
    <t>JAIN TANISHA SHAILESH</t>
  </si>
  <si>
    <t> KAMBLE PRANAV UDDHAV</t>
  </si>
  <si>
    <t>MAINDARGE SIDDHI PRASAD</t>
  </si>
  <si>
    <t> CHAVAN POOJA BALASAHEB</t>
  </si>
  <si>
    <t>BHOSALE VAISHNAVI DAYANAND</t>
  </si>
  <si>
    <t> NAHANE VIVEK KAKASAHEB</t>
  </si>
  <si>
    <t>ATTAR SANIYA VAJIR</t>
  </si>
  <si>
    <t> SOMVANSHI MADHAV SHRIRANG</t>
  </si>
  <si>
    <t>NALWADE SNEHA NETAJI</t>
  </si>
  <si>
    <t> SWAMI KEDAR RACHAPPA</t>
  </si>
  <si>
    <t>AADHE PANKAJ RAM</t>
  </si>
  <si>
    <t> KALE ADITYA SURESH</t>
  </si>
  <si>
    <t>BUDGE VISHAKHA VENKAT</t>
  </si>
  <si>
    <t>PAWAR PRATIKSHA VITTHAL</t>
  </si>
  <si>
    <t>WAGHMARE RAU HANMANT</t>
  </si>
  <si>
    <t>MAHAJAN SHRUTI DILIP</t>
  </si>
  <si>
    <t>CHANDANE GAYATRI PRASHANT</t>
  </si>
  <si>
    <t>JOSHI SHRAVANI SHRIKANT</t>
  </si>
  <si>
    <t>MANE ANUSHKA BALASAHEB</t>
  </si>
  <si>
    <t>GADEKAR MAHESH BALAJI</t>
  </si>
  <si>
    <t>DESHMUKH SWANANDI UDAYRAO</t>
  </si>
  <si>
    <t>LAGDIVE SHIVAM NITIN</t>
  </si>
  <si>
    <t>SARPHALE POOJA SADASHIV</t>
  </si>
  <si>
    <t>WAGHMARE ABHISHEK SOMNATH</t>
  </si>
  <si>
    <t>KAMBALE ROHINI RUPESH</t>
  </si>
  <si>
    <t>ROCHKARI SANSKRUTI SUDHIR</t>
  </si>
  <si>
    <t>NIMBALKAR APURVA BHUJANG</t>
  </si>
  <si>
    <t>KSHIRSAGAR SAMARTH DATTATRAY</t>
  </si>
  <si>
    <t>MASIHA SILVIYA SANTOSH</t>
  </si>
  <si>
    <t>KAWADE PRIYA SHANKAR</t>
  </si>
  <si>
    <t>PATIL PRANITA PRAVIN</t>
  </si>
  <si>
    <t>GAVALI ROHAN DNYANDEO</t>
  </si>
  <si>
    <t>GAIKWAD VASUDHA SANDIPAN</t>
  </si>
  <si>
    <t>GORE SANKET NARENDRA</t>
  </si>
  <si>
    <t>HINGANE SAKSHI SATISH</t>
  </si>
  <si>
    <t>JADHAV SHREYAS YADAVRAO</t>
  </si>
  <si>
    <t>WAKALE KOMAL SANTOSH</t>
  </si>
  <si>
    <t>KALE PRANITA NAMDEV</t>
  </si>
  <si>
    <t>KHARKE MAHESH HANUMANT</t>
  </si>
  <si>
    <t>PARVE SHRIRAM SUDHIR</t>
  </si>
  <si>
    <t>KOLNURE SURAJ RAJENDRA</t>
  </si>
  <si>
    <t>KANDALE ADITYA VILAS</t>
  </si>
  <si>
    <t>BARATE VARSHARANI DADASAHEB</t>
  </si>
  <si>
    <t>BARATE AADITI DADASAHEB</t>
  </si>
  <si>
    <t>THORAVE SANIKA AMBADAS</t>
  </si>
  <si>
    <t>KULKARNI AAKANKSHA KAMLESH</t>
  </si>
  <si>
    <t>GAIKWAD GAYATRI SURESH</t>
  </si>
  <si>
    <t>SAROLKAR SAKSHI SHAMSUNDAR</t>
  </si>
  <si>
    <t>JAGTAP SANKET NARAYAN</t>
  </si>
  <si>
    <t>DHAPPADHULE VAISHNAVI SACHIN</t>
  </si>
  <si>
    <t>WAGHMARE AMAR BABAN</t>
  </si>
  <si>
    <t>DHEPE VAISHNAVI REVANNATH</t>
  </si>
  <si>
    <t>BAGADE GUNMANJIRI PURUSHOTTAM</t>
  </si>
  <si>
    <t>MULE SNEHA SANJIVAN</t>
  </si>
  <si>
    <t>BANSODE VINAYAK BABRUWAN</t>
  </si>
  <si>
    <t>ISHWARI ASHOK HAWALE</t>
  </si>
  <si>
    <t>JADHAV SANJYOT SHYAM</t>
  </si>
  <si>
    <t>KANLOD SHUBHAM GANPAT</t>
  </si>
  <si>
    <t>PHULARI VISHVJEET UMESH</t>
  </si>
  <si>
    <t>VHOTTE SHRUTIKA VAIJNATH</t>
  </si>
  <si>
    <t>#Set Competency target as % marks of max marks for each CO -- &gt;</t>
  </si>
  <si>
    <t xml:space="preserve">No. of students above set target </t>
  </si>
  <si>
    <t>Benchmark of Attainment level  against set target/ competency</t>
  </si>
  <si>
    <t xml:space="preserve">No of Students </t>
  </si>
  <si>
    <t xml:space="preserve">Level </t>
  </si>
  <si>
    <t>LEVEL</t>
  </si>
  <si>
    <t xml:space="preserve"> % of Students got more than set target --&gt;</t>
  </si>
  <si>
    <t>CO-wise  Attainment for Unit Test</t>
  </si>
  <si>
    <t xml:space="preserve">CO5 </t>
  </si>
  <si>
    <t>C06</t>
  </si>
  <si>
    <t>Attainment Level</t>
  </si>
  <si>
    <t xml:space="preserve"> </t>
  </si>
  <si>
    <t xml:space="preserve">External Evaluation of End Semester Board Examination </t>
  </si>
  <si>
    <t xml:space="preserve"> Direct Assessment</t>
  </si>
  <si>
    <t>TH-ESE
(End Sem Board Exam.) Max. Marks</t>
  </si>
  <si>
    <t xml:space="preserve">#Set Competency target as Board's TSI </t>
  </si>
  <si>
    <t># Note : MSBTE TSI marks for the End Sem Board Exam is taken from MSBTE's result Gazette copy</t>
  </si>
  <si>
    <t xml:space="preserve"> of Students got more than set target </t>
  </si>
  <si>
    <t xml:space="preserve">of Students got more than set target </t>
  </si>
  <si>
    <t>CO-wise  Attainment for End Sem Board Exam</t>
  </si>
  <si>
    <t>* Attainment Level</t>
  </si>
  <si>
    <t xml:space="preserve">     * Note  - For End Sem Board Exam., same attainment level is considered for all Cos.</t>
  </si>
  <si>
    <t>Internal  Evaluation of PA-Practical work, Micro-Project, PR-ESE</t>
  </si>
  <si>
    <r>
      <rPr>
        <rFont val="Times New Roman"/>
        <b/>
        <color theme="1"/>
        <sz val="16.0"/>
        <u/>
      </rPr>
      <t xml:space="preserve">                      </t>
    </r>
    <r>
      <rPr>
        <rFont val="Times New Roman"/>
        <b/>
        <color theme="1"/>
        <sz val="16.0"/>
        <u/>
      </rPr>
      <t>Direct Assessment</t>
    </r>
  </si>
  <si>
    <t>Academic Year:</t>
  </si>
  <si>
    <t>(Micro Project/Assignment Evaluation (max. marks )</t>
  </si>
  <si>
    <t>PR-PA</t>
  </si>
  <si>
    <t>PR-ESE</t>
  </si>
  <si>
    <t xml:space="preserve">Set Competency target as  % marks for                    each criteria </t>
  </si>
  <si>
    <t xml:space="preserve">Benchmark of Attainment level  against set target/ competency for above criteria </t>
  </si>
  <si>
    <t xml:space="preserve">* CO-wise  Attainment level </t>
  </si>
  <si>
    <t xml:space="preserve">For Micro-Project </t>
  </si>
  <si>
    <t xml:space="preserve">For PA-Term Work /Assignments </t>
  </si>
  <si>
    <t>For Practical End Sem. Exam</t>
  </si>
  <si>
    <t xml:space="preserve">Indirect Assessment through Course end Survey </t>
  </si>
  <si>
    <t>* Rating Scale : 5-Excellent, 4-Very good, 3- Good, 2-poor, 1-Very Poor</t>
  </si>
  <si>
    <t>Enrollment ID</t>
  </si>
  <si>
    <t># Course Exit Survey of students  ( * Rating Scale )</t>
  </si>
  <si>
    <t>Average rating score out of 5</t>
  </si>
  <si>
    <t xml:space="preserve"> % Average rating score</t>
  </si>
  <si>
    <t># For Course End Survey ,Survey results are deduced  from random sample size of 10 students approximately</t>
  </si>
  <si>
    <t xml:space="preserve"> for individual courses per semester.</t>
  </si>
  <si>
    <t xml:space="preserve">Benchmark of Attainment level  against average survey rating </t>
  </si>
  <si>
    <t xml:space="preserve">Average  rating  score &gt; = 40 % </t>
  </si>
  <si>
    <t xml:space="preserve">Average rating  score &gt; = 65 % </t>
  </si>
  <si>
    <t xml:space="preserve">Average  rating  score  &gt; = 80 % </t>
  </si>
  <si>
    <t>For Course ExirSurvey</t>
  </si>
  <si>
    <t xml:space="preserve">     * Note  - For Indirect assessment , As survey taken for overall rating of courses, hence </t>
  </si>
  <si>
    <t>same attainment level is considered for all Cos.</t>
  </si>
  <si>
    <t xml:space="preserve">CO -PO  Attainment </t>
  </si>
  <si>
    <t>Set Corelation  of CO-PO Mapping</t>
  </si>
  <si>
    <r>
      <rPr>
        <rFont val="Times New Roman"/>
        <b/>
        <color theme="1"/>
        <sz val="12.0"/>
      </rPr>
      <t xml:space="preserve">Strength of corelation : </t>
    </r>
    <r>
      <rPr>
        <rFont val="Times New Roman"/>
        <b val="0"/>
        <color theme="1"/>
        <sz val="12.0"/>
      </rPr>
      <t>3</t>
    </r>
    <r>
      <rPr>
        <rFont val="Times New Roman"/>
        <b/>
        <color theme="1"/>
        <sz val="12.0"/>
      </rPr>
      <t xml:space="preserve"> - </t>
    </r>
    <r>
      <rPr>
        <rFont val="Times New Roman"/>
        <b val="0"/>
        <color theme="1"/>
        <sz val="12.0"/>
      </rPr>
      <t>high (Substantial), 2- medium, 1- low</t>
    </r>
  </si>
  <si>
    <t>PO8</t>
  </si>
  <si>
    <t>PO9</t>
  </si>
  <si>
    <t>PO10</t>
  </si>
  <si>
    <t>Basic Knowledge</t>
  </si>
  <si>
    <t>Discipline Knowledge</t>
  </si>
  <si>
    <t>Experiments and Practice</t>
  </si>
  <si>
    <t>Engineering tools</t>
  </si>
  <si>
    <t>The Engineer and Society</t>
  </si>
  <si>
    <t>Environment and Sustainability</t>
  </si>
  <si>
    <t>Ethics</t>
  </si>
  <si>
    <t>Individual and Team work</t>
  </si>
  <si>
    <t>Communication</t>
  </si>
  <si>
    <t>Life-long learning</t>
  </si>
  <si>
    <t>Modern software Usage</t>
  </si>
  <si>
    <t>Measurement of  mechanical equipments</t>
  </si>
  <si>
    <t>Apply the laws of thermodynamics to devices based on thermodynamics</t>
  </si>
  <si>
    <t>Use first law of thermodynamic for ideal gas in closed systems</t>
  </si>
  <si>
    <t>Use relevant steam boilers</t>
  </si>
  <si>
    <t>Use relevant steam nozzles and turbines</t>
  </si>
  <si>
    <t>Use relevant steam condensers</t>
  </si>
  <si>
    <t>CO6</t>
  </si>
  <si>
    <t>Use suitable modes for heat transfer</t>
  </si>
  <si>
    <t>Contribution to PO</t>
  </si>
  <si>
    <t>Course-PO attainment</t>
  </si>
  <si>
    <t xml:space="preserve"> % Course-PO attainment</t>
  </si>
  <si>
    <t>Overall CO Attainment</t>
  </si>
  <si>
    <t>Overall Course CO Attainment</t>
  </si>
  <si>
    <t xml:space="preserve">Final Direct Course Attainment Calculation </t>
  </si>
  <si>
    <t xml:space="preserve">Final Indirect Course Attainment Calculation </t>
  </si>
  <si>
    <r>
      <rPr>
        <rFont val="Calibri"/>
        <color theme="1"/>
        <sz val="11.0"/>
      </rPr>
      <t xml:space="preserve">                </t>
    </r>
    <r>
      <rPr>
        <rFont val="Calibri"/>
        <b/>
        <color theme="1"/>
        <sz val="11.0"/>
      </rPr>
      <t xml:space="preserve"> COS</t>
    </r>
  </si>
  <si>
    <t>Internal</t>
  </si>
  <si>
    <t>External</t>
  </si>
  <si>
    <t>Unit Tests</t>
  </si>
  <si>
    <t>PA_Term Work</t>
  </si>
  <si>
    <t xml:space="preserve">Micro- Project </t>
  </si>
  <si>
    <t>E.S.E Board</t>
  </si>
  <si>
    <t>Course Exit Survey</t>
  </si>
  <si>
    <t xml:space="preserve">Average Attainment </t>
  </si>
  <si>
    <t>Indiviual Weightage (%)</t>
  </si>
  <si>
    <t xml:space="preserve">Direct Total Attainment </t>
  </si>
  <si>
    <t xml:space="preserve">Total Direct Course Attainment </t>
  </si>
  <si>
    <t xml:space="preserve">Total Indirect Course Attainment </t>
  </si>
  <si>
    <t xml:space="preserve">Overall Weightage </t>
  </si>
  <si>
    <t xml:space="preserve">Weightage </t>
  </si>
  <si>
    <t xml:space="preserve">Final Direct Course Attainment </t>
  </si>
  <si>
    <t>Final  Indirect Course Attainment</t>
  </si>
  <si>
    <t>Overall Course CO Attainment (B)</t>
  </si>
  <si>
    <t>Template sheet is Prepared by Prof. A.B.Bhure</t>
  </si>
  <si>
    <t xml:space="preserve">L.M.E., P.L.G.P. Latur </t>
  </si>
  <si>
    <t>DIRECT CO ASSESSMENT TOOL/COURSE EVALUATION PLAN</t>
  </si>
  <si>
    <t>TH-PA</t>
  </si>
  <si>
    <t>TH-ESE</t>
  </si>
  <si>
    <t>TOTAL</t>
  </si>
  <si>
    <t>U.Test I</t>
  </si>
  <si>
    <t>U. Test II</t>
  </si>
  <si>
    <t>Microproject</t>
  </si>
  <si>
    <t>Practical Exam</t>
  </si>
  <si>
    <t>MAX MARKS AS PER TEACHING SCHEME</t>
  </si>
  <si>
    <t>INDIVIDUAL WEIGHTAGE (%)</t>
  </si>
  <si>
    <r>
      <rPr>
        <rFont val="Calibri"/>
        <color theme="1"/>
        <sz val="11.0"/>
      </rPr>
      <t xml:space="preserve">                </t>
    </r>
    <r>
      <rPr>
        <rFont val="Calibri"/>
        <b/>
        <color theme="1"/>
        <sz val="11.0"/>
      </rPr>
      <t xml:space="preserve"> COS</t>
    </r>
  </si>
  <si>
    <t xml:space="preserve">CO -PO  Actual Attainment </t>
  </si>
  <si>
    <r>
      <rPr>
        <rFont val="Times New Roman"/>
        <b/>
        <color theme="1"/>
        <sz val="12.0"/>
      </rPr>
      <t xml:space="preserve">Strength of correlation : </t>
    </r>
    <r>
      <rPr>
        <rFont val="Times New Roman"/>
        <b val="0"/>
        <color theme="1"/>
        <sz val="12.0"/>
      </rPr>
      <t>3</t>
    </r>
    <r>
      <rPr>
        <rFont val="Times New Roman"/>
        <b/>
        <color theme="1"/>
        <sz val="12.0"/>
      </rPr>
      <t xml:space="preserve"> - </t>
    </r>
    <r>
      <rPr>
        <rFont val="Times New Roman"/>
        <b val="0"/>
        <color theme="1"/>
        <sz val="12.0"/>
      </rPr>
      <t>high (Substantial), 2- medium(moderate), 1- low, No relation : '-'</t>
    </r>
  </si>
  <si>
    <t>Average Contribution of each CO to each PO (A)</t>
  </si>
  <si>
    <t>Course CO-PO ACTUAL ATTAINMENT LEVEL= ((AxB)/3)</t>
  </si>
  <si>
    <t>Justification for the Mapping</t>
  </si>
  <si>
    <t>PO1 (Engineering Knowledge): High correlation (3) across all COs, as understanding and implementing data structures is fundamental to engineering knowledge in Computer Science.</t>
  </si>
  <si>
    <t>PO2 (Problem Analysis): Increases in correlation from CO1 to CO5. Basic arrays (CO1) are straightforward, but designing and implementing complex structures like trees (CO5) requires significant analysis of data relationships.</t>
  </si>
  <si>
    <t>PO3 (Design/Development of Solutions): Fundamental to coding tasks. As you move from arrays to trees, the complexity of the design increases, warranting a strong correlation (3).</t>
  </si>
  <si>
    <t>PO4 (Engineering Tools/Testing): Coding, debugging, and testing these structures (using compilers or IDEs) involves standard engineering experimentation and verification.</t>
  </si>
  <si>
    <t>PO5 (Modern Tool Usage): Mapping 1-2, as modern software development environments are essential for implementing and testing these algorithms.</t>
  </si>
  <si>
    <t>PSO1 (Computer Software and Hardware Usage): Strong correlation (3) because these outcomes directly focus on developing computer software/applications.</t>
  </si>
  <si>
    <t>PSO2 (Computer Engineering Maintenance): Moderate correlation (2) as the ability to design efficient structures is critical for the long-term maintenance and optimization of software systems.</t>
  </si>
  <si>
    <t>Note: The empty cells (indicated by "-") suggest no direct, significant correlation for this specific course content. Adjust these levels (1, 2, or 3) based on the specific depth of your course curriculum and your department's internal guidelines.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</si>
</sst>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
  </numFmts>
  <fonts count="45">
    <font>
      <sz val="11.0"/>
      <color theme="1"/>
      <name val="Calibri"/>
      <scheme val="minor"/>
    </font>
    <font>
      <sz val="18.0"/>
      <color theme="1"/>
      <name val="Algerian"/>
    </font>
    <font>
      <sz val="11.0"/>
      <color theme="1"/>
      <name val="Algerian"/>
    </font>
    <font>
      <sz val="11.0"/>
      <color theme="1"/>
      <name val="Calibri"/>
    </font>
    <font>
      <sz val="11.0"/>
      <color theme="1"/>
      <name val="Times New Roman"/>
    </font>
    <font/>
    <font>
      <b/>
      <sz val="12.0"/>
      <color theme="1"/>
      <name val="Times New Roman"/>
    </font>
    <font>
      <b/>
      <sz val="14.0"/>
      <color theme="1"/>
      <name val="Times New Roman"/>
    </font>
    <font>
      <b/>
      <sz val="9.0"/>
      <color theme="1"/>
      <name val="Times New Roman"/>
    </font>
    <font>
      <b/>
      <sz val="10.0"/>
      <color theme="1"/>
      <name val="Times New Roman"/>
    </font>
    <font>
      <color rgb="FF1F1F1F"/>
      <name val="&quot;Google Sans Text&quot;"/>
    </font>
    <font>
      <sz val="10.0"/>
      <color theme="1"/>
      <name val="Times New Roman"/>
    </font>
    <font>
      <sz val="10.0"/>
      <color theme="1"/>
      <name val="Calibri"/>
    </font>
    <font>
      <b/>
      <sz val="11.0"/>
      <color rgb="FF000000"/>
      <name val="Times New Roman"/>
    </font>
    <font>
      <i/>
      <u/>
      <sz val="11.0"/>
      <color theme="1"/>
      <name val="Calibri"/>
    </font>
    <font>
      <i/>
      <u/>
      <sz val="11.0"/>
      <color theme="1"/>
      <name val="Calibri"/>
    </font>
    <font>
      <b/>
      <u/>
      <sz val="16.0"/>
      <color theme="1"/>
      <name val="Algerian"/>
    </font>
    <font>
      <b/>
      <sz val="11.0"/>
      <color theme="1"/>
      <name val="Times New Roman"/>
    </font>
    <font>
      <i/>
      <sz val="10.0"/>
      <color theme="1"/>
      <name val="Times New Roman"/>
    </font>
    <font>
      <b/>
      <i/>
      <sz val="11.0"/>
      <color theme="1"/>
      <name val="Times New Roman"/>
    </font>
    <font>
      <sz val="12.0"/>
      <color theme="1"/>
      <name val="Calibri"/>
    </font>
    <font>
      <color theme="1"/>
      <name val="Arial"/>
    </font>
    <font>
      <sz val="12.0"/>
      <color theme="1"/>
      <name val="Arial"/>
    </font>
    <font>
      <sz val="11.0"/>
      <color rgb="FF000000"/>
      <name val="Calibri"/>
    </font>
    <font>
      <b/>
      <sz val="12.0"/>
      <color theme="1"/>
      <name val="Calibri"/>
    </font>
    <font>
      <b/>
      <u/>
      <sz val="16.0"/>
      <color theme="1"/>
      <name val="Times New Roman"/>
    </font>
    <font>
      <b/>
      <u/>
      <sz val="16.0"/>
      <color theme="1"/>
      <name val="Times New Roman"/>
    </font>
    <font>
      <color rgb="FFF9CB9C"/>
      <name val="Calibri"/>
    </font>
    <font>
      <color theme="1"/>
      <name val="Calibri"/>
    </font>
    <font>
      <b/>
      <color theme="1"/>
      <name val="Arial"/>
    </font>
    <font>
      <b/>
      <sz val="11.0"/>
      <color theme="1"/>
      <name val="Calibri"/>
    </font>
    <font>
      <b/>
      <u/>
      <sz val="16.0"/>
      <color theme="1"/>
      <name val="Times New Roman"/>
    </font>
    <font>
      <b/>
      <sz val="14.0"/>
      <color theme="1"/>
      <name val="Calibri"/>
    </font>
    <font>
      <sz val="11.0"/>
      <color rgb="FFFF0000"/>
      <name val="Times New Roman"/>
    </font>
    <font>
      <sz val="22.0"/>
      <color theme="1"/>
      <name val="Calibri"/>
    </font>
    <font>
      <b/>
      <sz val="18.0"/>
      <color rgb="FF7030A0"/>
      <name val="Calibri"/>
    </font>
    <font>
      <b/>
      <sz val="16.0"/>
      <color rgb="FF7030A0"/>
      <name val="Calibri"/>
    </font>
    <font>
      <i/>
      <sz val="11.0"/>
      <color theme="1"/>
      <name val="Calibri"/>
    </font>
    <font>
      <b/>
      <sz val="11.0"/>
      <color rgb="FF7030A0"/>
      <name val="Calibri"/>
    </font>
    <font>
      <sz val="11.0"/>
      <color rgb="FF7030A0"/>
      <name val="Calibri"/>
    </font>
    <font>
      <b/>
      <sz val="14.0"/>
      <color rgb="FF7030A0"/>
      <name val="Calibri"/>
    </font>
    <font>
      <b/>
      <sz val="16.0"/>
      <color theme="1"/>
      <name val="Calibri"/>
    </font>
    <font>
      <b/>
      <sz val="10.0"/>
      <color rgb="FF000000"/>
      <name val="Times New Roman"/>
    </font>
    <font>
      <b/>
      <color rgb="FF1F1F1F"/>
      <name val="&quot;Google Sans Text&quot;"/>
    </font>
    <font>
      <b/>
      <sz val="14.0"/>
      <color theme="1"/>
      <name val="Calibri"/>
      <scheme val="minor"/>
    </font>
  </fonts>
  <fills count="17">
    <fill>
      <patternFill patternType="none"/>
    </fill>
    <fill>
      <patternFill patternType="lightGray"/>
    </fill>
    <fill>
      <patternFill patternType="solid">
        <fgColor rgb="FFFFFF00"/>
        <bgColor rgb="FFFFFF00"/>
      </patternFill>
    </fill>
    <fill>
      <patternFill patternType="solid">
        <fgColor rgb="FFFFFFFF"/>
        <bgColor rgb="FFFFFFFF"/>
      </patternFill>
    </fill>
    <fill>
      <patternFill patternType="solid">
        <fgColor rgb="FFF2F2F2"/>
        <bgColor rgb="FFF2F2F2"/>
      </patternFill>
    </fill>
    <fill>
      <patternFill patternType="solid">
        <fgColor rgb="FFFFFFCC"/>
        <bgColor rgb="FFFFFFCC"/>
      </patternFill>
    </fill>
    <fill>
      <patternFill patternType="solid">
        <fgColor theme="0"/>
        <bgColor theme="0"/>
      </patternFill>
    </fill>
    <fill>
      <patternFill patternType="solid">
        <fgColor rgb="FFCCECFF"/>
        <bgColor rgb="FFCCECFF"/>
      </patternFill>
    </fill>
    <fill>
      <patternFill patternType="solid">
        <fgColor rgb="FFF0EEE4"/>
        <bgColor rgb="FFF0EEE4"/>
      </patternFill>
    </fill>
    <fill>
      <patternFill patternType="solid">
        <fgColor rgb="FFFDE9D9"/>
        <bgColor rgb="FFFDE9D9"/>
      </patternFill>
    </fill>
    <fill>
      <patternFill patternType="solid">
        <fgColor rgb="FFECFFD9"/>
        <bgColor rgb="FFECFFD9"/>
      </patternFill>
    </fill>
    <fill>
      <patternFill patternType="solid">
        <fgColor rgb="FFFBE4FC"/>
        <bgColor rgb="FFFBE4FC"/>
      </patternFill>
    </fill>
    <fill>
      <patternFill patternType="solid">
        <fgColor rgb="FFE1FFFF"/>
        <bgColor rgb="FFE1FFFF"/>
      </patternFill>
    </fill>
    <fill>
      <patternFill patternType="solid">
        <fgColor rgb="FFFFE4C9"/>
        <bgColor rgb="FFFFE4C9"/>
      </patternFill>
    </fill>
    <fill>
      <patternFill patternType="solid">
        <fgColor rgb="FFF8F9FA"/>
        <bgColor rgb="FFF8F9FA"/>
      </patternFill>
    </fill>
    <fill>
      <patternFill patternType="solid">
        <fgColor rgb="FFFFF2CC"/>
        <bgColor rgb="FFFFF2CC"/>
      </patternFill>
    </fill>
    <fill>
      <patternFill patternType="solid">
        <fgColor rgb="FFCCFFFF"/>
        <bgColor rgb="FFCCFFFF"/>
      </patternFill>
    </fill>
  </fills>
  <borders count="92">
    <border/>
    <border>
      <left/>
      <right/>
      <top/>
      <bottom/>
    </border>
    <border>
      <left style="thin">
        <color rgb="FF000000"/>
      </left>
      <top/>
      <bottom/>
    </border>
    <border>
      <top/>
      <bottom/>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medium">
        <color rgb="FF000000"/>
      </left>
      <right style="medium">
        <color rgb="FF000000"/>
      </right>
      <top style="medium">
        <color rgb="FF000000"/>
      </top>
    </border>
    <border>
      <left style="medium">
        <color rgb="FF000000"/>
      </left>
      <top style="medium">
        <color rgb="FF000000"/>
      </top>
    </border>
    <border>
      <right style="medium">
        <color rgb="FF000000"/>
      </right>
      <top style="medium">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medium">
        <color rgb="FF000000"/>
      </right>
    </border>
    <border>
      <left style="medium">
        <color rgb="FF000000"/>
      </left>
    </border>
    <border>
      <right style="medium">
        <color rgb="FF000000"/>
      </right>
    </border>
    <border>
      <left/>
      <right style="medium">
        <color rgb="FF000000"/>
      </right>
      <top/>
      <bottom style="medium">
        <color rgb="FF000000"/>
      </bottom>
    </border>
    <border>
      <left style="medium">
        <color rgb="FF000000"/>
      </left>
      <right style="medium">
        <color rgb="FF000000"/>
      </right>
      <bottom style="medium">
        <color rgb="FF000000"/>
      </bottom>
    </border>
    <border>
      <left style="medium">
        <color rgb="FF000000"/>
      </left>
      <bottom style="medium">
        <color rgb="FF000000"/>
      </bottom>
    </border>
    <border>
      <right style="medium">
        <color rgb="FF000000"/>
      </right>
      <bottom style="medium">
        <color rgb="FF000000"/>
      </bottom>
    </border>
    <border>
      <left style="medium">
        <color rgb="FF000000"/>
      </left>
      <right style="medium">
        <color rgb="FF000000"/>
      </right>
      <top/>
      <bottom style="medium">
        <color rgb="FF000000"/>
      </bottom>
    </border>
    <border>
      <left style="medium">
        <color rgb="FF000000"/>
      </left>
      <right style="medium">
        <color rgb="FF000000"/>
      </right>
      <top style="medium">
        <color rgb="FF000000"/>
      </top>
      <bottom style="medium">
        <color rgb="FF000000"/>
      </bottom>
    </border>
    <border>
      <left/>
      <top/>
      <bottom/>
    </border>
    <border>
      <right style="thin">
        <color rgb="FF000000"/>
      </right>
    </border>
    <border>
      <left style="thin">
        <color rgb="FF000000"/>
      </left>
    </border>
    <border>
      <left style="thin">
        <color rgb="FF000000"/>
      </left>
      <right style="thin">
        <color rgb="FF000000"/>
      </right>
      <top style="thin">
        <color rgb="FF000000"/>
      </top>
    </border>
    <border>
      <left style="thin">
        <color rgb="FF000000"/>
      </left>
      <right style="thin">
        <color rgb="FF000000"/>
      </right>
    </border>
    <border>
      <left style="thin">
        <color rgb="FF000000"/>
      </left>
      <top style="thin">
        <color rgb="FF000000"/>
      </top>
    </border>
    <border>
      <right style="thin">
        <color rgb="FF000000"/>
      </right>
      <top style="thin">
        <color rgb="FF000000"/>
      </top>
    </border>
    <border>
      <left style="thin">
        <color rgb="FF000000"/>
      </left>
      <right style="thin">
        <color rgb="FF000000"/>
      </right>
      <bottom style="thin">
        <color rgb="FF000000"/>
      </bottom>
    </border>
    <border>
      <left style="thin">
        <color rgb="FF000000"/>
      </left>
      <bottom style="thin">
        <color rgb="FF000000"/>
      </bottom>
    </border>
    <border>
      <right style="thin">
        <color rgb="FF000000"/>
      </right>
      <bottom style="thin">
        <color rgb="FF000000"/>
      </bottom>
    </border>
    <border>
      <left style="medium">
        <color rgb="FF000000"/>
      </left>
      <right style="medium">
        <color rgb="FF000000"/>
      </right>
      <top/>
    </border>
    <border>
      <left/>
      <right style="medium">
        <color rgb="FF000000"/>
      </right>
      <top style="medium">
        <color rgb="FF000000"/>
      </top>
      <bottom style="medium">
        <color rgb="FF000000"/>
      </bottom>
    </border>
    <border>
      <left/>
      <top style="medium">
        <color rgb="FF000000"/>
      </top>
      <bottom style="medium">
        <color rgb="FF000000"/>
      </bottom>
    </border>
    <border>
      <left style="medium">
        <color rgb="FF000000"/>
      </left>
      <right style="thin">
        <color rgb="FF000000"/>
      </right>
      <top style="medium">
        <color rgb="FF000000"/>
      </top>
    </border>
    <border>
      <left style="thin">
        <color rgb="FF000000"/>
      </left>
      <top style="medium">
        <color rgb="FF000000"/>
      </top>
      <bottom style="medium">
        <color rgb="FF000000"/>
      </bottom>
    </border>
    <border>
      <right style="medium">
        <color rgb="FF000000"/>
      </right>
      <top style="medium">
        <color rgb="FF000000"/>
      </top>
      <bottom style="thin">
        <color rgb="FF000000"/>
      </bottom>
    </border>
    <border>
      <left/>
      <right style="medium">
        <color rgb="FF000000"/>
      </right>
      <top style="medium">
        <color rgb="FF000000"/>
      </top>
      <bottom style="thin">
        <color rgb="FF000000"/>
      </bottom>
    </border>
    <border>
      <left style="medium">
        <color rgb="FF000000"/>
      </left>
      <top/>
      <bottom style="thin">
        <color rgb="FF000000"/>
      </bottom>
    </border>
    <border>
      <right style="medium">
        <color rgb="FF000000"/>
      </right>
      <top/>
      <bottom style="thin">
        <color rgb="FF000000"/>
      </bottom>
    </border>
    <border>
      <left style="medium">
        <color rgb="FF000000"/>
      </left>
      <right style="thin">
        <color rgb="FF000000"/>
      </right>
    </border>
    <border>
      <left/>
      <right style="medium">
        <color rgb="FF000000"/>
      </right>
      <top/>
      <bottom style="thin">
        <color rgb="FF000000"/>
      </bottom>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medium">
        <color rgb="FF000000"/>
      </bottom>
    </border>
    <border>
      <left style="medium">
        <color rgb="FF000000"/>
      </left>
      <top style="thin">
        <color rgb="FF000000"/>
      </top>
      <bottom style="medium">
        <color rgb="FF000000"/>
      </bottom>
    </border>
    <border>
      <right style="medium">
        <color rgb="FF000000"/>
      </right>
      <top style="thin">
        <color rgb="FF000000"/>
      </top>
      <bottom style="medium">
        <color rgb="FF000000"/>
      </bottom>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medium">
        <color rgb="FF000000"/>
      </left>
      <right style="medium">
        <color rgb="FF000000"/>
      </right>
      <top/>
      <bottom/>
    </border>
    <border>
      <left style="thin">
        <color rgb="FF000000"/>
      </left>
      <top style="medium">
        <color rgb="FF000000"/>
      </top>
      <bottom style="thin">
        <color rgb="FF000000"/>
      </bottom>
    </border>
    <border>
      <left/>
      <top style="medium">
        <color rgb="FF000000"/>
      </top>
      <bottom style="thin">
        <color rgb="FF000000"/>
      </bottom>
    </border>
    <border>
      <left style="medium">
        <color rgb="FF000000"/>
      </left>
      <right style="medium">
        <color rgb="FF000000"/>
      </right>
      <top style="medium">
        <color rgb="FF000000"/>
      </top>
      <bottom style="thin">
        <color rgb="FF000000"/>
      </bottom>
    </border>
    <border>
      <left/>
      <top style="thin">
        <color rgb="FF000000"/>
      </top>
      <bottom style="thin">
        <color rgb="FF000000"/>
      </bottom>
    </border>
    <border>
      <left/>
      <right style="medium">
        <color rgb="FF000000"/>
      </right>
      <top style="thin">
        <color rgb="FF000000"/>
      </top>
      <bottom style="thin">
        <color rgb="FF000000"/>
      </bottom>
    </border>
    <border>
      <left style="medium">
        <color rgb="FF000000"/>
      </left>
      <right style="medium">
        <color rgb="FF000000"/>
      </right>
      <top style="thin">
        <color rgb="FF000000"/>
      </top>
      <bottom style="thin">
        <color rgb="FF000000"/>
      </bottom>
    </border>
    <border>
      <left style="thin">
        <color rgb="FF000000"/>
      </left>
      <top style="thin">
        <color rgb="FF000000"/>
      </top>
      <bottom style="medium">
        <color rgb="FF000000"/>
      </bottom>
    </border>
    <border>
      <left/>
      <top style="thin">
        <color rgb="FF000000"/>
      </top>
      <bottom style="medium">
        <color rgb="FF000000"/>
      </bottom>
    </border>
    <border>
      <left/>
      <right style="medium">
        <color rgb="FF000000"/>
      </right>
      <top style="thin">
        <color rgb="FF000000"/>
      </top>
      <bottom style="medium">
        <color rgb="FF000000"/>
      </bottom>
    </border>
    <border>
      <left style="medium">
        <color rgb="FF000000"/>
      </left>
      <right style="medium">
        <color rgb="FF000000"/>
      </right>
      <top style="thin">
        <color rgb="FF000000"/>
      </top>
      <bottom style="medium">
        <color rgb="FF000000"/>
      </bottom>
    </border>
    <border>
      <left style="medium">
        <color rgb="FF000000"/>
      </left>
      <top style="medium">
        <color rgb="FF000000"/>
      </top>
      <bottom style="thin">
        <color rgb="FF000000"/>
      </bottom>
    </border>
    <border>
      <right style="thin">
        <color rgb="FF000000"/>
      </right>
      <top style="medium">
        <color rgb="FF000000"/>
      </top>
      <bottom style="thin">
        <color rgb="FF000000"/>
      </bottom>
    </border>
    <border>
      <right style="thin">
        <color rgb="FF000000"/>
      </right>
      <top style="thin">
        <color rgb="FF000000"/>
      </top>
      <bottom style="medium">
        <color rgb="FF000000"/>
      </bottom>
    </border>
    <border>
      <left style="thin">
        <color rgb="FF000000"/>
      </left>
      <right style="thin">
        <color rgb="FF000000"/>
      </right>
      <top style="medium">
        <color rgb="FF000000"/>
      </top>
    </border>
    <border>
      <left/>
      <right/>
      <top/>
      <bottom style="thin">
        <color rgb="FF000000"/>
      </bottom>
    </border>
    <border>
      <left/>
      <right/>
      <top style="thin">
        <color rgb="FF000000"/>
      </top>
      <bottom style="thin">
        <color rgb="FF000000"/>
      </bottom>
    </border>
    <border>
      <right style="thin">
        <color rgb="FF000000"/>
      </right>
      <top style="medium">
        <color rgb="FF000000"/>
      </top>
      <bottom style="medium">
        <color rgb="FF000000"/>
      </bottom>
    </border>
    <border>
      <left style="thin">
        <color rgb="FF000000"/>
      </left>
      <right style="thin">
        <color rgb="FF000000"/>
      </right>
      <top style="medium">
        <color rgb="FF000000"/>
      </top>
      <bottom style="medium">
        <color rgb="FF000000"/>
      </bottom>
    </border>
    <border>
      <left style="thin">
        <color rgb="FF000000"/>
      </left>
      <right style="medium">
        <color rgb="FF000000"/>
      </right>
      <top style="medium">
        <color rgb="FF000000"/>
      </top>
      <bottom style="medium">
        <color rgb="FF000000"/>
      </bottom>
    </border>
    <border>
      <left style="thin">
        <color rgb="FF000000"/>
      </left>
      <right style="medium">
        <color rgb="FF000000"/>
      </right>
      <top style="thin">
        <color rgb="FF000000"/>
      </top>
      <bottom style="thin">
        <color rgb="FF000000"/>
      </bottom>
    </border>
    <border>
      <left style="thin">
        <color rgb="FF000000"/>
      </left>
      <right style="medium">
        <color rgb="FF000000"/>
      </right>
      <top style="thin">
        <color rgb="FF000000"/>
      </top>
      <bottom style="medium">
        <color rgb="FF000000"/>
      </bottom>
    </border>
    <border>
      <left style="medium">
        <color rgb="FF000000"/>
      </left>
      <right style="medium">
        <color rgb="FF000000"/>
      </right>
      <bottom style="thin">
        <color rgb="FF000000"/>
      </bottom>
    </border>
    <border>
      <top style="medium">
        <color rgb="FF000000"/>
      </top>
      <bottom style="thin">
        <color rgb="FF000000"/>
      </bottom>
    </border>
    <border>
      <top style="thin">
        <color rgb="FF000000"/>
      </top>
      <bottom style="thin">
        <color rgb="FF000000"/>
      </bottom>
    </border>
    <border>
      <top style="thin">
        <color rgb="FF000000"/>
      </top>
      <bottom style="medium">
        <color rgb="FF000000"/>
      </bottom>
    </border>
    <border>
      <bottom style="medium">
        <color rgb="FF000000"/>
      </bottom>
    </border>
    <border>
      <left style="medium">
        <color rgb="FF000000"/>
      </left>
      <right style="thin">
        <color rgb="FF000000"/>
      </right>
      <top style="medium">
        <color rgb="FF000000"/>
      </top>
      <bottom style="medium">
        <color rgb="FF000000"/>
      </bottom>
    </border>
    <border>
      <left/>
      <right style="thin">
        <color rgb="FF000000"/>
      </right>
      <top style="thin">
        <color rgb="FF000000"/>
      </top>
      <bottom style="thin">
        <color rgb="FF000000"/>
      </bottom>
    </border>
    <border>
      <right style="thin">
        <color rgb="FF000000"/>
      </right>
      <top style="medium">
        <color rgb="FF000000"/>
      </top>
    </border>
    <border>
      <left style="thin">
        <color rgb="FF000000"/>
      </left>
      <right style="medium">
        <color rgb="FF000000"/>
      </right>
      <top style="medium">
        <color rgb="FF000000"/>
      </top>
    </border>
    <border>
      <right style="thin">
        <color rgb="FF000000"/>
      </right>
      <bottom style="medium">
        <color rgb="FF000000"/>
      </bottom>
    </border>
    <border>
      <left style="thin">
        <color rgb="FF000000"/>
      </left>
      <right style="medium">
        <color rgb="FF000000"/>
      </right>
      <bottom style="medium">
        <color rgb="FF000000"/>
      </bottom>
    </border>
    <border>
      <left style="thin">
        <color rgb="FF000000"/>
      </left>
      <right style="medium">
        <color rgb="FF000000"/>
      </right>
      <top/>
      <bottom style="thin">
        <color rgb="FF000000"/>
      </bottom>
    </border>
    <border>
      <left style="medium">
        <color rgb="FF000000"/>
      </left>
      <right/>
      <top style="medium">
        <color rgb="FF000000"/>
      </top>
      <bottom style="medium">
        <color rgb="FF000000"/>
      </bottom>
    </border>
    <border>
      <left/>
      <right/>
      <top style="medium">
        <color rgb="FF000000"/>
      </top>
      <bottom style="medium">
        <color rgb="FF000000"/>
      </bottom>
    </border>
    <border>
      <left/>
      <right style="thin">
        <color rgb="FF000000"/>
      </right>
      <top style="medium">
        <color rgb="FF000000"/>
      </top>
      <bottom style="medium">
        <color rgb="FF000000"/>
      </bottom>
    </border>
    <border>
      <left/>
      <right style="thin">
        <color rgb="FF000000"/>
      </right>
      <top style="medium">
        <color rgb="FF000000"/>
      </top>
      <bottom style="thin">
        <color rgb="FF000000"/>
      </bottom>
    </border>
    <border>
      <left/>
      <right style="thin">
        <color rgb="FF000000"/>
      </right>
      <top style="thin">
        <color rgb="FF000000"/>
      </top>
      <bottom style="medium">
        <color rgb="FF000000"/>
      </bottom>
    </border>
  </borders>
  <cellStyleXfs count="1">
    <xf borderId="0" fillId="0" fontId="0" numFmtId="0" applyAlignment="1" applyFont="1"/>
  </cellStyleXfs>
  <cellXfs count="352">
    <xf borderId="0" fillId="0" fontId="0" numFmtId="0" xfId="0" applyAlignment="1" applyFont="1">
      <alignment readingOrder="0" shrinkToFit="0" vertical="bottom" wrapText="0"/>
    </xf>
    <xf borderId="1" fillId="2" fontId="1" numFmtId="0" xfId="0" applyBorder="1" applyFill="1" applyFont="1"/>
    <xf borderId="1" fillId="2" fontId="2" numFmtId="0" xfId="0" applyBorder="1" applyFont="1"/>
    <xf borderId="1" fillId="2" fontId="3" numFmtId="0" xfId="0" applyBorder="1" applyFont="1"/>
    <xf borderId="0" fillId="0" fontId="3" numFmtId="0" xfId="0" applyAlignment="1" applyFont="1">
      <alignment vertical="bottom"/>
    </xf>
    <xf borderId="0" fillId="0" fontId="4" numFmtId="0" xfId="0" applyAlignment="1" applyFont="1">
      <alignment horizontal="right" vertical="bottom"/>
    </xf>
    <xf borderId="2" fillId="2" fontId="4" numFmtId="0" xfId="0" applyAlignment="1" applyBorder="1" applyFont="1">
      <alignment horizontal="center" vertical="bottom"/>
    </xf>
    <xf borderId="3" fillId="0" fontId="5" numFmtId="0" xfId="0" applyBorder="1" applyFont="1"/>
    <xf borderId="0" fillId="0" fontId="6" numFmtId="0" xfId="0" applyAlignment="1" applyFont="1">
      <alignment vertical="bottom"/>
    </xf>
    <xf borderId="4" fillId="0" fontId="4" numFmtId="0" xfId="0" applyAlignment="1" applyBorder="1" applyFont="1">
      <alignment horizontal="center" shrinkToFit="0" vertical="bottom" wrapText="1"/>
    </xf>
    <xf borderId="5" fillId="2" fontId="4" numFmtId="0" xfId="0" applyAlignment="1" applyBorder="1" applyFont="1">
      <alignment shrinkToFit="0" vertical="bottom" wrapText="1"/>
    </xf>
    <xf borderId="6" fillId="2" fontId="3" numFmtId="0" xfId="0" applyAlignment="1" applyBorder="1" applyFont="1">
      <alignment vertical="bottom"/>
    </xf>
    <xf borderId="5" fillId="2" fontId="3" numFmtId="0" xfId="0" applyAlignment="1" applyBorder="1" applyFont="1">
      <alignment shrinkToFit="0" vertical="bottom" wrapText="1"/>
    </xf>
    <xf borderId="0" fillId="0" fontId="4" numFmtId="0" xfId="0" applyAlignment="1" applyFont="1">
      <alignment horizontal="center" shrinkToFit="0" vertical="bottom" wrapText="1"/>
    </xf>
    <xf borderId="0" fillId="3" fontId="3" numFmtId="0" xfId="0" applyAlignment="1" applyFill="1" applyFont="1">
      <alignment shrinkToFit="0" vertical="bottom" wrapText="1"/>
    </xf>
    <xf borderId="0" fillId="3" fontId="3" numFmtId="0" xfId="0" applyAlignment="1" applyFont="1">
      <alignment vertical="bottom"/>
    </xf>
    <xf borderId="0" fillId="0" fontId="7" numFmtId="0" xfId="0" applyAlignment="1" applyFont="1">
      <alignment vertical="center"/>
    </xf>
    <xf borderId="0" fillId="0" fontId="3" numFmtId="0" xfId="0" applyAlignment="1" applyFont="1">
      <alignment horizontal="center" vertical="center"/>
    </xf>
    <xf borderId="0" fillId="0" fontId="3" numFmtId="0" xfId="0" applyFont="1"/>
    <xf borderId="0" fillId="0" fontId="6" numFmtId="0" xfId="0" applyAlignment="1" applyFont="1">
      <alignment vertical="center"/>
    </xf>
    <xf borderId="7" fillId="4" fontId="6" numFmtId="0" xfId="0" applyAlignment="1" applyBorder="1" applyFill="1" applyFont="1">
      <alignment horizontal="center" shrinkToFit="0" vertical="center" wrapText="1"/>
    </xf>
    <xf borderId="8" fillId="4" fontId="6" numFmtId="0" xfId="0" applyAlignment="1" applyBorder="1" applyFont="1">
      <alignment horizontal="center" shrinkToFit="0" vertical="center" wrapText="1"/>
    </xf>
    <xf borderId="9" fillId="0" fontId="5" numFmtId="0" xfId="0" applyBorder="1" applyFont="1"/>
    <xf borderId="10" fillId="4" fontId="6" numFmtId="0" xfId="0" applyAlignment="1" applyBorder="1" applyFont="1">
      <alignment horizontal="center" shrinkToFit="0" vertical="center" wrapText="1"/>
    </xf>
    <xf borderId="11" fillId="0" fontId="5" numFmtId="0" xfId="0" applyBorder="1" applyFont="1"/>
    <xf borderId="12" fillId="0" fontId="5" numFmtId="0" xfId="0" applyBorder="1" applyFont="1"/>
    <xf borderId="13" fillId="0" fontId="5" numFmtId="0" xfId="0" applyBorder="1" applyFont="1"/>
    <xf borderId="14" fillId="0" fontId="5" numFmtId="0" xfId="0" applyBorder="1" applyFont="1"/>
    <xf borderId="15" fillId="0" fontId="5" numFmtId="0" xfId="0" applyBorder="1" applyFont="1"/>
    <xf borderId="16" fillId="4" fontId="8" numFmtId="0" xfId="0" applyAlignment="1" applyBorder="1" applyFont="1">
      <alignment horizontal="center" shrinkToFit="0" vertical="center" wrapText="1"/>
    </xf>
    <xf borderId="17" fillId="0" fontId="5" numFmtId="0" xfId="0" applyBorder="1" applyFont="1"/>
    <xf borderId="18" fillId="0" fontId="5" numFmtId="0" xfId="0" applyBorder="1" applyFont="1"/>
    <xf borderId="19" fillId="0" fontId="5" numFmtId="0" xfId="0" applyBorder="1" applyFont="1"/>
    <xf borderId="16" fillId="4" fontId="8" numFmtId="0" xfId="0" applyAlignment="1" applyBorder="1" applyFont="1">
      <alignment horizontal="center" shrinkToFit="0" textRotation="90" vertical="center" wrapText="1"/>
    </xf>
    <xf borderId="20" fillId="4" fontId="9" numFmtId="0" xfId="0" applyAlignment="1" applyBorder="1" applyFont="1">
      <alignment horizontal="center" shrinkToFit="0" vertical="center" wrapText="1"/>
    </xf>
    <xf borderId="16" fillId="4" fontId="9" numFmtId="0" xfId="0" applyAlignment="1" applyBorder="1" applyFont="1">
      <alignment horizontal="center" shrinkToFit="0" vertical="center" wrapText="1"/>
    </xf>
    <xf borderId="21" fillId="4" fontId="8" numFmtId="0" xfId="0" applyAlignment="1" applyBorder="1" applyFont="1">
      <alignment horizontal="center" shrinkToFit="0" vertical="center" wrapText="1"/>
    </xf>
    <xf borderId="4" fillId="0" fontId="10" numFmtId="0" xfId="0" applyAlignment="1" applyBorder="1" applyFont="1">
      <alignment horizontal="center" readingOrder="0" shrinkToFit="0" vertical="center" wrapText="1"/>
    </xf>
    <xf borderId="20" fillId="4" fontId="8" numFmtId="0" xfId="0" applyAlignment="1" applyBorder="1" applyFont="1">
      <alignment horizontal="center" shrinkToFit="0" vertical="center" wrapText="1"/>
    </xf>
    <xf borderId="17" fillId="4" fontId="9" numFmtId="0" xfId="0" applyAlignment="1" applyBorder="1" applyFont="1">
      <alignment horizontal="center" shrinkToFit="0" vertical="center" wrapText="1"/>
    </xf>
    <xf borderId="19" fillId="4" fontId="9" numFmtId="0" xfId="0" applyAlignment="1" applyBorder="1" applyFont="1">
      <alignment horizontal="center" shrinkToFit="0" vertical="center" wrapText="1"/>
    </xf>
    <xf borderId="17" fillId="4" fontId="8" numFmtId="0" xfId="0" applyAlignment="1" applyBorder="1" applyFont="1">
      <alignment horizontal="center" shrinkToFit="0" vertical="center" wrapText="1"/>
    </xf>
    <xf borderId="16" fillId="2" fontId="11" numFmtId="0" xfId="0" applyAlignment="1" applyBorder="1" applyFont="1">
      <alignment horizontal="center" shrinkToFit="0" vertical="center" wrapText="1"/>
    </xf>
    <xf borderId="16" fillId="2" fontId="12" numFmtId="0" xfId="0" applyAlignment="1" applyBorder="1" applyFont="1">
      <alignment horizontal="center" shrinkToFit="0" vertical="center" wrapText="1"/>
    </xf>
    <xf borderId="10" fillId="4" fontId="13" numFmtId="0" xfId="0" applyAlignment="1" applyBorder="1" applyFont="1">
      <alignment horizontal="center" shrinkToFit="0" vertical="center" wrapText="1"/>
    </xf>
    <xf borderId="10" fillId="5" fontId="13" numFmtId="0" xfId="0" applyAlignment="1" applyBorder="1" applyFill="1" applyFont="1">
      <alignment horizontal="center" shrinkToFit="0" vertical="center" wrapText="1"/>
    </xf>
    <xf borderId="16" fillId="5" fontId="9" numFmtId="0" xfId="0" applyAlignment="1" applyBorder="1" applyFont="1">
      <alignment horizontal="center" shrinkToFit="0" vertical="center" wrapText="1"/>
    </xf>
    <xf borderId="16" fillId="5" fontId="9" numFmtId="2" xfId="0" applyAlignment="1" applyBorder="1" applyFont="1" applyNumberFormat="1">
      <alignment horizontal="center" shrinkToFit="0" vertical="center" wrapText="1"/>
    </xf>
    <xf borderId="0" fillId="0" fontId="3" numFmtId="0" xfId="0" applyAlignment="1" applyFont="1">
      <alignment horizontal="center"/>
    </xf>
    <xf borderId="1" fillId="6" fontId="3" numFmtId="0" xfId="0" applyBorder="1" applyFill="1" applyFont="1"/>
    <xf borderId="22" fillId="6" fontId="3" numFmtId="0" xfId="0" applyAlignment="1" applyBorder="1" applyFont="1">
      <alignment horizontal="center"/>
    </xf>
    <xf borderId="23" fillId="0" fontId="3" numFmtId="0" xfId="0" applyAlignment="1" applyBorder="1" applyFont="1">
      <alignment horizontal="center" vertical="center"/>
    </xf>
    <xf borderId="24" fillId="0" fontId="14" numFmtId="0" xfId="0" applyAlignment="1" applyBorder="1" applyFont="1">
      <alignment horizontal="center" vertical="center"/>
    </xf>
    <xf borderId="23" fillId="0" fontId="5" numFmtId="0" xfId="0" applyBorder="1" applyFont="1"/>
    <xf borderId="24" fillId="0" fontId="15" numFmtId="0" xfId="0" applyAlignment="1" applyBorder="1" applyFont="1">
      <alignment horizontal="center" shrinkToFit="0" vertical="center" wrapText="1"/>
    </xf>
    <xf borderId="0" fillId="0" fontId="16" numFmtId="0" xfId="0" applyAlignment="1" applyFont="1">
      <alignment horizontal="center"/>
    </xf>
    <xf borderId="0" fillId="0" fontId="4" numFmtId="0" xfId="0" applyFont="1"/>
    <xf borderId="0" fillId="0" fontId="4" numFmtId="0" xfId="0" applyAlignment="1" applyFont="1">
      <alignment horizontal="right" vertical="center"/>
    </xf>
    <xf borderId="5" fillId="4" fontId="4" numFmtId="0" xfId="0" applyAlignment="1" applyBorder="1" applyFont="1">
      <alignment horizontal="center" vertical="center"/>
    </xf>
    <xf borderId="6" fillId="0" fontId="5" numFmtId="0" xfId="0" applyBorder="1" applyFont="1"/>
    <xf borderId="25" fillId="7" fontId="4" numFmtId="0" xfId="0" applyAlignment="1" applyBorder="1" applyFill="1" applyFont="1">
      <alignment horizontal="center" shrinkToFit="0" vertical="center" wrapText="1"/>
    </xf>
    <xf borderId="25" fillId="7" fontId="17" numFmtId="0" xfId="0" applyAlignment="1" applyBorder="1" applyFont="1">
      <alignment horizontal="center" shrinkToFit="0" vertical="center" wrapText="1"/>
    </xf>
    <xf borderId="25" fillId="4" fontId="17" numFmtId="0" xfId="0" applyAlignment="1" applyBorder="1" applyFont="1">
      <alignment horizontal="center" vertical="center"/>
    </xf>
    <xf borderId="25" fillId="8" fontId="17" numFmtId="0" xfId="0" applyAlignment="1" applyBorder="1" applyFill="1" applyFont="1">
      <alignment horizontal="center" shrinkToFit="0" vertical="center" wrapText="1"/>
    </xf>
    <xf borderId="25" fillId="9" fontId="17" numFmtId="0" xfId="0" applyAlignment="1" applyBorder="1" applyFill="1" applyFont="1">
      <alignment horizontal="center" shrinkToFit="0" vertical="center" wrapText="1"/>
    </xf>
    <xf borderId="25" fillId="10" fontId="17" numFmtId="0" xfId="0" applyAlignment="1" applyBorder="1" applyFill="1" applyFont="1">
      <alignment horizontal="center" shrinkToFit="0" vertical="center" wrapText="1"/>
    </xf>
    <xf borderId="25" fillId="11" fontId="17" numFmtId="0" xfId="0" applyAlignment="1" applyBorder="1" applyFill="1" applyFont="1">
      <alignment horizontal="center" shrinkToFit="0" vertical="center" wrapText="1"/>
    </xf>
    <xf borderId="25" fillId="12" fontId="17" numFmtId="0" xfId="0" applyAlignment="1" applyBorder="1" applyFill="1" applyFont="1">
      <alignment horizontal="center" shrinkToFit="0" vertical="center" wrapText="1"/>
    </xf>
    <xf borderId="25" fillId="13" fontId="17" numFmtId="0" xfId="0" applyAlignment="1" applyBorder="1" applyFill="1" applyFont="1">
      <alignment horizontal="center" shrinkToFit="0" vertical="center" wrapText="1"/>
    </xf>
    <xf borderId="4" fillId="7" fontId="6" numFmtId="0" xfId="0" applyAlignment="1" applyBorder="1" applyFont="1">
      <alignment shrinkToFit="1" vertical="center" wrapText="0"/>
    </xf>
    <xf borderId="26" fillId="0" fontId="5" numFmtId="0" xfId="0" applyBorder="1" applyFont="1"/>
    <xf borderId="27" fillId="7" fontId="17" numFmtId="0" xfId="0" applyAlignment="1" applyBorder="1" applyFont="1">
      <alignment horizontal="center" shrinkToFit="0" vertical="center" wrapText="1"/>
    </xf>
    <xf borderId="28" fillId="0" fontId="5" numFmtId="0" xfId="0" applyBorder="1" applyFont="1"/>
    <xf borderId="24" fillId="0" fontId="5" numFmtId="0" xfId="0" applyBorder="1" applyFont="1"/>
    <xf borderId="29" fillId="0" fontId="5" numFmtId="0" xfId="0" applyBorder="1" applyFont="1"/>
    <xf borderId="30" fillId="0" fontId="5" numFmtId="0" xfId="0" applyBorder="1" applyFont="1"/>
    <xf borderId="31" fillId="0" fontId="5" numFmtId="0" xfId="0" applyBorder="1" applyFont="1"/>
    <xf borderId="4" fillId="2" fontId="18" numFmtId="0" xfId="0" applyAlignment="1" applyBorder="1" applyFont="1">
      <alignment horizontal="center" readingOrder="0" vertical="center"/>
    </xf>
    <xf borderId="4" fillId="2" fontId="19" numFmtId="0" xfId="0" applyAlignment="1" applyBorder="1" applyFont="1">
      <alignment horizontal="center" readingOrder="0" shrinkToFit="0" vertical="center" wrapText="1"/>
    </xf>
    <xf borderId="4" fillId="2" fontId="17" numFmtId="0" xfId="0" applyAlignment="1" applyBorder="1" applyFont="1">
      <alignment horizontal="center" readingOrder="0" shrinkToFit="0" vertical="center" wrapText="1"/>
    </xf>
    <xf borderId="4" fillId="2" fontId="17" numFmtId="0" xfId="0" applyAlignment="1" applyBorder="1" applyFont="1">
      <alignment horizontal="center" shrinkToFit="0" wrapText="1"/>
    </xf>
    <xf borderId="4" fillId="2" fontId="19" numFmtId="0" xfId="0" applyAlignment="1" applyBorder="1" applyFont="1">
      <alignment horizontal="center" shrinkToFit="1" vertical="center" wrapText="0"/>
    </xf>
    <xf borderId="0" fillId="0" fontId="20" numFmtId="0" xfId="0" applyAlignment="1" applyFont="1">
      <alignment vertical="bottom"/>
    </xf>
    <xf borderId="4" fillId="2" fontId="4" numFmtId="0" xfId="0" applyAlignment="1" applyBorder="1" applyFont="1">
      <alignment horizontal="center" vertical="center"/>
    </xf>
    <xf borderId="4" fillId="2" fontId="20" numFmtId="0" xfId="0" applyAlignment="1" applyBorder="1" applyFont="1">
      <alignment horizontal="center" vertical="bottom"/>
    </xf>
    <xf borderId="4" fillId="2" fontId="20" numFmtId="0" xfId="0" applyAlignment="1" applyBorder="1" applyFont="1">
      <alignment vertical="bottom"/>
    </xf>
    <xf borderId="4" fillId="2" fontId="21" numFmtId="0" xfId="0" applyAlignment="1" applyBorder="1" applyFont="1">
      <alignment horizontal="center" vertical="bottom"/>
    </xf>
    <xf borderId="4" fillId="2" fontId="21" numFmtId="0" xfId="0" applyAlignment="1" applyBorder="1" applyFont="1">
      <alignment horizontal="center" vertical="bottom"/>
    </xf>
    <xf borderId="4" fillId="2" fontId="4" numFmtId="0" xfId="0" applyAlignment="1" applyBorder="1" applyFont="1">
      <alignment horizontal="center" vertical="center"/>
    </xf>
    <xf borderId="0" fillId="3" fontId="21" numFmtId="0" xfId="0" applyAlignment="1" applyFont="1">
      <alignment horizontal="center"/>
    </xf>
    <xf borderId="0" fillId="3" fontId="21" numFmtId="0" xfId="0" applyAlignment="1" applyFont="1">
      <alignment horizontal="center"/>
    </xf>
    <xf borderId="29" fillId="2" fontId="20" numFmtId="0" xfId="0" applyAlignment="1" applyBorder="1" applyFont="1">
      <alignment horizontal="center" vertical="bottom"/>
    </xf>
    <xf borderId="29" fillId="2" fontId="20" numFmtId="0" xfId="0" applyAlignment="1" applyBorder="1" applyFont="1">
      <alignment vertical="bottom"/>
    </xf>
    <xf borderId="0" fillId="14" fontId="21" numFmtId="0" xfId="0" applyAlignment="1" applyFill="1" applyFont="1">
      <alignment horizontal="center"/>
    </xf>
    <xf borderId="0" fillId="14" fontId="21" numFmtId="0" xfId="0" applyAlignment="1" applyFont="1">
      <alignment horizontal="center"/>
    </xf>
    <xf borderId="4" fillId="2" fontId="4" numFmtId="0" xfId="0" applyAlignment="1" applyBorder="1" applyFont="1">
      <alignment horizontal="center" readingOrder="0" vertical="center"/>
    </xf>
    <xf borderId="0" fillId="14" fontId="22" numFmtId="0" xfId="0" applyAlignment="1" applyFont="1">
      <alignment horizontal="center" readingOrder="0" vertical="bottom"/>
    </xf>
    <xf borderId="0" fillId="14" fontId="21" numFmtId="0" xfId="0" applyAlignment="1" applyFont="1">
      <alignment horizontal="center" readingOrder="0"/>
    </xf>
    <xf borderId="6" fillId="2" fontId="4" numFmtId="0" xfId="0" applyAlignment="1" applyBorder="1" applyFont="1">
      <alignment horizontal="center" vertical="center"/>
    </xf>
    <xf borderId="4" fillId="2" fontId="3" numFmtId="0" xfId="0" applyAlignment="1" applyBorder="1" applyFont="1">
      <alignment horizontal="center" shrinkToFit="0" vertical="bottom" wrapText="1"/>
    </xf>
    <xf borderId="4" fillId="2" fontId="3" numFmtId="0" xfId="0" applyAlignment="1" applyBorder="1" applyFont="1">
      <alignment horizontal="left" shrinkToFit="0" vertical="bottom" wrapText="1"/>
    </xf>
    <xf borderId="4" fillId="2" fontId="4" numFmtId="1" xfId="0" applyAlignment="1" applyBorder="1" applyFont="1" applyNumberFormat="1">
      <alignment horizontal="center" vertical="center"/>
    </xf>
    <xf borderId="4" fillId="2" fontId="19" numFmtId="1" xfId="0" applyAlignment="1" applyBorder="1" applyFont="1" applyNumberFormat="1">
      <alignment horizontal="center" shrinkToFit="1" vertical="center" wrapText="0"/>
    </xf>
    <xf borderId="4" fillId="2" fontId="3" numFmtId="0" xfId="0" applyAlignment="1" applyBorder="1" applyFont="1">
      <alignment shrinkToFit="0" vertical="bottom" wrapText="1"/>
    </xf>
    <xf borderId="4" fillId="2" fontId="23" numFmtId="0" xfId="0" applyAlignment="1" applyBorder="1" applyFont="1">
      <alignment horizontal="center" shrinkToFit="0" wrapText="1"/>
    </xf>
    <xf borderId="4" fillId="2" fontId="23" numFmtId="0" xfId="0" applyAlignment="1" applyBorder="1" applyFont="1">
      <alignment horizontal="left" shrinkToFit="0" wrapText="1"/>
    </xf>
    <xf borderId="0" fillId="0" fontId="20" numFmtId="0" xfId="0" applyAlignment="1" applyFont="1">
      <alignment readingOrder="0" vertical="bottom"/>
    </xf>
    <xf borderId="0" fillId="0" fontId="24" numFmtId="0" xfId="0" applyAlignment="1" applyFont="1">
      <alignment readingOrder="0" vertical="bottom"/>
    </xf>
    <xf borderId="4" fillId="2" fontId="3" numFmtId="0" xfId="0" applyAlignment="1" applyBorder="1" applyFont="1">
      <alignment horizontal="center" shrinkToFit="0" wrapText="1"/>
    </xf>
    <xf borderId="0" fillId="0" fontId="17" numFmtId="0" xfId="0" applyAlignment="1" applyFont="1">
      <alignment horizontal="center" shrinkToFit="0" vertical="center" wrapText="1"/>
    </xf>
    <xf borderId="15" fillId="0" fontId="6" numFmtId="9" xfId="0" applyAlignment="1" applyBorder="1" applyFont="1" applyNumberFormat="1">
      <alignment vertical="center"/>
    </xf>
    <xf borderId="32" fillId="4" fontId="4" numFmtId="2" xfId="0" applyAlignment="1" applyBorder="1" applyFont="1" applyNumberFormat="1">
      <alignment horizontal="center" vertical="center"/>
    </xf>
    <xf borderId="13" fillId="0" fontId="4" numFmtId="0" xfId="0" applyAlignment="1" applyBorder="1" applyFont="1">
      <alignment horizontal="center" vertical="center"/>
    </xf>
    <xf borderId="0" fillId="0" fontId="7" numFmtId="0" xfId="0" applyAlignment="1" applyFont="1">
      <alignment horizontal="center" shrinkToFit="0" vertical="center" wrapText="1"/>
    </xf>
    <xf borderId="7" fillId="4" fontId="4" numFmtId="0" xfId="0" applyAlignment="1" applyBorder="1" applyFont="1">
      <alignment horizontal="center" vertical="center"/>
    </xf>
    <xf borderId="7" fillId="0" fontId="4" numFmtId="0" xfId="0" applyAlignment="1" applyBorder="1" applyFont="1">
      <alignment horizontal="center" vertical="center"/>
    </xf>
    <xf borderId="10" fillId="4" fontId="7" numFmtId="0" xfId="0" applyAlignment="1" applyBorder="1" applyFont="1">
      <alignment horizontal="center" shrinkToFit="0" vertical="center" wrapText="1"/>
    </xf>
    <xf borderId="10" fillId="4" fontId="17" numFmtId="0" xfId="0" applyAlignment="1" applyBorder="1" applyFont="1">
      <alignment horizontal="center" shrinkToFit="0" vertical="center" wrapText="1"/>
    </xf>
    <xf borderId="33" fillId="4" fontId="17" numFmtId="0" xfId="0" applyAlignment="1" applyBorder="1" applyFont="1">
      <alignment shrinkToFit="0" vertical="center" wrapText="1"/>
    </xf>
    <xf borderId="34" fillId="4" fontId="17" numFmtId="0" xfId="0" applyAlignment="1" applyBorder="1" applyFont="1">
      <alignment horizontal="center" vertical="center"/>
    </xf>
    <xf borderId="35" fillId="4" fontId="4" numFmtId="0" xfId="0" applyAlignment="1" applyBorder="1" applyFont="1">
      <alignment horizontal="center" textRotation="90" vertical="center"/>
    </xf>
    <xf borderId="36" fillId="4" fontId="4" numFmtId="0" xfId="0" applyAlignment="1" applyBorder="1" applyFont="1">
      <alignment horizontal="center" vertical="center"/>
    </xf>
    <xf borderId="37" fillId="0" fontId="4" numFmtId="0" xfId="0" applyAlignment="1" applyBorder="1" applyFont="1">
      <alignment horizontal="left" vertical="center"/>
    </xf>
    <xf borderId="8" fillId="2" fontId="4" numFmtId="0" xfId="0" applyAlignment="1" applyBorder="1" applyFont="1">
      <alignment horizontal="center" vertical="center"/>
    </xf>
    <xf borderId="38" fillId="4" fontId="4" numFmtId="164" xfId="0" applyAlignment="1" applyBorder="1" applyFont="1" applyNumberFormat="1">
      <alignment horizontal="center" vertical="center"/>
    </xf>
    <xf borderId="39" fillId="4" fontId="17" numFmtId="0" xfId="0" applyAlignment="1" applyBorder="1" applyFont="1">
      <alignment horizontal="center" vertical="center"/>
    </xf>
    <xf borderId="40" fillId="0" fontId="5" numFmtId="0" xfId="0" applyBorder="1" applyFont="1"/>
    <xf borderId="41" fillId="0" fontId="5" numFmtId="0" xfId="0" applyBorder="1" applyFont="1"/>
    <xf borderId="42" fillId="4" fontId="4" numFmtId="164" xfId="0" applyAlignment="1" applyBorder="1" applyFont="1" applyNumberFormat="1">
      <alignment horizontal="center" vertical="center"/>
    </xf>
    <xf borderId="43" fillId="4" fontId="17" numFmtId="0" xfId="0" applyAlignment="1" applyBorder="1" applyFont="1">
      <alignment horizontal="center" vertical="center"/>
    </xf>
    <xf borderId="44" fillId="0" fontId="5" numFmtId="0" xfId="0" applyBorder="1" applyFont="1"/>
    <xf borderId="45" fillId="0" fontId="5" numFmtId="0" xfId="0" applyBorder="1" applyFont="1"/>
    <xf borderId="12" fillId="0" fontId="4" numFmtId="0" xfId="0" applyAlignment="1" applyBorder="1" applyFont="1">
      <alignment horizontal="left" vertical="center"/>
    </xf>
    <xf borderId="16" fillId="4" fontId="4" numFmtId="164" xfId="0" applyAlignment="1" applyBorder="1" applyFont="1" applyNumberFormat="1">
      <alignment horizontal="center" vertical="center"/>
    </xf>
    <xf borderId="46" fillId="4" fontId="17" numFmtId="0" xfId="0" applyAlignment="1" applyBorder="1" applyFont="1">
      <alignment horizontal="center" vertical="center"/>
    </xf>
    <xf borderId="47" fillId="0" fontId="5" numFmtId="0" xfId="0" applyBorder="1" applyFont="1"/>
    <xf borderId="1" fillId="4" fontId="4" numFmtId="0" xfId="0" applyBorder="1" applyFont="1"/>
    <xf borderId="22" fillId="4" fontId="4" numFmtId="0" xfId="0" applyAlignment="1" applyBorder="1" applyFont="1">
      <alignment horizontal="center"/>
    </xf>
    <xf borderId="48" fillId="4" fontId="6" numFmtId="0" xfId="0" applyAlignment="1" applyBorder="1" applyFont="1">
      <alignment horizontal="center" vertical="center"/>
    </xf>
    <xf borderId="49" fillId="4" fontId="17" numFmtId="0" xfId="0" applyAlignment="1" applyBorder="1" applyFont="1">
      <alignment horizontal="center" vertical="center"/>
    </xf>
    <xf borderId="50" fillId="4" fontId="17" numFmtId="0" xfId="0" applyAlignment="1" applyBorder="1" applyFont="1">
      <alignment horizontal="center" vertical="center"/>
    </xf>
    <xf borderId="51" fillId="4" fontId="6" numFmtId="0" xfId="0" applyAlignment="1" applyBorder="1" applyFont="1">
      <alignment horizontal="center" vertical="center"/>
    </xf>
    <xf borderId="52" fillId="4" fontId="4" numFmtId="0" xfId="0" applyAlignment="1" applyBorder="1" applyFont="1">
      <alignment horizontal="center" vertical="center"/>
    </xf>
    <xf borderId="0" fillId="0" fontId="25" numFmtId="0" xfId="0" applyAlignment="1" applyFont="1">
      <alignment horizontal="center" vertical="top"/>
    </xf>
    <xf borderId="0" fillId="0" fontId="26" numFmtId="0" xfId="0" applyAlignment="1" applyFont="1">
      <alignment horizontal="center" vertical="center"/>
    </xf>
    <xf borderId="2" fillId="4" fontId="4" numFmtId="0" xfId="0" applyAlignment="1" applyBorder="1" applyFont="1">
      <alignment horizontal="center" vertical="center"/>
    </xf>
    <xf borderId="25" fillId="4" fontId="4" numFmtId="0" xfId="0" applyAlignment="1" applyBorder="1" applyFont="1">
      <alignment horizontal="center" shrinkToFit="0" vertical="center" wrapText="1"/>
    </xf>
    <xf borderId="25" fillId="4" fontId="17" numFmtId="0" xfId="0" applyAlignment="1" applyBorder="1" applyFont="1">
      <alignment horizontal="center" shrinkToFit="0" vertical="center" wrapText="1"/>
    </xf>
    <xf borderId="0" fillId="0" fontId="27" numFmtId="0" xfId="0" applyFont="1"/>
    <xf borderId="0" fillId="15" fontId="28" numFmtId="0" xfId="0" applyFill="1" applyFont="1"/>
    <xf borderId="4" fillId="2" fontId="17" numFmtId="0" xfId="0" applyAlignment="1" applyBorder="1" applyFont="1">
      <alignment horizontal="center" shrinkToFit="0" vertical="center" wrapText="1"/>
    </xf>
    <xf borderId="4" fillId="2" fontId="4" numFmtId="0" xfId="0" applyAlignment="1" applyBorder="1" applyFont="1">
      <alignment horizontal="left" shrinkToFit="0" vertical="center" wrapText="1"/>
    </xf>
    <xf borderId="0" fillId="0" fontId="24" numFmtId="0" xfId="0" applyAlignment="1" applyFont="1">
      <alignment vertical="bottom"/>
    </xf>
    <xf borderId="4" fillId="2" fontId="29" numFmtId="0" xfId="0" applyAlignment="1" applyBorder="1" applyFont="1">
      <alignment horizontal="center" vertical="bottom"/>
    </xf>
    <xf borderId="53" fillId="4" fontId="24" numFmtId="0" xfId="0" applyAlignment="1" applyBorder="1" applyFont="1">
      <alignment horizontal="center" shrinkToFit="0" vertical="center" wrapText="1"/>
    </xf>
    <xf borderId="32" fillId="4" fontId="30" numFmtId="2" xfId="0" applyAlignment="1" applyBorder="1" applyFont="1" applyNumberFormat="1">
      <alignment horizontal="center" vertical="center"/>
    </xf>
    <xf borderId="20" fillId="2" fontId="24" numFmtId="0" xfId="0" applyAlignment="1" applyBorder="1" applyFont="1">
      <alignment horizontal="center" shrinkToFit="0" vertical="center" wrapText="1"/>
    </xf>
    <xf borderId="21" fillId="4" fontId="24" numFmtId="0" xfId="0" applyAlignment="1" applyBorder="1" applyFont="1">
      <alignment horizontal="center" shrinkToFit="0" vertical="center" wrapText="1"/>
    </xf>
    <xf borderId="21" fillId="4" fontId="30" numFmtId="0" xfId="0" applyAlignment="1" applyBorder="1" applyFont="1">
      <alignment horizontal="center" vertical="center"/>
    </xf>
    <xf borderId="0" fillId="0" fontId="24" numFmtId="0" xfId="0" applyAlignment="1" applyFont="1">
      <alignment horizontal="center" shrinkToFit="0" vertical="center" wrapText="1"/>
    </xf>
    <xf borderId="0" fillId="0" fontId="30" numFmtId="0" xfId="0" applyAlignment="1" applyFont="1">
      <alignment horizontal="center" vertical="center"/>
    </xf>
    <xf borderId="21" fillId="4" fontId="17" numFmtId="0" xfId="0" applyAlignment="1" applyBorder="1" applyFont="1">
      <alignment horizontal="center" shrinkToFit="0" vertical="center" wrapText="1"/>
    </xf>
    <xf borderId="21" fillId="4" fontId="17" numFmtId="0" xfId="0" applyAlignment="1" applyBorder="1" applyFont="1">
      <alignment horizontal="center" vertical="center"/>
    </xf>
    <xf borderId="1" fillId="4" fontId="3" numFmtId="0" xfId="0" applyBorder="1" applyFont="1"/>
    <xf borderId="54" fillId="0" fontId="4" numFmtId="9" xfId="0" applyAlignment="1" applyBorder="1" applyFont="1" applyNumberFormat="1">
      <alignment vertical="center"/>
    </xf>
    <xf borderId="55" fillId="4" fontId="4" numFmtId="0" xfId="0" applyAlignment="1" applyBorder="1" applyFont="1">
      <alignment horizontal="left" vertical="center"/>
    </xf>
    <xf borderId="37" fillId="0" fontId="5" numFmtId="0" xfId="0" applyBorder="1" applyFont="1"/>
    <xf borderId="7" fillId="2" fontId="4" numFmtId="0" xfId="0" applyAlignment="1" applyBorder="1" applyFont="1">
      <alignment horizontal="center" vertical="center"/>
    </xf>
    <xf borderId="38" fillId="4" fontId="4" numFmtId="0" xfId="0" applyAlignment="1" applyBorder="1" applyFont="1">
      <alignment vertical="center"/>
    </xf>
    <xf borderId="56" fillId="4" fontId="17" numFmtId="0" xfId="0" applyAlignment="1" applyBorder="1" applyFont="1">
      <alignment horizontal="center" vertical="center"/>
    </xf>
    <xf borderId="5" fillId="0" fontId="4" numFmtId="9" xfId="0" applyAlignment="1" applyBorder="1" applyFont="1" applyNumberFormat="1">
      <alignment vertical="center"/>
    </xf>
    <xf borderId="57" fillId="4" fontId="4" numFmtId="0" xfId="0" applyAlignment="1" applyBorder="1" applyFont="1">
      <alignment horizontal="left" vertical="center"/>
    </xf>
    <xf borderId="58" fillId="4" fontId="4" numFmtId="0" xfId="0" applyAlignment="1" applyBorder="1" applyFont="1">
      <alignment vertical="center"/>
    </xf>
    <xf borderId="59" fillId="4" fontId="17" numFmtId="0" xfId="0" applyAlignment="1" applyBorder="1" applyFont="1">
      <alignment horizontal="center" vertical="center"/>
    </xf>
    <xf borderId="60" fillId="0" fontId="4" numFmtId="9" xfId="0" applyAlignment="1" applyBorder="1" applyFont="1" applyNumberFormat="1">
      <alignment vertical="center"/>
    </xf>
    <xf borderId="61" fillId="4" fontId="4" numFmtId="0" xfId="0" applyAlignment="1" applyBorder="1" applyFont="1">
      <alignment horizontal="left" vertical="center"/>
    </xf>
    <xf borderId="62" fillId="4" fontId="4" numFmtId="0" xfId="0" applyAlignment="1" applyBorder="1" applyFont="1">
      <alignment vertical="center"/>
    </xf>
    <xf borderId="63" fillId="4" fontId="17" numFmtId="0" xfId="0" applyAlignment="1" applyBorder="1" applyFont="1">
      <alignment horizontal="center" vertical="center"/>
    </xf>
    <xf borderId="1" fillId="4" fontId="3" numFmtId="0" xfId="0" applyAlignment="1" applyBorder="1" applyFont="1">
      <alignment horizontal="center" vertical="center"/>
    </xf>
    <xf borderId="64" fillId="4" fontId="6" numFmtId="0" xfId="0" applyAlignment="1" applyBorder="1" applyFont="1">
      <alignment horizontal="center" shrinkToFit="0" vertical="center" wrapText="1"/>
    </xf>
    <xf borderId="65" fillId="0" fontId="5" numFmtId="0" xfId="0" applyBorder="1" applyFont="1"/>
    <xf borderId="46" fillId="4" fontId="6" numFmtId="0" xfId="0" applyAlignment="1" applyBorder="1" applyFont="1">
      <alignment horizontal="center" vertical="center"/>
    </xf>
    <xf borderId="66" fillId="0" fontId="5" numFmtId="0" xfId="0" applyBorder="1" applyFont="1"/>
    <xf borderId="0" fillId="0" fontId="31" numFmtId="0" xfId="0" applyAlignment="1" applyFont="1">
      <alignment vertical="top"/>
    </xf>
    <xf borderId="25" fillId="4" fontId="6" numFmtId="0" xfId="0" applyAlignment="1" applyBorder="1" applyFont="1">
      <alignment horizontal="center" vertical="center"/>
    </xf>
    <xf borderId="25" fillId="4" fontId="17" numFmtId="0" xfId="0" applyAlignment="1" applyBorder="1" applyFont="1">
      <alignment horizontal="center" shrinkToFit="0" wrapText="1"/>
    </xf>
    <xf borderId="67" fillId="4" fontId="32" numFmtId="0" xfId="0" applyAlignment="1" applyBorder="1" applyFont="1">
      <alignment horizontal="center" vertical="center"/>
    </xf>
    <xf borderId="4" fillId="2" fontId="21" numFmtId="0" xfId="0" applyAlignment="1" applyBorder="1" applyFont="1">
      <alignment horizontal="center" readingOrder="0" vertical="bottom"/>
    </xf>
    <xf borderId="4" fillId="2" fontId="4" numFmtId="0" xfId="0" applyAlignment="1" applyBorder="1" applyFont="1">
      <alignment horizontal="left" vertical="center"/>
    </xf>
    <xf borderId="53" fillId="4" fontId="24" numFmtId="0" xfId="0" applyAlignment="1" applyBorder="1" applyFont="1">
      <alignment horizontal="left" shrinkToFit="0" vertical="center" wrapText="1"/>
    </xf>
    <xf borderId="32" fillId="4" fontId="24" numFmtId="0" xfId="0" applyAlignment="1" applyBorder="1" applyFont="1">
      <alignment horizontal="center" shrinkToFit="0" vertical="center" wrapText="1"/>
    </xf>
    <xf borderId="17" fillId="0" fontId="24" numFmtId="0" xfId="0" applyAlignment="1" applyBorder="1" applyFont="1">
      <alignment horizontal="center" shrinkToFit="0" vertical="center" wrapText="1"/>
    </xf>
    <xf borderId="21" fillId="4" fontId="17" numFmtId="0" xfId="0" applyAlignment="1" applyBorder="1" applyFont="1">
      <alignment shrinkToFit="0" vertical="center" wrapText="1"/>
    </xf>
    <xf borderId="68" fillId="4" fontId="4" numFmtId="0" xfId="0" applyAlignment="1" applyBorder="1" applyFont="1">
      <alignment horizontal="center" vertical="center"/>
    </xf>
    <xf borderId="69" fillId="4" fontId="4" numFmtId="0" xfId="0" applyAlignment="1" applyBorder="1" applyFont="1">
      <alignment horizontal="center" vertical="center"/>
    </xf>
    <xf borderId="62" fillId="4" fontId="4" numFmtId="0" xfId="0" applyAlignment="1" applyBorder="1" applyFont="1">
      <alignment horizontal="center" vertical="center"/>
    </xf>
    <xf borderId="70" fillId="0" fontId="5" numFmtId="0" xfId="0" applyBorder="1" applyFont="1"/>
    <xf borderId="71" fillId="4" fontId="17" numFmtId="0" xfId="0" applyAlignment="1" applyBorder="1" applyFont="1">
      <alignment horizontal="center" vertical="center"/>
    </xf>
    <xf borderId="72" fillId="4" fontId="17" numFmtId="0" xfId="0" applyAlignment="1" applyBorder="1" applyFont="1">
      <alignment horizontal="center" vertical="center"/>
    </xf>
    <xf borderId="64" fillId="4" fontId="6" numFmtId="0" xfId="0" applyAlignment="1" applyBorder="1" applyFont="1">
      <alignment horizontal="center" vertical="center"/>
    </xf>
    <xf borderId="49" fillId="4" fontId="4" numFmtId="0" xfId="0" applyAlignment="1" applyBorder="1" applyFont="1">
      <alignment horizontal="center" vertical="center"/>
    </xf>
    <xf borderId="50" fillId="4" fontId="4" numFmtId="0" xfId="0" applyAlignment="1" applyBorder="1" applyFont="1">
      <alignment horizontal="center" vertical="center"/>
    </xf>
    <xf borderId="43" fillId="4" fontId="6" numFmtId="0" xfId="0" applyAlignment="1" applyBorder="1" applyFont="1">
      <alignment horizontal="center" shrinkToFit="0" vertical="center" wrapText="1"/>
    </xf>
    <xf borderId="4" fillId="4" fontId="4" numFmtId="0" xfId="0" applyAlignment="1" applyBorder="1" applyFont="1">
      <alignment horizontal="center" vertical="center"/>
    </xf>
    <xf borderId="73" fillId="4" fontId="4" numFmtId="0" xfId="0" applyAlignment="1" applyBorder="1" applyFont="1">
      <alignment horizontal="center" vertical="center"/>
    </xf>
    <xf borderId="46" fillId="4" fontId="6" numFmtId="0" xfId="0" applyAlignment="1" applyBorder="1" applyFont="1">
      <alignment horizontal="center" shrinkToFit="0" vertical="center" wrapText="1"/>
    </xf>
    <xf borderId="74" fillId="4" fontId="4" numFmtId="0" xfId="0" applyAlignment="1" applyBorder="1" applyFont="1">
      <alignment horizontal="center" vertical="center"/>
    </xf>
    <xf borderId="4" fillId="0" fontId="4" numFmtId="0" xfId="0" applyAlignment="1" applyBorder="1" applyFont="1">
      <alignment horizontal="center" vertical="center"/>
    </xf>
    <xf borderId="0" fillId="0" fontId="4" numFmtId="0" xfId="0" applyAlignment="1" applyFont="1">
      <alignment horizontal="center" vertical="center"/>
    </xf>
    <xf borderId="0" fillId="0" fontId="24" numFmtId="0" xfId="0" applyFont="1"/>
    <xf borderId="7" fillId="7" fontId="4" numFmtId="0" xfId="0" applyAlignment="1" applyBorder="1" applyFont="1">
      <alignment horizontal="center" shrinkToFit="0" vertical="center" wrapText="1"/>
    </xf>
    <xf borderId="7" fillId="7" fontId="17" numFmtId="0" xfId="0" applyAlignment="1" applyBorder="1" applyFont="1">
      <alignment horizontal="center" shrinkToFit="0" vertical="center" wrapText="1"/>
    </xf>
    <xf borderId="7" fillId="7" fontId="6" numFmtId="0" xfId="0" applyAlignment="1" applyBorder="1" applyFont="1">
      <alignment horizontal="center" vertical="center"/>
    </xf>
    <xf borderId="75" fillId="0" fontId="5" numFmtId="0" xfId="0" applyBorder="1" applyFont="1"/>
    <xf borderId="20" fillId="7" fontId="19" numFmtId="0" xfId="0" applyAlignment="1" applyBorder="1" applyFont="1">
      <alignment horizontal="center" shrinkToFit="0" vertical="center" wrapText="1"/>
    </xf>
    <xf borderId="56" fillId="0" fontId="4" numFmtId="0" xfId="0" applyAlignment="1" applyBorder="1" applyFont="1">
      <alignment horizontal="center" vertical="center"/>
    </xf>
    <xf borderId="59" fillId="0" fontId="4" numFmtId="0" xfId="0" applyAlignment="1" applyBorder="1" applyFont="1">
      <alignment horizontal="center" vertical="center"/>
    </xf>
    <xf borderId="59" fillId="0" fontId="33" numFmtId="0" xfId="0" applyAlignment="1" applyBorder="1" applyFont="1">
      <alignment horizontal="center" vertical="center"/>
    </xf>
    <xf borderId="63" fillId="0" fontId="4" numFmtId="0" xfId="0" applyAlignment="1" applyBorder="1" applyFont="1">
      <alignment horizontal="center" vertical="center"/>
    </xf>
    <xf borderId="21" fillId="5" fontId="4" numFmtId="0" xfId="0" applyAlignment="1" applyBorder="1" applyFont="1">
      <alignment horizontal="center" vertical="center"/>
    </xf>
    <xf borderId="21" fillId="5" fontId="3" numFmtId="0" xfId="0" applyAlignment="1" applyBorder="1" applyFont="1">
      <alignment horizontal="center"/>
    </xf>
    <xf borderId="10" fillId="0" fontId="7" numFmtId="0" xfId="0" applyAlignment="1" applyBorder="1" applyFont="1">
      <alignment horizontal="center" shrinkToFit="0" vertical="center" wrapText="1"/>
    </xf>
    <xf borderId="21" fillId="0" fontId="17" numFmtId="0" xfId="0" applyAlignment="1" applyBorder="1" applyFont="1">
      <alignment horizontal="center" vertical="center"/>
    </xf>
    <xf borderId="35" fillId="0" fontId="4" numFmtId="0" xfId="0" applyAlignment="1" applyBorder="1" applyFont="1">
      <alignment horizontal="center" textRotation="90" vertical="center"/>
    </xf>
    <xf borderId="54" fillId="0" fontId="4" numFmtId="0" xfId="0" applyAlignment="1" applyBorder="1" applyFont="1">
      <alignment horizontal="center" vertical="center"/>
    </xf>
    <xf borderId="76" fillId="0" fontId="5" numFmtId="0" xfId="0" applyBorder="1" applyFont="1"/>
    <xf borderId="56" fillId="0" fontId="17" numFmtId="0" xfId="0" applyAlignment="1" applyBorder="1" applyFont="1">
      <alignment horizontal="center" vertical="center"/>
    </xf>
    <xf borderId="5" fillId="0" fontId="4" numFmtId="0" xfId="0" applyAlignment="1" applyBorder="1" applyFont="1">
      <alignment horizontal="center" vertical="center"/>
    </xf>
    <xf borderId="77" fillId="0" fontId="5" numFmtId="0" xfId="0" applyBorder="1" applyFont="1"/>
    <xf borderId="59" fillId="0" fontId="17" numFmtId="0" xfId="0" applyAlignment="1" applyBorder="1" applyFont="1">
      <alignment horizontal="center" vertical="center"/>
    </xf>
    <xf borderId="60" fillId="0" fontId="4" numFmtId="0" xfId="0" applyAlignment="1" applyBorder="1" applyFont="1">
      <alignment horizontal="center" vertical="center"/>
    </xf>
    <xf borderId="78" fillId="0" fontId="5" numFmtId="0" xfId="0" applyBorder="1" applyFont="1"/>
    <xf borderId="63" fillId="0" fontId="17" numFmtId="0" xfId="0" applyAlignment="1" applyBorder="1" applyFont="1">
      <alignment horizontal="center" vertical="center"/>
    </xf>
    <xf borderId="10" fillId="2" fontId="6" numFmtId="0" xfId="0" applyAlignment="1" applyBorder="1" applyFont="1">
      <alignment horizontal="center" shrinkToFit="0" vertical="center" wrapText="1"/>
    </xf>
    <xf borderId="71" fillId="2" fontId="17" numFmtId="0" xfId="0" applyAlignment="1" applyBorder="1" applyFont="1">
      <alignment horizontal="center" vertical="center"/>
    </xf>
    <xf borderId="72" fillId="2" fontId="17" numFmtId="0" xfId="0" applyAlignment="1" applyBorder="1" applyFont="1">
      <alignment horizontal="center" vertical="center"/>
    </xf>
    <xf borderId="64" fillId="2" fontId="6" numFmtId="0" xfId="0" applyAlignment="1" applyBorder="1" applyFont="1">
      <alignment horizontal="center" shrinkToFit="0" vertical="center" wrapText="1"/>
    </xf>
    <xf borderId="49" fillId="2" fontId="4" numFmtId="0" xfId="0" applyAlignment="1" applyBorder="1" applyFont="1">
      <alignment horizontal="center" vertical="center"/>
    </xf>
    <xf borderId="50" fillId="2" fontId="4" numFmtId="0" xfId="0" applyAlignment="1" applyBorder="1" applyFont="1">
      <alignment horizontal="center" vertical="center"/>
    </xf>
    <xf borderId="1" fillId="2" fontId="34" numFmtId="0" xfId="0" applyBorder="1" applyFont="1"/>
    <xf borderId="21" fillId="4" fontId="8" numFmtId="0" xfId="0" applyAlignment="1" applyBorder="1" applyFont="1">
      <alignment horizontal="center" shrinkToFit="0" textRotation="90" vertical="center" wrapText="1"/>
    </xf>
    <xf borderId="33" fillId="4" fontId="8" numFmtId="0" xfId="0" applyAlignment="1" applyBorder="1" applyFont="1">
      <alignment horizontal="center" shrinkToFit="0" textRotation="90" vertical="center" wrapText="1"/>
    </xf>
    <xf borderId="17" fillId="0" fontId="9" numFmtId="0" xfId="0" applyAlignment="1" applyBorder="1" applyFont="1">
      <alignment horizontal="center" shrinkToFit="0" vertical="center" wrapText="1"/>
    </xf>
    <xf borderId="19" fillId="0" fontId="11" numFmtId="0" xfId="0" applyAlignment="1" applyBorder="1" applyFont="1">
      <alignment horizontal="center" shrinkToFit="0" vertical="center" wrapText="1"/>
    </xf>
    <xf borderId="10" fillId="3" fontId="13" numFmtId="0" xfId="0" applyAlignment="1" applyBorder="1" applyFont="1">
      <alignment horizontal="center" shrinkToFit="0" vertical="center" wrapText="1"/>
    </xf>
    <xf borderId="19" fillId="0" fontId="9" numFmtId="0" xfId="0" applyAlignment="1" applyBorder="1" applyFont="1">
      <alignment horizontal="center" shrinkToFit="0" vertical="center" wrapText="1"/>
    </xf>
    <xf borderId="10" fillId="2" fontId="13" numFmtId="0" xfId="0" applyAlignment="1" applyBorder="1" applyFont="1">
      <alignment horizontal="center" shrinkToFit="0" vertical="center" wrapText="1"/>
    </xf>
    <xf borderId="16" fillId="2" fontId="9" numFmtId="0" xfId="0" applyAlignment="1" applyBorder="1" applyFont="1">
      <alignment horizontal="center" shrinkToFit="0" vertical="center" wrapText="1"/>
    </xf>
    <xf borderId="0" fillId="0" fontId="35" numFmtId="0" xfId="0" applyAlignment="1" applyFont="1">
      <alignment horizontal="center" vertical="center"/>
    </xf>
    <xf borderId="10" fillId="0" fontId="36" numFmtId="0" xfId="0" applyAlignment="1" applyBorder="1" applyFont="1">
      <alignment horizontal="center" vertical="center"/>
    </xf>
    <xf borderId="10" fillId="0" fontId="30" numFmtId="0" xfId="0" applyAlignment="1" applyBorder="1" applyFont="1">
      <alignment horizontal="center" vertical="center"/>
    </xf>
    <xf borderId="8" fillId="0" fontId="30" numFmtId="0" xfId="0" applyAlignment="1" applyBorder="1" applyFont="1">
      <alignment horizontal="center" shrinkToFit="0" vertical="center" wrapText="1"/>
    </xf>
    <xf borderId="7" fillId="0" fontId="3" numFmtId="0" xfId="0" applyAlignment="1" applyBorder="1" applyFont="1">
      <alignment horizontal="left"/>
    </xf>
    <xf borderId="18" fillId="0" fontId="3" numFmtId="0" xfId="0" applyAlignment="1" applyBorder="1" applyFont="1">
      <alignment horizontal="center" vertical="center"/>
    </xf>
    <xf borderId="79" fillId="0" fontId="5" numFmtId="0" xfId="0" applyBorder="1" applyFont="1"/>
    <xf borderId="17" fillId="0" fontId="3" numFmtId="0" xfId="0" applyAlignment="1" applyBorder="1" applyFont="1">
      <alignment horizontal="center" vertical="center"/>
    </xf>
    <xf borderId="80" fillId="0" fontId="3" numFmtId="0" xfId="0" applyAlignment="1" applyBorder="1" applyFont="1">
      <alignment horizontal="center" shrinkToFit="0" vertical="center" wrapText="1"/>
    </xf>
    <xf borderId="71" fillId="0" fontId="3" numFmtId="0" xfId="0" applyAlignment="1" applyBorder="1" applyFont="1">
      <alignment horizontal="center" shrinkToFit="0" vertical="center" wrapText="1"/>
    </xf>
    <xf borderId="72" fillId="0" fontId="3" numFmtId="0" xfId="0" applyAlignment="1" applyBorder="1" applyFont="1">
      <alignment horizontal="center" vertical="center"/>
    </xf>
    <xf borderId="21" fillId="0" fontId="3" numFmtId="0" xfId="0" applyAlignment="1" applyBorder="1" applyFont="1">
      <alignment horizontal="center" vertical="center"/>
    </xf>
    <xf borderId="10" fillId="0" fontId="3" numFmtId="0" xfId="0" applyAlignment="1" applyBorder="1" applyFont="1">
      <alignment horizontal="center" shrinkToFit="0" vertical="center" wrapText="1"/>
    </xf>
    <xf borderId="56" fillId="0" fontId="30" numFmtId="0" xfId="0" applyAlignment="1" applyBorder="1" applyFont="1">
      <alignment horizontal="center" vertical="center"/>
    </xf>
    <xf borderId="65" fillId="0" fontId="3" numFmtId="0" xfId="0" applyAlignment="1" applyBorder="1" applyFont="1">
      <alignment horizontal="center" vertical="center"/>
    </xf>
    <xf borderId="49" fillId="0" fontId="3" numFmtId="0" xfId="0" applyAlignment="1" applyBorder="1" applyFont="1">
      <alignment horizontal="center" vertical="center"/>
    </xf>
    <xf borderId="50" fillId="0" fontId="3" numFmtId="0" xfId="0" applyAlignment="1" applyBorder="1" applyFont="1">
      <alignment horizontal="center" vertical="center"/>
    </xf>
    <xf borderId="64" fillId="0" fontId="3" numFmtId="0" xfId="0" applyAlignment="1" applyBorder="1" applyFont="1">
      <alignment horizontal="center" vertical="center"/>
    </xf>
    <xf borderId="59" fillId="0" fontId="30" numFmtId="0" xfId="0" applyAlignment="1" applyBorder="1" applyFont="1">
      <alignment horizontal="center" vertical="center"/>
    </xf>
    <xf borderId="6" fillId="0" fontId="3" numFmtId="0" xfId="0" applyAlignment="1" applyBorder="1" applyFont="1">
      <alignment horizontal="center" vertical="center"/>
    </xf>
    <xf borderId="4" fillId="0" fontId="3" numFmtId="0" xfId="0" applyAlignment="1" applyBorder="1" applyFont="1">
      <alignment horizontal="center" vertical="center"/>
    </xf>
    <xf borderId="73" fillId="0" fontId="3" numFmtId="0" xfId="0" applyAlignment="1" applyBorder="1" applyFont="1">
      <alignment horizontal="center" vertical="center"/>
    </xf>
    <xf borderId="43" fillId="0" fontId="3" numFmtId="0" xfId="0" applyAlignment="1" applyBorder="1" applyFont="1">
      <alignment horizontal="center" vertical="center"/>
    </xf>
    <xf borderId="63" fillId="0" fontId="30" numFmtId="0" xfId="0" applyAlignment="1" applyBorder="1" applyFont="1">
      <alignment horizontal="center" vertical="center"/>
    </xf>
    <xf borderId="66" fillId="0" fontId="3" numFmtId="0" xfId="0" applyAlignment="1" applyBorder="1" applyFont="1">
      <alignment horizontal="center" vertical="center"/>
    </xf>
    <xf borderId="52" fillId="0" fontId="3" numFmtId="0" xfId="0" applyAlignment="1" applyBorder="1" applyFont="1">
      <alignment horizontal="center" vertical="center"/>
    </xf>
    <xf borderId="74" fillId="0" fontId="3" numFmtId="0" xfId="0" applyAlignment="1" applyBorder="1" applyFont="1">
      <alignment horizontal="center" vertical="center"/>
    </xf>
    <xf borderId="59" fillId="0" fontId="30" numFmtId="0" xfId="0" applyAlignment="1" applyBorder="1" applyFont="1">
      <alignment horizontal="center" shrinkToFit="0" vertical="center" wrapText="1"/>
    </xf>
    <xf borderId="81" fillId="16" fontId="37" numFmtId="0" xfId="0" applyAlignment="1" applyBorder="1" applyFill="1" applyFont="1">
      <alignment horizontal="center" vertical="center"/>
    </xf>
    <xf borderId="5" fillId="16" fontId="37" numFmtId="0" xfId="0" applyAlignment="1" applyBorder="1" applyFont="1">
      <alignment horizontal="center" vertical="center"/>
    </xf>
    <xf borderId="63" fillId="0" fontId="30" numFmtId="0" xfId="0" applyAlignment="1" applyBorder="1" applyFont="1">
      <alignment horizontal="center" shrinkToFit="0" vertical="center" wrapText="1"/>
    </xf>
    <xf borderId="46" fillId="0" fontId="3" numFmtId="0" xfId="0" applyAlignment="1" applyBorder="1" applyFont="1">
      <alignment horizontal="center" vertical="center"/>
    </xf>
    <xf borderId="10" fillId="0" fontId="38" numFmtId="0" xfId="0" applyAlignment="1" applyBorder="1" applyFont="1">
      <alignment horizontal="center" vertical="center"/>
    </xf>
    <xf borderId="21" fillId="0" fontId="39" numFmtId="0" xfId="0" applyAlignment="1" applyBorder="1" applyFont="1">
      <alignment horizontal="center" vertical="center"/>
    </xf>
    <xf borderId="21" fillId="0" fontId="38" numFmtId="0" xfId="0" applyAlignment="1" applyBorder="1" applyFont="1">
      <alignment horizontal="center" shrinkToFit="0" vertical="center" wrapText="1"/>
    </xf>
    <xf borderId="21" fillId="0" fontId="39" numFmtId="9" xfId="0" applyAlignment="1" applyBorder="1" applyFont="1" applyNumberFormat="1">
      <alignment horizontal="center" vertical="center"/>
    </xf>
    <xf borderId="21" fillId="0" fontId="38" numFmtId="0" xfId="0" applyAlignment="1" applyBorder="1" applyFont="1">
      <alignment horizontal="center" vertical="center"/>
    </xf>
    <xf borderId="10" fillId="0" fontId="40" numFmtId="0" xfId="0" applyAlignment="1" applyBorder="1" applyFont="1">
      <alignment horizontal="center" vertical="center"/>
    </xf>
    <xf borderId="10" fillId="0" fontId="40" numFmtId="0" xfId="0" applyAlignment="1" applyBorder="1" applyFont="1">
      <alignment vertical="center"/>
    </xf>
    <xf borderId="12" fillId="0" fontId="40" numFmtId="0" xfId="0" applyAlignment="1" applyBorder="1" applyFont="1">
      <alignment vertical="center"/>
    </xf>
    <xf borderId="8" fillId="4" fontId="17" numFmtId="0" xfId="0" applyAlignment="1" applyBorder="1" applyFont="1">
      <alignment horizontal="center" shrinkToFit="0" vertical="center" wrapText="1"/>
    </xf>
    <xf borderId="82" fillId="0" fontId="5" numFmtId="0" xfId="0" applyBorder="1" applyFont="1"/>
    <xf borderId="54" fillId="4" fontId="3" numFmtId="0" xfId="0" applyAlignment="1" applyBorder="1" applyFont="1">
      <alignment horizontal="center" vertical="center"/>
    </xf>
    <xf borderId="49" fillId="4" fontId="3" numFmtId="0" xfId="0" applyAlignment="1" applyBorder="1" applyFont="1">
      <alignment horizontal="center" vertical="center"/>
    </xf>
    <xf borderId="83" fillId="4" fontId="3" numFmtId="0" xfId="0" applyAlignment="1" applyBorder="1" applyFont="1">
      <alignment horizontal="center" vertical="center"/>
    </xf>
    <xf borderId="84" fillId="0" fontId="5" numFmtId="0" xfId="0" applyBorder="1" applyFont="1"/>
    <xf borderId="52" fillId="4" fontId="3" numFmtId="0" xfId="0" applyAlignment="1" applyBorder="1" applyFont="1">
      <alignment horizontal="center" shrinkToFit="0" vertical="center" wrapText="1"/>
    </xf>
    <xf borderId="52" fillId="4" fontId="3" numFmtId="0" xfId="0" applyAlignment="1" applyBorder="1" applyFont="1">
      <alignment horizontal="center" vertical="center"/>
    </xf>
    <xf borderId="85" fillId="0" fontId="5" numFmtId="0" xfId="0" applyBorder="1" applyFont="1"/>
    <xf borderId="64" fillId="0" fontId="4" numFmtId="0" xfId="0" applyAlignment="1" applyBorder="1" applyFont="1">
      <alignment horizontal="center" vertical="center"/>
    </xf>
    <xf borderId="54" fillId="2" fontId="3" numFmtId="0" xfId="0" applyAlignment="1" applyBorder="1" applyFont="1">
      <alignment horizontal="center" vertical="center"/>
    </xf>
    <xf borderId="49" fillId="2" fontId="3" numFmtId="0" xfId="0" applyAlignment="1" applyBorder="1" applyFont="1">
      <alignment horizontal="center" vertical="center"/>
    </xf>
    <xf borderId="46" fillId="4" fontId="4" numFmtId="0" xfId="0" applyAlignment="1" applyBorder="1" applyFont="1">
      <alignment horizontal="center" vertical="center"/>
    </xf>
    <xf borderId="60" fillId="4" fontId="3" numFmtId="2" xfId="0" applyAlignment="1" applyBorder="1" applyFont="1" applyNumberFormat="1">
      <alignment horizontal="center" vertical="center"/>
    </xf>
    <xf borderId="52" fillId="4" fontId="3" numFmtId="2" xfId="0" applyAlignment="1" applyBorder="1" applyFont="1" applyNumberFormat="1">
      <alignment horizontal="center" vertical="center"/>
    </xf>
    <xf borderId="86" fillId="4" fontId="3" numFmtId="2" xfId="0" applyAlignment="1" applyBorder="1" applyFont="1" applyNumberFormat="1">
      <alignment horizontal="center" vertical="center"/>
    </xf>
    <xf borderId="10" fillId="4" fontId="36" numFmtId="0" xfId="0" applyAlignment="1" applyBorder="1" applyFont="1">
      <alignment horizontal="center" vertical="center"/>
    </xf>
    <xf borderId="10" fillId="4" fontId="41" numFmtId="0" xfId="0" applyAlignment="1" applyBorder="1" applyFont="1">
      <alignment horizontal="center" vertical="center"/>
    </xf>
    <xf borderId="8" fillId="4" fontId="30" numFmtId="0" xfId="0" applyAlignment="1" applyBorder="1" applyFont="1">
      <alignment horizontal="center" shrinkToFit="0" vertical="center" wrapText="1"/>
    </xf>
    <xf borderId="7" fillId="4" fontId="3" numFmtId="0" xfId="0" applyAlignment="1" applyBorder="1" applyFont="1">
      <alignment horizontal="left"/>
    </xf>
    <xf borderId="87" fillId="4" fontId="3" numFmtId="0" xfId="0" applyAlignment="1" applyBorder="1" applyFont="1">
      <alignment vertical="center"/>
    </xf>
    <xf borderId="88" fillId="4" fontId="3" numFmtId="0" xfId="0" applyAlignment="1" applyBorder="1" applyFont="1">
      <alignment horizontal="center" vertical="center"/>
    </xf>
    <xf borderId="88" fillId="4" fontId="3" numFmtId="0" xfId="0" applyAlignment="1" applyBorder="1" applyFont="1">
      <alignment vertical="center"/>
    </xf>
    <xf borderId="89" fillId="4" fontId="3" numFmtId="0" xfId="0" applyAlignment="1" applyBorder="1" applyFont="1">
      <alignment vertical="center"/>
    </xf>
    <xf borderId="16" fillId="4" fontId="3" numFmtId="0" xfId="0" applyAlignment="1" applyBorder="1" applyFont="1">
      <alignment horizontal="center" vertical="center"/>
    </xf>
    <xf borderId="80" fillId="4" fontId="3" numFmtId="0" xfId="0" applyAlignment="1" applyBorder="1" applyFont="1">
      <alignment horizontal="center" shrinkToFit="0" vertical="center" wrapText="1"/>
    </xf>
    <xf borderId="71" fillId="4" fontId="3" numFmtId="0" xfId="0" applyAlignment="1" applyBorder="1" applyFont="1">
      <alignment horizontal="center" shrinkToFit="0" vertical="center" wrapText="1"/>
    </xf>
    <xf borderId="71" fillId="4" fontId="3" numFmtId="0" xfId="0" applyAlignment="1" applyBorder="1" applyFont="1">
      <alignment horizontal="center" vertical="center"/>
    </xf>
    <xf borderId="33" fillId="4" fontId="3" numFmtId="0" xfId="0" applyAlignment="1" applyBorder="1" applyFont="1">
      <alignment horizontal="center" vertical="center"/>
    </xf>
    <xf borderId="10" fillId="4" fontId="3" numFmtId="0" xfId="0" applyAlignment="1" applyBorder="1" applyFont="1">
      <alignment horizontal="center" shrinkToFit="0" vertical="center" wrapText="1"/>
    </xf>
    <xf borderId="56" fillId="4" fontId="30" numFmtId="0" xfId="0" applyAlignment="1" applyBorder="1" applyFont="1">
      <alignment horizontal="center" vertical="center"/>
    </xf>
    <xf borderId="90" fillId="4" fontId="3" numFmtId="0" xfId="0" applyAlignment="1" applyBorder="1" applyFont="1">
      <alignment horizontal="center" vertical="center"/>
    </xf>
    <xf borderId="50" fillId="4" fontId="3" numFmtId="0" xfId="0" applyAlignment="1" applyBorder="1" applyFont="1">
      <alignment horizontal="center" vertical="center"/>
    </xf>
    <xf borderId="64" fillId="4" fontId="3" numFmtId="0" xfId="0" applyAlignment="1" applyBorder="1" applyFont="1">
      <alignment horizontal="center" vertical="center"/>
    </xf>
    <xf borderId="59" fillId="4" fontId="30" numFmtId="0" xfId="0" applyAlignment="1" applyBorder="1" applyFont="1">
      <alignment horizontal="center" vertical="center"/>
    </xf>
    <xf borderId="81" fillId="4" fontId="3" numFmtId="0" xfId="0" applyAlignment="1" applyBorder="1" applyFont="1">
      <alignment horizontal="center" vertical="center"/>
    </xf>
    <xf borderId="4" fillId="4" fontId="3" numFmtId="0" xfId="0" applyAlignment="1" applyBorder="1" applyFont="1">
      <alignment horizontal="center" vertical="center"/>
    </xf>
    <xf borderId="73" fillId="4" fontId="3" numFmtId="0" xfId="0" applyAlignment="1" applyBorder="1" applyFont="1">
      <alignment horizontal="center" vertical="center"/>
    </xf>
    <xf borderId="43" fillId="4" fontId="3" numFmtId="0" xfId="0" applyAlignment="1" applyBorder="1" applyFont="1">
      <alignment horizontal="center" vertical="center"/>
    </xf>
    <xf borderId="63" fillId="4" fontId="30" numFmtId="0" xfId="0" applyAlignment="1" applyBorder="1" applyFont="1">
      <alignment horizontal="center" vertical="center"/>
    </xf>
    <xf borderId="91" fillId="4" fontId="3" numFmtId="0" xfId="0" applyAlignment="1" applyBorder="1" applyFont="1">
      <alignment horizontal="center" vertical="center"/>
    </xf>
    <xf borderId="74" fillId="4" fontId="3" numFmtId="0" xfId="0" applyAlignment="1" applyBorder="1" applyFont="1">
      <alignment horizontal="center" vertical="center"/>
    </xf>
    <xf borderId="59" fillId="4" fontId="30" numFmtId="0" xfId="0" applyAlignment="1" applyBorder="1" applyFont="1">
      <alignment horizontal="center" shrinkToFit="0" vertical="center" wrapText="1"/>
    </xf>
    <xf borderId="81" fillId="4" fontId="37" numFmtId="2" xfId="0" applyAlignment="1" applyBorder="1" applyFont="1" applyNumberFormat="1">
      <alignment horizontal="center" vertical="center"/>
    </xf>
    <xf borderId="43" fillId="4" fontId="37" numFmtId="0" xfId="0" applyAlignment="1" applyBorder="1" applyFont="1">
      <alignment horizontal="center" vertical="center"/>
    </xf>
    <xf borderId="63" fillId="4" fontId="30" numFmtId="0" xfId="0" applyAlignment="1" applyBorder="1" applyFont="1">
      <alignment horizontal="center" shrinkToFit="0" vertical="center" wrapText="1"/>
    </xf>
    <xf borderId="91" fillId="4" fontId="3" numFmtId="2" xfId="0" applyAlignment="1" applyBorder="1" applyFont="1" applyNumberFormat="1">
      <alignment horizontal="center" vertical="center"/>
    </xf>
    <xf borderId="46" fillId="4" fontId="3" numFmtId="2" xfId="0" applyAlignment="1" applyBorder="1" applyFont="1" applyNumberFormat="1">
      <alignment horizontal="center" vertical="center"/>
    </xf>
    <xf borderId="10" fillId="4" fontId="38" numFmtId="0" xfId="0" applyAlignment="1" applyBorder="1" applyFont="1">
      <alignment horizontal="center" vertical="center"/>
    </xf>
    <xf borderId="21" fillId="4" fontId="39" numFmtId="2" xfId="0" applyAlignment="1" applyBorder="1" applyFont="1" applyNumberFormat="1">
      <alignment horizontal="center" vertical="center"/>
    </xf>
    <xf borderId="21" fillId="4" fontId="38" numFmtId="0" xfId="0" applyAlignment="1" applyBorder="1" applyFont="1">
      <alignment horizontal="center" shrinkToFit="0" vertical="center" wrapText="1"/>
    </xf>
    <xf borderId="21" fillId="4" fontId="39" numFmtId="0" xfId="0" applyAlignment="1" applyBorder="1" applyFont="1">
      <alignment horizontal="center" vertical="center"/>
    </xf>
    <xf borderId="21" fillId="4" fontId="39" numFmtId="9" xfId="0" applyAlignment="1" applyBorder="1" applyFont="1" applyNumberFormat="1">
      <alignment horizontal="center" vertical="center"/>
    </xf>
    <xf borderId="21" fillId="4" fontId="38" numFmtId="0" xfId="0" applyAlignment="1" applyBorder="1" applyFont="1">
      <alignment horizontal="center" vertical="center"/>
    </xf>
    <xf borderId="10" fillId="5" fontId="40" numFmtId="0" xfId="0" applyAlignment="1" applyBorder="1" applyFont="1">
      <alignment horizontal="center" vertical="center"/>
    </xf>
    <xf borderId="87" fillId="5" fontId="40" numFmtId="2" xfId="0" applyAlignment="1" applyBorder="1" applyFont="1" applyNumberFormat="1">
      <alignment vertical="center"/>
    </xf>
    <xf borderId="33" fillId="5" fontId="40" numFmtId="0" xfId="0" applyAlignment="1" applyBorder="1" applyFont="1">
      <alignment vertical="center"/>
    </xf>
    <xf borderId="22" fillId="2" fontId="3" numFmtId="0" xfId="0" applyAlignment="1" applyBorder="1" applyFont="1">
      <alignment horizontal="center"/>
    </xf>
    <xf borderId="16" fillId="4" fontId="11" numFmtId="0" xfId="0" applyAlignment="1" applyBorder="1" applyFont="1">
      <alignment horizontal="center" shrinkToFit="0" vertical="center" wrapText="1"/>
    </xf>
    <xf borderId="16" fillId="5" fontId="42" numFmtId="0" xfId="0" applyAlignment="1" applyBorder="1" applyFont="1">
      <alignment horizontal="center" shrinkToFit="0" vertical="center" wrapText="1"/>
    </xf>
    <xf borderId="0" fillId="0" fontId="3" numFmtId="2" xfId="0" applyFont="1" applyNumberFormat="1"/>
    <xf borderId="4" fillId="0" fontId="43" numFmtId="0" xfId="0" applyAlignment="1" applyBorder="1" applyFont="1">
      <alignment horizontal="center" readingOrder="0" shrinkToFit="0" vertical="center" wrapText="1"/>
    </xf>
    <xf borderId="0" fillId="0" fontId="44" numFmtId="0" xfId="0" applyAlignment="1" applyFont="1">
      <alignment readingOrder="0"/>
    </xf>
    <xf borderId="0" fillId="0" fontId="44" numFmtId="0" xfId="0" applyFont="1"/>
  </cellXfs>
  <cellStyles count="1">
    <cellStyle xfId="0" name="Normal" builtinId="0"/>
  </cellStyles>
  <dxfs count="3">
    <dxf>
      <font/>
      <fill>
        <patternFill patternType="none"/>
      </fill>
      <border/>
    </dxf>
    <dxf>
      <font/>
      <fill>
        <patternFill patternType="solid">
          <fgColor rgb="FFFFFFFF"/>
          <bgColor rgb="FFFFFFFF"/>
        </patternFill>
      </fill>
      <border/>
    </dxf>
    <dxf>
      <font/>
      <fill>
        <patternFill patternType="solid">
          <fgColor rgb="FFF8F9FA"/>
          <bgColor rgb="FFF8F9FA"/>
        </patternFill>
      </fill>
      <border/>
    </dxf>
  </dxfs>
  <tableStyles count="3">
    <tableStyle count="2" pivot="0" name="CO_Attainment for Unit Tests-style">
      <tableStyleElement dxfId="1" type="firstRowStripe"/>
      <tableStyleElement dxfId="2" type="secondRowStripe"/>
    </tableStyle>
    <tableStyle count="2" pivot="0" name="CO_Attainment for Unit Tests-style 2">
      <tableStyleElement dxfId="2" type="firstRowStripe"/>
      <tableStyleElement dxfId="1" type="secondRowStripe"/>
    </tableStyle>
    <tableStyle count="2" pivot="0" name="CO_Attainment for Unit Tests-style 3">
      <tableStyleElement dxfId="2" type="firstRowStripe"/>
      <tableStyleElement dxfId="1" type="secondRowStripe"/>
    </tableStyle>
  </tableStyle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4" Type="http://customschemas.google.com/relationships/workbookmetadata" Target="metadata"/><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xdr:col>
      <xdr:colOff>9525</xdr:colOff>
      <xdr:row>34</xdr:row>
      <xdr:rowOff>9525</xdr:rowOff>
    </xdr:from>
    <xdr:ext cx="409575" cy="219075"/>
    <xdr:sp>
      <xdr:nvSpPr>
        <xdr:cNvPr id="3" name="Shape 3"/>
        <xdr:cNvSpPr/>
      </xdr:nvSpPr>
      <xdr:spPr>
        <a:xfrm>
          <a:off x="5150738" y="3679988"/>
          <a:ext cx="390525" cy="200025"/>
        </a:xfrm>
        <a:prstGeom prst="leftArrow">
          <a:avLst>
            <a:gd fmla="val 50000" name="adj1"/>
            <a:gd fmla="val 50000" name="adj2"/>
          </a:avLst>
        </a:prstGeom>
        <a:noFill/>
        <a:ln cap="flat" cmpd="sng" w="25400">
          <a:solidFill>
            <a:srgbClr val="395E89"/>
          </a:solidFill>
          <a:prstDash val="solid"/>
          <a:round/>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3</xdr:col>
      <xdr:colOff>9525</xdr:colOff>
      <xdr:row>35</xdr:row>
      <xdr:rowOff>85725</xdr:rowOff>
    </xdr:from>
    <xdr:ext cx="333375" cy="276225"/>
    <xdr:sp>
      <xdr:nvSpPr>
        <xdr:cNvPr id="4" name="Shape 4"/>
        <xdr:cNvSpPr/>
      </xdr:nvSpPr>
      <xdr:spPr>
        <a:xfrm>
          <a:off x="5188838" y="3651413"/>
          <a:ext cx="314325" cy="257175"/>
        </a:xfrm>
        <a:prstGeom prst="leftArrow">
          <a:avLst>
            <a:gd fmla="val 50000" name="adj1"/>
            <a:gd fmla="val 50000" name="adj2"/>
          </a:avLst>
        </a:prstGeom>
        <a:noFill/>
        <a:ln cap="flat" cmpd="sng" w="25400">
          <a:solidFill>
            <a:srgbClr val="395E89"/>
          </a:solidFill>
          <a:prstDash val="solid"/>
          <a:round/>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3</xdr:col>
      <xdr:colOff>9525</xdr:colOff>
      <xdr:row>34</xdr:row>
      <xdr:rowOff>9525</xdr:rowOff>
    </xdr:from>
    <xdr:ext cx="409575" cy="219075"/>
    <xdr:sp>
      <xdr:nvSpPr>
        <xdr:cNvPr id="3" name="Shape 3"/>
        <xdr:cNvSpPr/>
      </xdr:nvSpPr>
      <xdr:spPr>
        <a:xfrm>
          <a:off x="5150738" y="3679988"/>
          <a:ext cx="390525" cy="200025"/>
        </a:xfrm>
        <a:prstGeom prst="leftArrow">
          <a:avLst>
            <a:gd fmla="val 50000" name="adj1"/>
            <a:gd fmla="val 50000" name="adj2"/>
          </a:avLst>
        </a:prstGeom>
        <a:noFill/>
        <a:ln cap="flat" cmpd="sng" w="25400">
          <a:solidFill>
            <a:srgbClr val="395E89"/>
          </a:solidFill>
          <a:prstDash val="solid"/>
          <a:round/>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3</xdr:col>
      <xdr:colOff>9525</xdr:colOff>
      <xdr:row>34</xdr:row>
      <xdr:rowOff>9525</xdr:rowOff>
    </xdr:from>
    <xdr:ext cx="409575" cy="219075"/>
    <xdr:sp>
      <xdr:nvSpPr>
        <xdr:cNvPr id="3" name="Shape 3"/>
        <xdr:cNvSpPr/>
      </xdr:nvSpPr>
      <xdr:spPr>
        <a:xfrm>
          <a:off x="5150738" y="3679988"/>
          <a:ext cx="390525" cy="200025"/>
        </a:xfrm>
        <a:prstGeom prst="leftArrow">
          <a:avLst>
            <a:gd fmla="val 50000" name="adj1"/>
            <a:gd fmla="val 50000" name="adj2"/>
          </a:avLst>
        </a:prstGeom>
        <a:noFill/>
        <a:ln cap="flat" cmpd="sng" w="25400">
          <a:solidFill>
            <a:srgbClr val="395E89"/>
          </a:solidFill>
          <a:prstDash val="solid"/>
          <a:round/>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3</xdr:col>
      <xdr:colOff>9525</xdr:colOff>
      <xdr:row>35</xdr:row>
      <xdr:rowOff>85725</xdr:rowOff>
    </xdr:from>
    <xdr:ext cx="333375" cy="276225"/>
    <xdr:sp>
      <xdr:nvSpPr>
        <xdr:cNvPr id="4" name="Shape 4"/>
        <xdr:cNvSpPr/>
      </xdr:nvSpPr>
      <xdr:spPr>
        <a:xfrm>
          <a:off x="5188838" y="3651413"/>
          <a:ext cx="314325" cy="257175"/>
        </a:xfrm>
        <a:prstGeom prst="leftArrow">
          <a:avLst>
            <a:gd fmla="val 50000" name="adj1"/>
            <a:gd fmla="val 50000" name="adj2"/>
          </a:avLst>
        </a:prstGeom>
        <a:noFill/>
        <a:ln cap="flat" cmpd="sng" w="25400">
          <a:solidFill>
            <a:srgbClr val="395E89"/>
          </a:solidFill>
          <a:prstDash val="solid"/>
          <a:round/>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xdr:col>
      <xdr:colOff>1276350</xdr:colOff>
      <xdr:row>96</xdr:row>
      <xdr:rowOff>219075</xdr:rowOff>
    </xdr:from>
    <xdr:ext cx="171450" cy="219075"/>
    <xdr:sp>
      <xdr:nvSpPr>
        <xdr:cNvPr id="5" name="Shape 5"/>
        <xdr:cNvSpPr/>
      </xdr:nvSpPr>
      <xdr:spPr>
        <a:xfrm>
          <a:off x="5269800" y="3679988"/>
          <a:ext cx="152400" cy="200025"/>
        </a:xfrm>
        <a:prstGeom prst="downArrow">
          <a:avLst>
            <a:gd fmla="val 50000" name="adj1"/>
            <a:gd fmla="val 50000" name="adj2"/>
          </a:avLst>
        </a:prstGeom>
        <a:solidFill>
          <a:schemeClr val="accent1"/>
        </a:solidFill>
        <a:ln cap="flat" cmpd="sng" w="25400">
          <a:solidFill>
            <a:srgbClr val="000000"/>
          </a:solidFill>
          <a:prstDash val="solid"/>
          <a:round/>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xdr:col>
      <xdr:colOff>1314450</xdr:colOff>
      <xdr:row>96</xdr:row>
      <xdr:rowOff>161925</xdr:rowOff>
    </xdr:from>
    <xdr:ext cx="171450" cy="209550"/>
    <xdr:sp>
      <xdr:nvSpPr>
        <xdr:cNvPr id="6" name="Shape 6"/>
        <xdr:cNvSpPr/>
      </xdr:nvSpPr>
      <xdr:spPr>
        <a:xfrm>
          <a:off x="5269800" y="3684750"/>
          <a:ext cx="152400" cy="190500"/>
        </a:xfrm>
        <a:prstGeom prst="downArrow">
          <a:avLst>
            <a:gd fmla="val 50000" name="adj1"/>
            <a:gd fmla="val 50000" name="adj2"/>
          </a:avLst>
        </a:prstGeom>
        <a:solidFill>
          <a:schemeClr val="accent1"/>
        </a:solidFill>
        <a:ln cap="flat" cmpd="sng" w="25400">
          <a:solidFill>
            <a:srgbClr val="000000"/>
          </a:solidFill>
          <a:prstDash val="solid"/>
          <a:round/>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N13:P36" displayName="Table_1" name="Table_1" id="1">
  <tableColumns count="3">
    <tableColumn name="Column1" id="1"/>
    <tableColumn name="Column2" id="2"/>
    <tableColumn name="Column3" id="3"/>
  </tableColumns>
  <tableStyleInfo name="CO_Attainment for Unit Tests-style" showColumnStripes="0" showFirstColumn="1" showLastColumn="1" showRowStripes="1"/>
</table>
</file>

<file path=xl/tables/table2.xml><?xml version="1.0" encoding="utf-8"?>
<table xmlns="http://schemas.openxmlformats.org/spreadsheetml/2006/main" headerRowCount="0" ref="N68:P68" displayName="Table_2" name="Table_2" id="2">
  <tableColumns count="3">
    <tableColumn name="Column1" id="1"/>
    <tableColumn name="Column2" id="2"/>
    <tableColumn name="Column3" id="3"/>
  </tableColumns>
  <tableStyleInfo name="CO_Attainment for Unit Tests-style 2" showColumnStripes="0" showFirstColumn="1" showLastColumn="1" showRowStripes="1"/>
</table>
</file>

<file path=xl/tables/table3.xml><?xml version="1.0" encoding="utf-8"?>
<table xmlns="http://schemas.openxmlformats.org/spreadsheetml/2006/main" headerRowCount="0" ref="N71:P73" displayName="Table_3" name="Table_3" id="3">
  <tableColumns count="3">
    <tableColumn name="Column1" id="1"/>
    <tableColumn name="Column2" id="2"/>
    <tableColumn name="Column3" id="3"/>
  </tableColumns>
  <tableStyleInfo name="CO_Attainment for Unit Tests-style 3"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9" Type="http://schemas.openxmlformats.org/officeDocument/2006/relationships/table" Target="../tables/table3.xml"/><Relationship Id="rId7" Type="http://schemas.openxmlformats.org/officeDocument/2006/relationships/table" Target="../tables/table1.xml"/><Relationship Id="rId8"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sheetViews>
  <sheetFormatPr customHeight="1" defaultColWidth="14.43" defaultRowHeight="15.0"/>
  <cols>
    <col customWidth="1" min="1" max="1" width="11.0"/>
    <col customWidth="1" min="2" max="2" width="12.14"/>
    <col customWidth="1" min="3" max="3" width="8.71"/>
    <col customWidth="1" min="4" max="4" width="38.29"/>
    <col customWidth="1" min="5" max="5" width="13.29"/>
    <col customWidth="1" min="6" max="7" width="8.71"/>
    <col customWidth="1" min="8" max="8" width="10.86"/>
    <col customWidth="1" min="9" max="9" width="12.86"/>
    <col customWidth="1" min="10" max="15" width="8.71"/>
  </cols>
  <sheetData>
    <row r="1">
      <c r="D1" s="1" t="s">
        <v>0</v>
      </c>
      <c r="E1" s="2"/>
      <c r="F1" s="2"/>
      <c r="G1" s="2"/>
      <c r="H1" s="2"/>
      <c r="I1" s="2"/>
      <c r="J1" s="2"/>
      <c r="K1" s="2"/>
      <c r="L1" s="3"/>
    </row>
    <row r="3">
      <c r="A3" s="4"/>
      <c r="B3" s="4"/>
      <c r="C3" s="5" t="s">
        <v>1</v>
      </c>
      <c r="D3" s="6" t="s">
        <v>2</v>
      </c>
      <c r="E3" s="7"/>
      <c r="F3" s="4"/>
    </row>
    <row r="4">
      <c r="A4" s="4"/>
      <c r="B4" s="4"/>
      <c r="C4" s="5" t="s">
        <v>3</v>
      </c>
      <c r="D4" s="6">
        <v>22317.0</v>
      </c>
      <c r="E4" s="7"/>
      <c r="F4" s="4"/>
    </row>
    <row r="5">
      <c r="A5" s="4"/>
      <c r="B5" s="4"/>
      <c r="C5" s="5" t="s">
        <v>4</v>
      </c>
      <c r="D5" s="6" t="s">
        <v>5</v>
      </c>
      <c r="E5" s="7"/>
      <c r="F5" s="4"/>
    </row>
    <row r="6">
      <c r="A6" s="4"/>
      <c r="B6" s="4"/>
      <c r="C6" s="5" t="s">
        <v>6</v>
      </c>
      <c r="D6" s="6" t="s">
        <v>7</v>
      </c>
      <c r="E6" s="7"/>
      <c r="F6" s="4"/>
    </row>
    <row r="7">
      <c r="A7" s="4"/>
      <c r="B7" s="8" t="s">
        <v>8</v>
      </c>
      <c r="C7" s="4"/>
      <c r="D7" s="4"/>
      <c r="E7" s="4"/>
      <c r="F7" s="4"/>
    </row>
    <row r="8" ht="28.5" customHeight="1">
      <c r="A8" s="4"/>
      <c r="B8" s="4"/>
      <c r="C8" s="9" t="s">
        <v>9</v>
      </c>
      <c r="D8" s="10" t="s">
        <v>10</v>
      </c>
      <c r="E8" s="11"/>
      <c r="F8" s="4"/>
    </row>
    <row r="9" ht="28.5" customHeight="1">
      <c r="A9" s="4"/>
      <c r="B9" s="4"/>
      <c r="C9" s="9" t="s">
        <v>11</v>
      </c>
      <c r="D9" s="10" t="s">
        <v>12</v>
      </c>
      <c r="E9" s="11"/>
      <c r="F9" s="4"/>
    </row>
    <row r="10" ht="28.5" customHeight="1">
      <c r="A10" s="4"/>
      <c r="B10" s="4"/>
      <c r="C10" s="9" t="s">
        <v>13</v>
      </c>
      <c r="D10" s="10" t="s">
        <v>14</v>
      </c>
      <c r="E10" s="11"/>
      <c r="F10" s="4"/>
    </row>
    <row r="11" ht="28.5" customHeight="1">
      <c r="A11" s="4"/>
      <c r="B11" s="4"/>
      <c r="C11" s="9" t="s">
        <v>15</v>
      </c>
      <c r="D11" s="12" t="s">
        <v>16</v>
      </c>
      <c r="E11" s="11"/>
      <c r="F11" s="4"/>
    </row>
    <row r="12" ht="28.5" customHeight="1">
      <c r="A12" s="4"/>
      <c r="B12" s="4"/>
      <c r="C12" s="9" t="s">
        <v>17</v>
      </c>
      <c r="D12" s="12" t="s">
        <v>18</v>
      </c>
      <c r="E12" s="11"/>
      <c r="F12" s="4"/>
    </row>
    <row r="13" ht="28.5" customHeight="1">
      <c r="A13" s="4"/>
      <c r="B13" s="4"/>
      <c r="C13" s="9"/>
      <c r="D13" s="12"/>
      <c r="E13" s="11"/>
      <c r="F13" s="4"/>
    </row>
    <row r="14" ht="28.5" customHeight="1">
      <c r="A14" s="4"/>
      <c r="B14" s="4"/>
      <c r="C14" s="13"/>
      <c r="D14" s="14"/>
      <c r="E14" s="15"/>
      <c r="F14" s="4"/>
    </row>
    <row r="15">
      <c r="B15" s="16" t="s">
        <v>19</v>
      </c>
      <c r="C15" s="17"/>
      <c r="D15" s="18"/>
      <c r="E15" s="17"/>
      <c r="F15" s="17"/>
      <c r="G15" s="17"/>
      <c r="H15" s="17"/>
      <c r="I15" s="17"/>
      <c r="J15" s="17"/>
      <c r="K15" s="17"/>
      <c r="L15" s="17"/>
      <c r="M15" s="17"/>
    </row>
    <row r="16">
      <c r="B16" s="19" t="s">
        <v>20</v>
      </c>
      <c r="C16" s="18"/>
      <c r="D16" s="18"/>
      <c r="E16" s="18"/>
      <c r="F16" s="18"/>
      <c r="G16" s="18"/>
      <c r="H16" s="18"/>
      <c r="I16" s="18"/>
      <c r="J16" s="18"/>
      <c r="K16" s="18"/>
      <c r="L16" s="18"/>
      <c r="M16" s="18"/>
    </row>
    <row r="17">
      <c r="B17" s="20" t="s">
        <v>21</v>
      </c>
      <c r="C17" s="21" t="s">
        <v>22</v>
      </c>
      <c r="D17" s="22"/>
      <c r="E17" s="23" t="s">
        <v>23</v>
      </c>
      <c r="F17" s="24"/>
      <c r="G17" s="24"/>
      <c r="H17" s="24"/>
      <c r="I17" s="24"/>
      <c r="J17" s="24"/>
      <c r="K17" s="25"/>
      <c r="L17" s="23" t="s">
        <v>24</v>
      </c>
      <c r="M17" s="25"/>
    </row>
    <row r="18">
      <c r="B18" s="26"/>
      <c r="C18" s="27"/>
      <c r="D18" s="28"/>
      <c r="E18" s="29" t="s">
        <v>25</v>
      </c>
      <c r="F18" s="29" t="s">
        <v>26</v>
      </c>
      <c r="G18" s="29" t="s">
        <v>27</v>
      </c>
      <c r="H18" s="29" t="s">
        <v>28</v>
      </c>
      <c r="I18" s="29" t="s">
        <v>29</v>
      </c>
      <c r="J18" s="29" t="s">
        <v>30</v>
      </c>
      <c r="K18" s="29" t="s">
        <v>31</v>
      </c>
      <c r="L18" s="29" t="s">
        <v>32</v>
      </c>
      <c r="M18" s="29" t="s">
        <v>33</v>
      </c>
    </row>
    <row r="19" ht="122.25" customHeight="1">
      <c r="B19" s="30"/>
      <c r="C19" s="31"/>
      <c r="D19" s="32"/>
      <c r="E19" s="33" t="s">
        <v>34</v>
      </c>
      <c r="F19" s="33" t="s">
        <v>35</v>
      </c>
      <c r="G19" s="33" t="s">
        <v>36</v>
      </c>
      <c r="H19" s="33" t="s">
        <v>37</v>
      </c>
      <c r="I19" s="33" t="s">
        <v>38</v>
      </c>
      <c r="J19" s="33" t="s">
        <v>39</v>
      </c>
      <c r="K19" s="33" t="s">
        <v>40</v>
      </c>
      <c r="L19" s="33" t="s">
        <v>41</v>
      </c>
      <c r="M19" s="33" t="s">
        <v>42</v>
      </c>
    </row>
    <row r="20" ht="42.75" customHeight="1">
      <c r="B20" s="34">
        <v>1.0</v>
      </c>
      <c r="C20" s="35" t="str">
        <f t="shared" ref="C20:D20" si="1">C8</f>
        <v>CO1</v>
      </c>
      <c r="D20" s="36" t="str">
        <f t="shared" si="1"/>
        <v>Perform basic operations on arrays</v>
      </c>
      <c r="E20" s="37">
        <v>3.0</v>
      </c>
      <c r="F20" s="37">
        <v>2.0</v>
      </c>
      <c r="G20" s="37">
        <v>2.0</v>
      </c>
      <c r="H20" s="37">
        <v>1.0</v>
      </c>
      <c r="I20" s="37">
        <v>1.0</v>
      </c>
      <c r="J20" s="37" t="s">
        <v>43</v>
      </c>
      <c r="K20" s="37" t="s">
        <v>43</v>
      </c>
      <c r="L20" s="37">
        <v>3.0</v>
      </c>
      <c r="M20" s="37">
        <v>1.0</v>
      </c>
    </row>
    <row r="21">
      <c r="B21" s="34">
        <v>2.0</v>
      </c>
      <c r="C21" s="35" t="str">
        <f t="shared" ref="C21:D21" si="2">C9</f>
        <v>CO2</v>
      </c>
      <c r="D21" s="38" t="str">
        <f t="shared" si="2"/>
        <v> Apply different searching and sorting techniques.</v>
      </c>
      <c r="E21" s="37">
        <v>3.0</v>
      </c>
      <c r="F21" s="37">
        <v>3.0</v>
      </c>
      <c r="G21" s="37">
        <v>3.0</v>
      </c>
      <c r="H21" s="37">
        <v>2.0</v>
      </c>
      <c r="I21" s="37">
        <v>2.0</v>
      </c>
      <c r="J21" s="37" t="s">
        <v>43</v>
      </c>
      <c r="K21" s="37" t="s">
        <v>43</v>
      </c>
      <c r="L21" s="37">
        <v>3.0</v>
      </c>
      <c r="M21" s="37">
        <v>2.0</v>
      </c>
    </row>
    <row r="22" ht="22.5" customHeight="1">
      <c r="B22" s="34">
        <v>3.0</v>
      </c>
      <c r="C22" s="35" t="str">
        <f t="shared" ref="C22:D22" si="3">C10</f>
        <v>CO3</v>
      </c>
      <c r="D22" s="38" t="str">
        <f t="shared" si="3"/>
        <v>Implement basic operations on stack and queue using array representation</v>
      </c>
      <c r="E22" s="37">
        <v>3.0</v>
      </c>
      <c r="F22" s="37">
        <v>3.0</v>
      </c>
      <c r="G22" s="37">
        <v>3.0</v>
      </c>
      <c r="H22" s="37">
        <v>2.0</v>
      </c>
      <c r="I22" s="37">
        <v>2.0</v>
      </c>
      <c r="J22" s="37" t="s">
        <v>43</v>
      </c>
      <c r="K22" s="37" t="s">
        <v>43</v>
      </c>
      <c r="L22" s="37">
        <v>3.0</v>
      </c>
      <c r="M22" s="37">
        <v>2.0</v>
      </c>
    </row>
    <row r="23" ht="15.75" customHeight="1">
      <c r="B23" s="34">
        <v>4.0</v>
      </c>
      <c r="C23" s="35" t="str">
        <f t="shared" ref="C23:D23" si="4">C11</f>
        <v>CO4</v>
      </c>
      <c r="D23" s="38" t="str">
        <f t="shared" si="4"/>
        <v> Implement basic operations on Linked List</v>
      </c>
      <c r="E23" s="37">
        <v>3.0</v>
      </c>
      <c r="F23" s="37">
        <v>3.0</v>
      </c>
      <c r="G23" s="37">
        <v>3.0</v>
      </c>
      <c r="H23" s="37">
        <v>2.0</v>
      </c>
      <c r="I23" s="37">
        <v>2.0</v>
      </c>
      <c r="J23" s="37" t="s">
        <v>43</v>
      </c>
      <c r="K23" s="37" t="s">
        <v>43</v>
      </c>
      <c r="L23" s="37">
        <v>3.0</v>
      </c>
      <c r="M23" s="37">
        <v>2.0</v>
      </c>
    </row>
    <row r="24" ht="24.0" customHeight="1">
      <c r="B24" s="34">
        <v>5.0</v>
      </c>
      <c r="C24" s="35" t="str">
        <f t="shared" ref="C24:D24" si="5">C12</f>
        <v>CO5</v>
      </c>
      <c r="D24" s="38" t="str">
        <f t="shared" si="5"/>
        <v>Implement program to create and traverse tree to solve problems</v>
      </c>
      <c r="E24" s="37">
        <v>3.0</v>
      </c>
      <c r="F24" s="37">
        <v>3.0</v>
      </c>
      <c r="G24" s="37">
        <v>3.0</v>
      </c>
      <c r="H24" s="37">
        <v>3.0</v>
      </c>
      <c r="I24" s="37">
        <v>2.0</v>
      </c>
      <c r="J24" s="37" t="s">
        <v>43</v>
      </c>
      <c r="K24" s="37" t="s">
        <v>43</v>
      </c>
      <c r="L24" s="37">
        <v>3.0</v>
      </c>
      <c r="M24" s="37">
        <v>2.0</v>
      </c>
    </row>
    <row r="25" ht="15.75" customHeight="1">
      <c r="B25" s="39"/>
      <c r="C25" s="40"/>
      <c r="D25" s="41" t="str">
        <f>D13</f>
        <v/>
      </c>
      <c r="E25" s="42"/>
      <c r="F25" s="42"/>
      <c r="G25" s="42"/>
      <c r="H25" s="42"/>
      <c r="I25" s="42"/>
      <c r="J25" s="43"/>
      <c r="K25" s="42"/>
      <c r="L25" s="42"/>
      <c r="M25" s="42"/>
    </row>
    <row r="26" ht="15.75" customHeight="1">
      <c r="B26" s="44" t="s">
        <v>44</v>
      </c>
      <c r="C26" s="24"/>
      <c r="D26" s="25"/>
      <c r="E26" s="35">
        <f t="shared" ref="E26:M26" si="6">IFERROR(AVERAGE(E20:E24),2)</f>
        <v>3</v>
      </c>
      <c r="F26" s="35">
        <f t="shared" si="6"/>
        <v>2.8</v>
      </c>
      <c r="G26" s="35">
        <f t="shared" si="6"/>
        <v>2.8</v>
      </c>
      <c r="H26" s="35">
        <f t="shared" si="6"/>
        <v>2</v>
      </c>
      <c r="I26" s="35">
        <f t="shared" si="6"/>
        <v>1.8</v>
      </c>
      <c r="J26" s="35">
        <f t="shared" si="6"/>
        <v>2</v>
      </c>
      <c r="K26" s="35">
        <f t="shared" si="6"/>
        <v>2</v>
      </c>
      <c r="L26" s="35">
        <f t="shared" si="6"/>
        <v>3</v>
      </c>
      <c r="M26" s="35">
        <f t="shared" si="6"/>
        <v>1.8</v>
      </c>
    </row>
    <row r="27" ht="15.75" customHeight="1">
      <c r="B27" s="45" t="s">
        <v>45</v>
      </c>
      <c r="C27" s="24"/>
      <c r="D27" s="25"/>
      <c r="E27" s="46">
        <f t="shared" ref="E27:M27" si="7">E26</f>
        <v>3</v>
      </c>
      <c r="F27" s="46">
        <f t="shared" si="7"/>
        <v>2.8</v>
      </c>
      <c r="G27" s="46">
        <f t="shared" si="7"/>
        <v>2.8</v>
      </c>
      <c r="H27" s="47">
        <f t="shared" si="7"/>
        <v>2</v>
      </c>
      <c r="I27" s="47">
        <f t="shared" si="7"/>
        <v>1.8</v>
      </c>
      <c r="J27" s="46">
        <f t="shared" si="7"/>
        <v>2</v>
      </c>
      <c r="K27" s="46">
        <f t="shared" si="7"/>
        <v>2</v>
      </c>
      <c r="L27" s="46">
        <f t="shared" si="7"/>
        <v>3</v>
      </c>
      <c r="M27" s="46">
        <f t="shared" si="7"/>
        <v>1.8</v>
      </c>
    </row>
    <row r="28" ht="15.75" customHeight="1"/>
    <row r="29" ht="15.75" customHeight="1"/>
    <row r="30" ht="15.75" customHeight="1">
      <c r="D30" s="48" t="s">
        <v>46</v>
      </c>
      <c r="I30" s="48" t="s">
        <v>47</v>
      </c>
    </row>
    <row r="31" ht="15.75" customHeight="1">
      <c r="A31" s="49"/>
      <c r="B31" s="49"/>
      <c r="C31" s="50" t="s">
        <v>48</v>
      </c>
      <c r="D31" s="7"/>
      <c r="E31" s="7"/>
      <c r="F31" s="49"/>
      <c r="G31" s="49"/>
      <c r="H31" s="49"/>
      <c r="I31" s="50" t="s">
        <v>48</v>
      </c>
      <c r="J31" s="7"/>
      <c r="K31" s="7"/>
      <c r="L31" s="7"/>
      <c r="M31" s="7"/>
      <c r="N31" s="49"/>
      <c r="O31" s="49"/>
      <c r="P31" s="49"/>
      <c r="Q31" s="49"/>
      <c r="R31" s="49"/>
      <c r="S31" s="49"/>
      <c r="T31" s="49"/>
      <c r="U31" s="49"/>
      <c r="V31" s="49"/>
      <c r="W31" s="49"/>
      <c r="X31" s="49"/>
      <c r="Y31" s="49"/>
    </row>
    <row r="32" ht="15.75" customHeight="1"/>
    <row r="33" ht="15.75" customHeight="1"/>
    <row r="34" ht="15.75" customHeight="1"/>
    <row r="35" ht="28.5" customHeight="1">
      <c r="B35" s="51" t="s">
        <v>49</v>
      </c>
      <c r="C35" s="42"/>
      <c r="D35" s="52" t="s">
        <v>50</v>
      </c>
    </row>
    <row r="36" ht="47.25" customHeight="1">
      <c r="B36" s="53"/>
      <c r="C36" s="46"/>
      <c r="D36" s="54" t="s">
        <v>51</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sheetData>
  <mergeCells count="16">
    <mergeCell ref="C17:D19"/>
    <mergeCell ref="B26:D26"/>
    <mergeCell ref="B27:D27"/>
    <mergeCell ref="B35:B36"/>
    <mergeCell ref="D35:E35"/>
    <mergeCell ref="D36:E36"/>
    <mergeCell ref="I30:M30"/>
    <mergeCell ref="C31:E31"/>
    <mergeCell ref="I31:M31"/>
    <mergeCell ref="D3:E3"/>
    <mergeCell ref="D4:E4"/>
    <mergeCell ref="D5:E5"/>
    <mergeCell ref="D6:E6"/>
    <mergeCell ref="B17:B19"/>
    <mergeCell ref="E17:K17"/>
    <mergeCell ref="L17:M17"/>
  </mergeCells>
  <printOptions/>
  <pageMargins bottom="0.75" footer="0.0" header="0.0" left="0.7" right="0.7" top="0.75"/>
  <pageSetup scale="69"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sheetViews>
  <sheetFormatPr customHeight="1" defaultColWidth="14.43" defaultRowHeight="15.0"/>
  <cols>
    <col customWidth="1" min="1" max="1" width="4.0"/>
    <col customWidth="1" min="2" max="2" width="18.86"/>
    <col customWidth="1" min="3" max="3" width="42.57"/>
    <col customWidth="1" min="4" max="4" width="20.43"/>
    <col customWidth="1" min="5" max="5" width="10.29"/>
    <col customWidth="1" min="6" max="6" width="9.29"/>
    <col customWidth="1" min="7" max="7" width="11.43"/>
    <col customWidth="1" min="8" max="8" width="9.86"/>
    <col customWidth="1" min="9" max="9" width="11.86"/>
    <col customWidth="1" min="10" max="10" width="10.71"/>
    <col customWidth="1" min="11" max="11" width="11.57"/>
    <col customWidth="1" min="12" max="15" width="5.43"/>
  </cols>
  <sheetData>
    <row r="1">
      <c r="A1" s="55" t="s">
        <v>52</v>
      </c>
      <c r="L1" s="56"/>
      <c r="M1" s="56"/>
      <c r="N1" s="56"/>
      <c r="O1" s="56"/>
    </row>
    <row r="2">
      <c r="A2" s="55" t="s">
        <v>53</v>
      </c>
      <c r="L2" s="56"/>
      <c r="M2" s="56"/>
      <c r="N2" s="56"/>
      <c r="O2" s="56"/>
    </row>
    <row r="3">
      <c r="A3" s="56"/>
      <c r="B3" s="57" t="s">
        <v>1</v>
      </c>
      <c r="C3" s="58" t="str">
        <f>'PO Set Target attain level'!D3</f>
        <v>Data Structures Using _C</v>
      </c>
      <c r="D3" s="59"/>
      <c r="E3" s="56"/>
      <c r="F3" s="56"/>
      <c r="G3" s="56"/>
      <c r="H3" s="56"/>
      <c r="I3" s="56"/>
      <c r="J3" s="56"/>
      <c r="K3" s="56"/>
      <c r="L3" s="56"/>
      <c r="M3" s="56"/>
      <c r="N3" s="56"/>
      <c r="O3" s="56"/>
    </row>
    <row r="4">
      <c r="A4" s="56"/>
      <c r="B4" s="57" t="s">
        <v>3</v>
      </c>
      <c r="C4" s="58">
        <f>'PO Set Target attain level'!D4</f>
        <v>22317</v>
      </c>
      <c r="D4" s="59"/>
      <c r="E4" s="56"/>
      <c r="F4" s="56"/>
      <c r="G4" s="56"/>
      <c r="H4" s="56"/>
      <c r="I4" s="56"/>
      <c r="J4" s="56"/>
      <c r="K4" s="56"/>
      <c r="L4" s="56"/>
      <c r="M4" s="56"/>
      <c r="N4" s="56"/>
      <c r="O4" s="56"/>
    </row>
    <row r="5">
      <c r="A5" s="56"/>
      <c r="B5" s="57" t="s">
        <v>54</v>
      </c>
      <c r="C5" s="58" t="str">
        <f>'PO Set Target attain level'!D5</f>
        <v>3rd SEM(CO3I SCHEME)</v>
      </c>
      <c r="D5" s="59"/>
      <c r="E5" s="56"/>
      <c r="F5" s="56"/>
      <c r="G5" s="56"/>
      <c r="H5" s="56"/>
      <c r="I5" s="56"/>
      <c r="J5" s="56"/>
      <c r="K5" s="56"/>
      <c r="L5" s="56"/>
      <c r="M5" s="56"/>
      <c r="N5" s="56"/>
      <c r="O5" s="56"/>
    </row>
    <row r="6">
      <c r="A6" s="56"/>
      <c r="B6" s="57" t="s">
        <v>55</v>
      </c>
      <c r="C6" s="58" t="str">
        <f>'PO Set Target attain level'!D6</f>
        <v>2023-24</v>
      </c>
      <c r="D6" s="59"/>
      <c r="E6" s="56"/>
      <c r="F6" s="56"/>
      <c r="G6" s="56"/>
      <c r="H6" s="56"/>
      <c r="I6" s="56"/>
      <c r="J6" s="56"/>
      <c r="K6" s="56"/>
      <c r="L6" s="56"/>
      <c r="M6" s="56"/>
      <c r="N6" s="56"/>
      <c r="O6" s="56"/>
    </row>
    <row r="7">
      <c r="A7" s="56"/>
      <c r="B7" s="56"/>
      <c r="C7" s="56"/>
      <c r="D7" s="56"/>
      <c r="E7" s="56"/>
      <c r="F7" s="56"/>
      <c r="G7" s="56"/>
      <c r="H7" s="56"/>
      <c r="I7" s="56"/>
      <c r="J7" s="56"/>
      <c r="K7" s="56"/>
      <c r="L7" s="56"/>
      <c r="M7" s="56"/>
      <c r="N7" s="56"/>
      <c r="O7" s="56"/>
    </row>
    <row r="8" ht="25.5" customHeight="1">
      <c r="A8" s="60" t="s">
        <v>21</v>
      </c>
      <c r="B8" s="61" t="s">
        <v>56</v>
      </c>
      <c r="C8" s="62" t="s">
        <v>57</v>
      </c>
      <c r="D8" s="63" t="s">
        <v>58</v>
      </c>
      <c r="E8" s="64" t="s">
        <v>59</v>
      </c>
      <c r="F8" s="65" t="s">
        <v>60</v>
      </c>
      <c r="G8" s="66" t="s">
        <v>61</v>
      </c>
      <c r="H8" s="67" t="s">
        <v>62</v>
      </c>
      <c r="I8" s="68" t="s">
        <v>63</v>
      </c>
      <c r="J8" s="69" t="s">
        <v>64</v>
      </c>
      <c r="K8" s="69" t="s">
        <v>65</v>
      </c>
      <c r="L8" s="56"/>
      <c r="M8" s="56"/>
      <c r="N8" s="56"/>
      <c r="O8" s="56"/>
    </row>
    <row r="9" ht="18.75" customHeight="1">
      <c r="A9" s="70"/>
      <c r="B9" s="70"/>
      <c r="C9" s="70"/>
      <c r="D9" s="70"/>
      <c r="E9" s="70"/>
      <c r="F9" s="70"/>
      <c r="G9" s="70"/>
      <c r="H9" s="70"/>
      <c r="I9" s="70"/>
      <c r="J9" s="71" t="s">
        <v>66</v>
      </c>
      <c r="K9" s="72"/>
      <c r="L9" s="56"/>
      <c r="M9" s="56"/>
      <c r="N9" s="56"/>
      <c r="O9" s="56"/>
    </row>
    <row r="10" ht="23.25" customHeight="1">
      <c r="A10" s="70"/>
      <c r="B10" s="70"/>
      <c r="C10" s="70"/>
      <c r="D10" s="70"/>
      <c r="E10" s="70"/>
      <c r="F10" s="70"/>
      <c r="G10" s="70"/>
      <c r="H10" s="70"/>
      <c r="I10" s="70"/>
      <c r="J10" s="73"/>
      <c r="K10" s="53"/>
      <c r="L10" s="56"/>
      <c r="M10" s="56"/>
      <c r="N10" s="56"/>
      <c r="O10" s="56"/>
    </row>
    <row r="11" ht="14.25" customHeight="1">
      <c r="A11" s="70"/>
      <c r="B11" s="70"/>
      <c r="C11" s="70"/>
      <c r="D11" s="74"/>
      <c r="E11" s="74"/>
      <c r="F11" s="74"/>
      <c r="G11" s="74"/>
      <c r="H11" s="74"/>
      <c r="I11" s="74"/>
      <c r="J11" s="75"/>
      <c r="K11" s="76"/>
      <c r="L11" s="56"/>
      <c r="M11" s="56"/>
      <c r="N11" s="56"/>
      <c r="O11" s="56"/>
    </row>
    <row r="12" ht="18.75" customHeight="1">
      <c r="A12" s="74"/>
      <c r="B12" s="74"/>
      <c r="C12" s="74"/>
      <c r="D12" s="77">
        <v>10.0</v>
      </c>
      <c r="E12" s="78">
        <v>8.0</v>
      </c>
      <c r="F12" s="78">
        <v>18.0</v>
      </c>
      <c r="G12" s="78">
        <v>10.0</v>
      </c>
      <c r="H12" s="79">
        <v>8.0</v>
      </c>
      <c r="I12" s="80"/>
      <c r="J12" s="81">
        <f t="shared" ref="J12:J73" si="1">D12+E12</f>
        <v>18</v>
      </c>
      <c r="K12" s="81">
        <f t="shared" ref="K12:K94" si="2">G12+H12+F12</f>
        <v>36</v>
      </c>
      <c r="L12" s="56"/>
      <c r="M12" s="56"/>
      <c r="N12" s="82"/>
    </row>
    <row r="13">
      <c r="A13" s="83">
        <v>1.0</v>
      </c>
      <c r="B13" s="84">
        <v>2.201180002E9</v>
      </c>
      <c r="C13" s="85" t="s">
        <v>67</v>
      </c>
      <c r="D13" s="86">
        <v>0.0</v>
      </c>
      <c r="E13" s="86">
        <v>1.0</v>
      </c>
      <c r="F13" s="87">
        <v>6.0</v>
      </c>
      <c r="G13" s="88">
        <v>1.0</v>
      </c>
      <c r="H13" s="88">
        <v>3.0</v>
      </c>
      <c r="I13" s="83"/>
      <c r="J13" s="81">
        <f t="shared" si="1"/>
        <v>1</v>
      </c>
      <c r="K13" s="81">
        <f t="shared" si="2"/>
        <v>10</v>
      </c>
      <c r="L13" s="56"/>
      <c r="M13" s="56"/>
      <c r="N13" s="89"/>
      <c r="O13" s="90"/>
      <c r="P13" s="90"/>
    </row>
    <row r="14">
      <c r="A14" s="83">
        <v>2.0</v>
      </c>
      <c r="B14" s="91">
        <v>2.201180003E9</v>
      </c>
      <c r="C14" s="92" t="s">
        <v>68</v>
      </c>
      <c r="D14" s="86">
        <v>7.0</v>
      </c>
      <c r="E14" s="86">
        <v>5.0</v>
      </c>
      <c r="F14" s="87">
        <v>10.0</v>
      </c>
      <c r="G14" s="88">
        <v>9.0</v>
      </c>
      <c r="H14" s="88">
        <v>8.0</v>
      </c>
      <c r="I14" s="83"/>
      <c r="J14" s="81">
        <f t="shared" si="1"/>
        <v>12</v>
      </c>
      <c r="K14" s="81">
        <f t="shared" si="2"/>
        <v>27</v>
      </c>
      <c r="L14" s="56"/>
      <c r="M14" s="56"/>
      <c r="N14" s="93"/>
      <c r="O14" s="94"/>
      <c r="P14" s="94"/>
    </row>
    <row r="15">
      <c r="A15" s="83">
        <v>3.0</v>
      </c>
      <c r="B15" s="91">
        <v>2.201180004E9</v>
      </c>
      <c r="C15" s="92" t="s">
        <v>69</v>
      </c>
      <c r="D15" s="86">
        <v>8.0</v>
      </c>
      <c r="E15" s="86">
        <v>4.0</v>
      </c>
      <c r="F15" s="87">
        <v>8.0</v>
      </c>
      <c r="G15" s="95">
        <v>12.0</v>
      </c>
      <c r="H15" s="95">
        <v>8.0</v>
      </c>
      <c r="I15" s="83"/>
      <c r="J15" s="81">
        <f t="shared" si="1"/>
        <v>12</v>
      </c>
      <c r="K15" s="81">
        <f t="shared" si="2"/>
        <v>28</v>
      </c>
      <c r="L15" s="56"/>
      <c r="M15" s="56"/>
      <c r="N15" s="96"/>
      <c r="O15" s="97"/>
      <c r="P15" s="97"/>
    </row>
    <row r="16">
      <c r="A16" s="83">
        <v>4.0</v>
      </c>
      <c r="B16" s="91">
        <v>2.201180005E9</v>
      </c>
      <c r="C16" s="92" t="s">
        <v>70</v>
      </c>
      <c r="D16" s="86">
        <v>7.0</v>
      </c>
      <c r="E16" s="86">
        <v>5.0</v>
      </c>
      <c r="F16" s="87">
        <v>16.0</v>
      </c>
      <c r="G16" s="95">
        <v>12.0</v>
      </c>
      <c r="H16" s="95">
        <v>6.0</v>
      </c>
      <c r="I16" s="83"/>
      <c r="J16" s="81">
        <f t="shared" si="1"/>
        <v>12</v>
      </c>
      <c r="K16" s="81">
        <f t="shared" si="2"/>
        <v>34</v>
      </c>
      <c r="L16" s="56"/>
      <c r="M16" s="56"/>
      <c r="N16" s="96"/>
      <c r="O16" s="97"/>
      <c r="P16" s="97"/>
    </row>
    <row r="17">
      <c r="A17" s="83">
        <v>5.0</v>
      </c>
      <c r="B17" s="91">
        <v>2.201180006E9</v>
      </c>
      <c r="C17" s="92" t="s">
        <v>71</v>
      </c>
      <c r="D17" s="86">
        <v>4.0</v>
      </c>
      <c r="E17" s="86">
        <v>6.0</v>
      </c>
      <c r="F17" s="87">
        <v>15.0</v>
      </c>
      <c r="G17" s="95">
        <v>11.0</v>
      </c>
      <c r="H17" s="95">
        <v>8.0</v>
      </c>
      <c r="I17" s="83"/>
      <c r="J17" s="81">
        <f t="shared" si="1"/>
        <v>10</v>
      </c>
      <c r="K17" s="81">
        <f t="shared" si="2"/>
        <v>34</v>
      </c>
      <c r="L17" s="56"/>
      <c r="M17" s="56"/>
      <c r="N17" s="96"/>
      <c r="O17" s="97"/>
      <c r="P17" s="97"/>
    </row>
    <row r="18">
      <c r="A18" s="83">
        <v>6.0</v>
      </c>
      <c r="B18" s="91">
        <v>2.201180009E9</v>
      </c>
      <c r="C18" s="92" t="s">
        <v>72</v>
      </c>
      <c r="D18" s="86">
        <v>4.0</v>
      </c>
      <c r="E18" s="86">
        <v>4.0</v>
      </c>
      <c r="F18" s="87">
        <v>10.0</v>
      </c>
      <c r="G18" s="95">
        <v>6.0</v>
      </c>
      <c r="H18" s="95">
        <v>6.0</v>
      </c>
      <c r="I18" s="83"/>
      <c r="J18" s="81">
        <f t="shared" si="1"/>
        <v>8</v>
      </c>
      <c r="K18" s="81">
        <f t="shared" si="2"/>
        <v>22</v>
      </c>
      <c r="L18" s="56"/>
      <c r="M18" s="56"/>
      <c r="N18" s="96"/>
      <c r="O18" s="97"/>
      <c r="P18" s="97"/>
    </row>
    <row r="19">
      <c r="A19" s="83">
        <v>7.0</v>
      </c>
      <c r="B19" s="91">
        <v>2.20118001E9</v>
      </c>
      <c r="C19" s="92" t="s">
        <v>73</v>
      </c>
      <c r="D19" s="86">
        <v>6.0</v>
      </c>
      <c r="E19" s="86">
        <v>1.0</v>
      </c>
      <c r="F19" s="87">
        <v>9.0</v>
      </c>
      <c r="G19" s="95">
        <v>7.0</v>
      </c>
      <c r="H19" s="95">
        <v>8.0</v>
      </c>
      <c r="I19" s="83"/>
      <c r="J19" s="81">
        <f t="shared" si="1"/>
        <v>7</v>
      </c>
      <c r="K19" s="81">
        <f t="shared" si="2"/>
        <v>24</v>
      </c>
      <c r="L19" s="56"/>
      <c r="M19" s="56"/>
      <c r="N19" s="96"/>
      <c r="O19" s="97"/>
      <c r="P19" s="97"/>
    </row>
    <row r="20">
      <c r="A20" s="83">
        <v>8.0</v>
      </c>
      <c r="B20" s="91">
        <v>2.201180011E9</v>
      </c>
      <c r="C20" s="92" t="s">
        <v>74</v>
      </c>
      <c r="D20" s="86">
        <v>8.0</v>
      </c>
      <c r="E20" s="86">
        <v>0.0</v>
      </c>
      <c r="F20" s="87">
        <v>8.0</v>
      </c>
      <c r="G20" s="95">
        <v>6.0</v>
      </c>
      <c r="H20" s="95">
        <v>4.0</v>
      </c>
      <c r="I20" s="83"/>
      <c r="J20" s="81">
        <f t="shared" si="1"/>
        <v>8</v>
      </c>
      <c r="K20" s="81">
        <f t="shared" si="2"/>
        <v>18</v>
      </c>
      <c r="L20" s="56"/>
      <c r="M20" s="56"/>
      <c r="N20" s="96"/>
      <c r="O20" s="97"/>
      <c r="P20" s="97"/>
    </row>
    <row r="21" ht="15.75" customHeight="1">
      <c r="A21" s="83">
        <v>9.0</v>
      </c>
      <c r="B21" s="91">
        <v>2.201180014E9</v>
      </c>
      <c r="C21" s="92" t="s">
        <v>75</v>
      </c>
      <c r="D21" s="86">
        <v>5.0</v>
      </c>
      <c r="E21" s="86">
        <v>4.0</v>
      </c>
      <c r="F21" s="87">
        <v>9.0</v>
      </c>
      <c r="G21" s="95">
        <v>10.0</v>
      </c>
      <c r="H21" s="95">
        <v>1.0</v>
      </c>
      <c r="I21" s="83"/>
      <c r="J21" s="81">
        <f t="shared" si="1"/>
        <v>9</v>
      </c>
      <c r="K21" s="81">
        <f t="shared" si="2"/>
        <v>20</v>
      </c>
      <c r="L21" s="56"/>
      <c r="M21" s="56"/>
      <c r="N21" s="96"/>
      <c r="O21" s="97"/>
      <c r="P21" s="97"/>
      <c r="S21" s="98"/>
      <c r="T21" s="99">
        <v>2.201180012E9</v>
      </c>
      <c r="U21" s="100" t="s">
        <v>76</v>
      </c>
      <c r="V21" s="83">
        <v>2.0</v>
      </c>
      <c r="W21" s="83">
        <v>1.0</v>
      </c>
      <c r="X21" s="83">
        <v>4.0</v>
      </c>
      <c r="Y21" s="101">
        <v>4.0</v>
      </c>
      <c r="Z21" s="83">
        <v>4.0</v>
      </c>
      <c r="AA21" s="83"/>
      <c r="AB21" s="81">
        <f t="shared" ref="AB21:AB26" si="3">V21+W21</f>
        <v>3</v>
      </c>
      <c r="AC21" s="102">
        <f t="shared" ref="AC21:AC26" si="4">Y21+Z21+AA21+X21</f>
        <v>12</v>
      </c>
    </row>
    <row r="22" ht="15.75" customHeight="1">
      <c r="A22" s="83">
        <v>10.0</v>
      </c>
      <c r="B22" s="91">
        <v>2.20118005E9</v>
      </c>
      <c r="C22" s="92" t="s">
        <v>77</v>
      </c>
      <c r="D22" s="86">
        <v>4.0</v>
      </c>
      <c r="E22" s="86">
        <v>4.0</v>
      </c>
      <c r="F22" s="87">
        <v>13.0</v>
      </c>
      <c r="G22" s="95">
        <v>7.0</v>
      </c>
      <c r="H22" s="95">
        <v>6.0</v>
      </c>
      <c r="I22" s="83"/>
      <c r="J22" s="81">
        <f t="shared" si="1"/>
        <v>8</v>
      </c>
      <c r="K22" s="81">
        <f t="shared" si="2"/>
        <v>26</v>
      </c>
      <c r="L22" s="56"/>
      <c r="M22" s="56"/>
      <c r="N22" s="96"/>
      <c r="O22" s="97"/>
      <c r="P22" s="97"/>
      <c r="S22" s="98"/>
      <c r="T22" s="99">
        <v>2.201180236E9</v>
      </c>
      <c r="U22" s="103" t="s">
        <v>78</v>
      </c>
      <c r="V22" s="83">
        <v>5.0</v>
      </c>
      <c r="W22" s="83">
        <v>10.0</v>
      </c>
      <c r="X22" s="83">
        <v>1.0</v>
      </c>
      <c r="Y22" s="101">
        <v>1.0</v>
      </c>
      <c r="Z22" s="83">
        <v>5.0</v>
      </c>
      <c r="AA22" s="83"/>
      <c r="AB22" s="81">
        <f t="shared" si="3"/>
        <v>15</v>
      </c>
      <c r="AC22" s="102">
        <f t="shared" si="4"/>
        <v>7</v>
      </c>
    </row>
    <row r="23" ht="15.75" customHeight="1">
      <c r="A23" s="83">
        <v>11.0</v>
      </c>
      <c r="B23" s="91">
        <v>2.201180051E9</v>
      </c>
      <c r="C23" s="92" t="s">
        <v>79</v>
      </c>
      <c r="D23" s="86">
        <v>6.0</v>
      </c>
      <c r="E23" s="86">
        <v>6.0</v>
      </c>
      <c r="F23" s="87">
        <v>15.0</v>
      </c>
      <c r="G23" s="95">
        <v>12.0</v>
      </c>
      <c r="H23" s="95">
        <v>4.0</v>
      </c>
      <c r="I23" s="83"/>
      <c r="J23" s="81">
        <f t="shared" si="1"/>
        <v>12</v>
      </c>
      <c r="K23" s="81">
        <f t="shared" si="2"/>
        <v>31</v>
      </c>
      <c r="L23" s="56"/>
      <c r="M23" s="56"/>
      <c r="N23" s="96"/>
      <c r="O23" s="97"/>
      <c r="P23" s="97"/>
      <c r="S23" s="98"/>
      <c r="T23" s="99">
        <v>2.20118024E9</v>
      </c>
      <c r="U23" s="103" t="s">
        <v>80</v>
      </c>
      <c r="V23" s="83">
        <v>2.0</v>
      </c>
      <c r="W23" s="83">
        <v>7.0</v>
      </c>
      <c r="X23" s="83">
        <v>7.0</v>
      </c>
      <c r="Y23" s="101">
        <v>8.0</v>
      </c>
      <c r="Z23" s="83">
        <v>6.0</v>
      </c>
      <c r="AA23" s="83"/>
      <c r="AB23" s="81">
        <f t="shared" si="3"/>
        <v>9</v>
      </c>
      <c r="AC23" s="102">
        <f t="shared" si="4"/>
        <v>21</v>
      </c>
    </row>
    <row r="24" ht="15.75" customHeight="1">
      <c r="A24" s="83">
        <v>12.0</v>
      </c>
      <c r="B24" s="91">
        <v>2.201180052E9</v>
      </c>
      <c r="C24" s="92" t="s">
        <v>81</v>
      </c>
      <c r="D24" s="86">
        <v>7.0</v>
      </c>
      <c r="E24" s="86">
        <v>3.0</v>
      </c>
      <c r="F24" s="87">
        <v>3.0</v>
      </c>
      <c r="G24" s="95">
        <v>11.0</v>
      </c>
      <c r="H24" s="95">
        <v>4.0</v>
      </c>
      <c r="I24" s="83"/>
      <c r="J24" s="81">
        <f t="shared" si="1"/>
        <v>10</v>
      </c>
      <c r="K24" s="81">
        <f t="shared" si="2"/>
        <v>18</v>
      </c>
      <c r="L24" s="56"/>
      <c r="M24" s="56"/>
      <c r="N24" s="96"/>
      <c r="O24" s="97"/>
      <c r="P24" s="97"/>
      <c r="S24" s="98"/>
      <c r="T24" s="104">
        <v>2.201180402E9</v>
      </c>
      <c r="U24" s="105" t="s">
        <v>82</v>
      </c>
      <c r="V24" s="83">
        <v>6.0</v>
      </c>
      <c r="W24" s="83">
        <v>7.0</v>
      </c>
      <c r="X24" s="83"/>
      <c r="Y24" s="101"/>
      <c r="Z24" s="83"/>
      <c r="AA24" s="83"/>
      <c r="AB24" s="81">
        <f t="shared" si="3"/>
        <v>13</v>
      </c>
      <c r="AC24" s="102">
        <f t="shared" si="4"/>
        <v>0</v>
      </c>
    </row>
    <row r="25" ht="15.75" customHeight="1">
      <c r="A25" s="83">
        <v>13.0</v>
      </c>
      <c r="B25" s="91">
        <v>2.201180053E9</v>
      </c>
      <c r="C25" s="92" t="s">
        <v>83</v>
      </c>
      <c r="D25" s="86">
        <v>8.0</v>
      </c>
      <c r="E25" s="86">
        <v>4.0</v>
      </c>
      <c r="F25" s="87">
        <v>12.0</v>
      </c>
      <c r="G25" s="95">
        <v>11.0</v>
      </c>
      <c r="H25" s="95">
        <v>8.0</v>
      </c>
      <c r="I25" s="83"/>
      <c r="J25" s="81">
        <f t="shared" si="1"/>
        <v>12</v>
      </c>
      <c r="K25" s="81">
        <f t="shared" si="2"/>
        <v>31</v>
      </c>
      <c r="L25" s="56"/>
      <c r="M25" s="56"/>
      <c r="N25" s="96"/>
      <c r="O25" s="97"/>
      <c r="P25" s="97"/>
      <c r="S25" s="98"/>
      <c r="T25" s="99">
        <v>2.201180403E9</v>
      </c>
      <c r="U25" s="103" t="s">
        <v>84</v>
      </c>
      <c r="V25" s="83">
        <v>6.0</v>
      </c>
      <c r="W25" s="83">
        <v>2.0</v>
      </c>
      <c r="X25" s="83"/>
      <c r="Y25" s="101"/>
      <c r="Z25" s="83"/>
      <c r="AA25" s="83"/>
      <c r="AB25" s="81">
        <f t="shared" si="3"/>
        <v>8</v>
      </c>
      <c r="AC25" s="102">
        <f t="shared" si="4"/>
        <v>0</v>
      </c>
    </row>
    <row r="26" ht="15.75" customHeight="1">
      <c r="A26" s="83">
        <v>14.0</v>
      </c>
      <c r="B26" s="91">
        <v>2.201180055E9</v>
      </c>
      <c r="C26" s="92" t="s">
        <v>85</v>
      </c>
      <c r="D26" s="86">
        <v>5.0</v>
      </c>
      <c r="E26" s="86">
        <v>1.0</v>
      </c>
      <c r="F26" s="87">
        <v>10.0</v>
      </c>
      <c r="G26" s="95">
        <v>7.0</v>
      </c>
      <c r="H26" s="95">
        <v>7.0</v>
      </c>
      <c r="I26" s="83"/>
      <c r="J26" s="81">
        <f t="shared" si="1"/>
        <v>6</v>
      </c>
      <c r="K26" s="81">
        <f t="shared" si="2"/>
        <v>24</v>
      </c>
      <c r="L26" s="56"/>
      <c r="M26" s="56"/>
      <c r="N26" s="96"/>
      <c r="O26" s="97"/>
      <c r="P26" s="97"/>
      <c r="S26" s="98"/>
      <c r="T26" s="99">
        <v>2.201180409E9</v>
      </c>
      <c r="U26" s="103" t="s">
        <v>86</v>
      </c>
      <c r="V26" s="83"/>
      <c r="W26" s="83"/>
      <c r="X26" s="83"/>
      <c r="Y26" s="101"/>
      <c r="Z26" s="83"/>
      <c r="AA26" s="83"/>
      <c r="AB26" s="81">
        <f t="shared" si="3"/>
        <v>0</v>
      </c>
      <c r="AC26" s="102">
        <f t="shared" si="4"/>
        <v>0</v>
      </c>
    </row>
    <row r="27" ht="15.75" customHeight="1">
      <c r="A27" s="83">
        <v>15.0</v>
      </c>
      <c r="B27" s="91">
        <v>2.201180056E9</v>
      </c>
      <c r="C27" s="92" t="s">
        <v>87</v>
      </c>
      <c r="D27" s="86">
        <v>7.0</v>
      </c>
      <c r="E27" s="86">
        <v>7.0</v>
      </c>
      <c r="F27" s="87">
        <v>15.0</v>
      </c>
      <c r="G27" s="95">
        <v>11.0</v>
      </c>
      <c r="H27" s="95">
        <v>8.0</v>
      </c>
      <c r="I27" s="83"/>
      <c r="J27" s="81">
        <f t="shared" si="1"/>
        <v>14</v>
      </c>
      <c r="K27" s="81">
        <f t="shared" si="2"/>
        <v>34</v>
      </c>
      <c r="L27" s="56"/>
      <c r="M27" s="56"/>
      <c r="N27" s="96"/>
      <c r="O27" s="97"/>
      <c r="P27" s="97"/>
    </row>
    <row r="28" ht="15.75" customHeight="1">
      <c r="A28" s="83">
        <v>16.0</v>
      </c>
      <c r="B28" s="91">
        <v>2.201180058E9</v>
      </c>
      <c r="C28" s="92" t="s">
        <v>88</v>
      </c>
      <c r="D28" s="86">
        <v>8.0</v>
      </c>
      <c r="E28" s="86">
        <v>7.0</v>
      </c>
      <c r="F28" s="87">
        <v>7.0</v>
      </c>
      <c r="G28" s="95">
        <v>8.0</v>
      </c>
      <c r="H28" s="95">
        <v>4.0</v>
      </c>
      <c r="I28" s="83"/>
      <c r="J28" s="81">
        <f t="shared" si="1"/>
        <v>15</v>
      </c>
      <c r="K28" s="81">
        <f t="shared" si="2"/>
        <v>19</v>
      </c>
      <c r="L28" s="56"/>
      <c r="M28" s="56"/>
      <c r="N28" s="96"/>
      <c r="O28" s="97"/>
      <c r="P28" s="97"/>
    </row>
    <row r="29" ht="15.75" customHeight="1">
      <c r="A29" s="83">
        <v>17.0</v>
      </c>
      <c r="B29" s="91">
        <v>2.201180059E9</v>
      </c>
      <c r="C29" s="92" t="s">
        <v>89</v>
      </c>
      <c r="D29" s="86">
        <v>8.0</v>
      </c>
      <c r="E29" s="86">
        <v>3.0</v>
      </c>
      <c r="F29" s="87">
        <v>9.0</v>
      </c>
      <c r="G29" s="95">
        <v>5.0</v>
      </c>
      <c r="H29" s="95">
        <v>8.0</v>
      </c>
      <c r="I29" s="83"/>
      <c r="J29" s="81">
        <f t="shared" si="1"/>
        <v>11</v>
      </c>
      <c r="K29" s="81">
        <f t="shared" si="2"/>
        <v>22</v>
      </c>
      <c r="L29" s="56"/>
      <c r="M29" s="56"/>
      <c r="N29" s="96"/>
      <c r="O29" s="97"/>
      <c r="P29" s="97"/>
    </row>
    <row r="30" ht="15.75" customHeight="1">
      <c r="A30" s="83">
        <v>18.0</v>
      </c>
      <c r="B30" s="91">
        <v>2.20118006E9</v>
      </c>
      <c r="C30" s="92" t="s">
        <v>90</v>
      </c>
      <c r="D30" s="86">
        <v>4.0</v>
      </c>
      <c r="E30" s="86">
        <v>8.0</v>
      </c>
      <c r="F30" s="87">
        <v>16.0</v>
      </c>
      <c r="G30" s="95">
        <v>9.0</v>
      </c>
      <c r="H30" s="95">
        <v>6.0</v>
      </c>
      <c r="I30" s="83"/>
      <c r="J30" s="81">
        <f t="shared" si="1"/>
        <v>12</v>
      </c>
      <c r="K30" s="81">
        <f t="shared" si="2"/>
        <v>31</v>
      </c>
      <c r="L30" s="56"/>
      <c r="M30" s="56"/>
      <c r="N30" s="96"/>
      <c r="O30" s="97"/>
      <c r="P30" s="97"/>
    </row>
    <row r="31" ht="15.75" customHeight="1">
      <c r="A31" s="83">
        <v>19.0</v>
      </c>
      <c r="B31" s="91">
        <v>2.201180061E9</v>
      </c>
      <c r="C31" s="92" t="s">
        <v>91</v>
      </c>
      <c r="D31" s="86">
        <v>4.0</v>
      </c>
      <c r="E31" s="86">
        <v>3.0</v>
      </c>
      <c r="F31" s="87">
        <v>10.0</v>
      </c>
      <c r="G31" s="95">
        <v>4.0</v>
      </c>
      <c r="H31" s="95">
        <v>8.0</v>
      </c>
      <c r="I31" s="83"/>
      <c r="J31" s="81">
        <f t="shared" si="1"/>
        <v>7</v>
      </c>
      <c r="K31" s="81">
        <f t="shared" si="2"/>
        <v>22</v>
      </c>
      <c r="L31" s="56"/>
      <c r="M31" s="56"/>
      <c r="N31" s="96"/>
      <c r="O31" s="97"/>
      <c r="P31" s="97"/>
    </row>
    <row r="32" ht="15.75" customHeight="1">
      <c r="A32" s="83">
        <v>20.0</v>
      </c>
      <c r="B32" s="91">
        <v>2.201180062E9</v>
      </c>
      <c r="C32" s="92" t="s">
        <v>92</v>
      </c>
      <c r="D32" s="86">
        <v>6.0</v>
      </c>
      <c r="E32" s="86">
        <v>6.0</v>
      </c>
      <c r="F32" s="87">
        <v>17.0</v>
      </c>
      <c r="G32" s="95">
        <v>11.0</v>
      </c>
      <c r="H32" s="95">
        <v>8.0</v>
      </c>
      <c r="I32" s="83"/>
      <c r="J32" s="81">
        <f t="shared" si="1"/>
        <v>12</v>
      </c>
      <c r="K32" s="81">
        <f t="shared" si="2"/>
        <v>36</v>
      </c>
      <c r="L32" s="56"/>
      <c r="M32" s="56"/>
      <c r="N32" s="96"/>
      <c r="O32" s="97"/>
      <c r="P32" s="97"/>
    </row>
    <row r="33" ht="15.75" customHeight="1">
      <c r="A33" s="83">
        <v>21.0</v>
      </c>
      <c r="B33" s="91">
        <v>2.201180063E9</v>
      </c>
      <c r="C33" s="92" t="s">
        <v>93</v>
      </c>
      <c r="D33" s="86">
        <v>8.0</v>
      </c>
      <c r="E33" s="86">
        <v>8.0</v>
      </c>
      <c r="F33" s="87">
        <v>16.0</v>
      </c>
      <c r="G33" s="95">
        <v>12.0</v>
      </c>
      <c r="H33" s="95">
        <v>7.0</v>
      </c>
      <c r="I33" s="83"/>
      <c r="J33" s="81">
        <f t="shared" si="1"/>
        <v>16</v>
      </c>
      <c r="K33" s="81">
        <f t="shared" si="2"/>
        <v>35</v>
      </c>
      <c r="L33" s="56"/>
      <c r="M33" s="56"/>
      <c r="N33" s="96"/>
      <c r="O33" s="97"/>
      <c r="P33" s="97"/>
    </row>
    <row r="34" ht="15.75" customHeight="1">
      <c r="A34" s="83">
        <v>22.0</v>
      </c>
      <c r="B34" s="91">
        <v>2.201180064E9</v>
      </c>
      <c r="C34" s="92" t="s">
        <v>94</v>
      </c>
      <c r="D34" s="86">
        <v>6.0</v>
      </c>
      <c r="E34" s="86">
        <v>6.0</v>
      </c>
      <c r="F34" s="87">
        <v>13.0</v>
      </c>
      <c r="G34" s="95">
        <v>7.0</v>
      </c>
      <c r="H34" s="95">
        <v>7.0</v>
      </c>
      <c r="I34" s="83"/>
      <c r="J34" s="81">
        <f t="shared" si="1"/>
        <v>12</v>
      </c>
      <c r="K34" s="81">
        <f t="shared" si="2"/>
        <v>27</v>
      </c>
      <c r="L34" s="56"/>
      <c r="M34" s="56"/>
      <c r="N34" s="96"/>
      <c r="O34" s="97"/>
      <c r="P34" s="97"/>
    </row>
    <row r="35" ht="15.75" customHeight="1">
      <c r="A35" s="83">
        <v>23.0</v>
      </c>
      <c r="B35" s="91">
        <v>2.201180065E9</v>
      </c>
      <c r="C35" s="92" t="s">
        <v>95</v>
      </c>
      <c r="D35" s="86">
        <v>8.0</v>
      </c>
      <c r="E35" s="86">
        <v>8.0</v>
      </c>
      <c r="F35" s="87">
        <v>17.0</v>
      </c>
      <c r="G35" s="95">
        <v>11.0</v>
      </c>
      <c r="H35" s="95">
        <v>8.0</v>
      </c>
      <c r="I35" s="83"/>
      <c r="J35" s="81">
        <f t="shared" si="1"/>
        <v>16</v>
      </c>
      <c r="K35" s="81">
        <f t="shared" si="2"/>
        <v>36</v>
      </c>
      <c r="L35" s="56"/>
      <c r="M35" s="56"/>
      <c r="N35" s="96"/>
      <c r="O35" s="97"/>
      <c r="P35" s="97"/>
    </row>
    <row r="36" ht="15.75" customHeight="1">
      <c r="A36" s="83">
        <v>24.0</v>
      </c>
      <c r="B36" s="91">
        <v>2.201180148E9</v>
      </c>
      <c r="C36" s="92" t="s">
        <v>96</v>
      </c>
      <c r="D36" s="86">
        <v>4.0</v>
      </c>
      <c r="E36" s="86">
        <v>4.0</v>
      </c>
      <c r="F36" s="87">
        <v>14.0</v>
      </c>
      <c r="G36" s="95">
        <v>6.0</v>
      </c>
      <c r="H36" s="95">
        <v>8.0</v>
      </c>
      <c r="I36" s="83"/>
      <c r="J36" s="81">
        <f t="shared" si="1"/>
        <v>8</v>
      </c>
      <c r="K36" s="81">
        <f t="shared" si="2"/>
        <v>28</v>
      </c>
      <c r="L36" s="56"/>
      <c r="M36" s="56"/>
      <c r="N36" s="96"/>
      <c r="O36" s="97"/>
      <c r="P36" s="97"/>
    </row>
    <row r="37" ht="15.75" customHeight="1">
      <c r="A37" s="83">
        <v>25.0</v>
      </c>
      <c r="B37" s="91">
        <v>2.201180227E9</v>
      </c>
      <c r="C37" s="92" t="s">
        <v>97</v>
      </c>
      <c r="D37" s="86">
        <v>7.0</v>
      </c>
      <c r="E37" s="86">
        <v>4.0</v>
      </c>
      <c r="F37" s="87">
        <v>12.0</v>
      </c>
      <c r="G37" s="95">
        <v>9.0</v>
      </c>
      <c r="H37" s="95">
        <v>2.0</v>
      </c>
      <c r="I37" s="83"/>
      <c r="J37" s="81">
        <f t="shared" si="1"/>
        <v>11</v>
      </c>
      <c r="K37" s="81">
        <f t="shared" si="2"/>
        <v>23</v>
      </c>
      <c r="L37" s="56"/>
      <c r="M37" s="56"/>
      <c r="N37" s="106"/>
    </row>
    <row r="38" ht="15.75" customHeight="1">
      <c r="A38" s="83">
        <v>26.0</v>
      </c>
      <c r="B38" s="91">
        <v>2.201180228E9</v>
      </c>
      <c r="C38" s="92" t="s">
        <v>98</v>
      </c>
      <c r="D38" s="86">
        <v>7.0</v>
      </c>
      <c r="E38" s="86">
        <v>8.0</v>
      </c>
      <c r="F38" s="87">
        <v>16.0</v>
      </c>
      <c r="G38" s="95">
        <v>9.0</v>
      </c>
      <c r="H38" s="95">
        <v>8.0</v>
      </c>
      <c r="I38" s="83"/>
      <c r="J38" s="81">
        <f t="shared" si="1"/>
        <v>15</v>
      </c>
      <c r="K38" s="81">
        <f t="shared" si="2"/>
        <v>33</v>
      </c>
      <c r="L38" s="56"/>
      <c r="M38" s="56"/>
      <c r="N38" s="106"/>
    </row>
    <row r="39" ht="15.75" customHeight="1">
      <c r="A39" s="83">
        <v>27.0</v>
      </c>
      <c r="B39" s="91">
        <v>2.201180229E9</v>
      </c>
      <c r="C39" s="92" t="s">
        <v>99</v>
      </c>
      <c r="D39" s="86">
        <v>4.0</v>
      </c>
      <c r="E39" s="86">
        <v>3.0</v>
      </c>
      <c r="F39" s="87">
        <v>13.0</v>
      </c>
      <c r="G39" s="95">
        <v>5.0</v>
      </c>
      <c r="H39" s="95">
        <v>4.0</v>
      </c>
      <c r="I39" s="83"/>
      <c r="J39" s="81">
        <f t="shared" si="1"/>
        <v>7</v>
      </c>
      <c r="K39" s="81">
        <f t="shared" si="2"/>
        <v>22</v>
      </c>
      <c r="L39" s="56"/>
      <c r="M39" s="56"/>
      <c r="N39" s="106"/>
    </row>
    <row r="40" ht="15.75" customHeight="1">
      <c r="A40" s="83">
        <v>28.0</v>
      </c>
      <c r="B40" s="91">
        <v>2.20118023E9</v>
      </c>
      <c r="C40" s="92" t="s">
        <v>100</v>
      </c>
      <c r="D40" s="86">
        <v>4.0</v>
      </c>
      <c r="E40" s="86">
        <v>1.0</v>
      </c>
      <c r="F40" s="87">
        <v>7.0</v>
      </c>
      <c r="G40" s="95">
        <v>3.0</v>
      </c>
      <c r="H40" s="95">
        <v>1.0</v>
      </c>
      <c r="I40" s="83"/>
      <c r="J40" s="81">
        <f t="shared" si="1"/>
        <v>5</v>
      </c>
      <c r="K40" s="81">
        <f t="shared" si="2"/>
        <v>11</v>
      </c>
      <c r="L40" s="56"/>
      <c r="M40" s="56"/>
      <c r="N40" s="106"/>
    </row>
    <row r="41" ht="15.75" customHeight="1">
      <c r="A41" s="83">
        <v>29.0</v>
      </c>
      <c r="B41" s="91">
        <v>2.201180232E9</v>
      </c>
      <c r="C41" s="92" t="s">
        <v>101</v>
      </c>
      <c r="D41" s="86">
        <v>8.0</v>
      </c>
      <c r="E41" s="86">
        <v>8.0</v>
      </c>
      <c r="F41" s="87">
        <v>17.0</v>
      </c>
      <c r="G41" s="95">
        <v>12.0</v>
      </c>
      <c r="H41" s="95">
        <v>8.0</v>
      </c>
      <c r="I41" s="83"/>
      <c r="J41" s="81">
        <f t="shared" si="1"/>
        <v>16</v>
      </c>
      <c r="K41" s="81">
        <f t="shared" si="2"/>
        <v>37</v>
      </c>
      <c r="L41" s="56"/>
      <c r="M41" s="56"/>
      <c r="N41" s="106"/>
    </row>
    <row r="42" ht="15.75" customHeight="1">
      <c r="A42" s="83">
        <v>30.0</v>
      </c>
      <c r="B42" s="91">
        <v>2.201180233E9</v>
      </c>
      <c r="C42" s="92" t="s">
        <v>102</v>
      </c>
      <c r="D42" s="86">
        <v>6.0</v>
      </c>
      <c r="E42" s="86">
        <v>5.0</v>
      </c>
      <c r="F42" s="87">
        <v>11.0</v>
      </c>
      <c r="G42" s="95">
        <v>11.0</v>
      </c>
      <c r="H42" s="95">
        <v>6.0</v>
      </c>
      <c r="I42" s="83"/>
      <c r="J42" s="81">
        <f t="shared" si="1"/>
        <v>11</v>
      </c>
      <c r="K42" s="81">
        <f t="shared" si="2"/>
        <v>28</v>
      </c>
      <c r="L42" s="56"/>
      <c r="M42" s="56"/>
      <c r="N42" s="106"/>
    </row>
    <row r="43" ht="15.75" customHeight="1">
      <c r="A43" s="83">
        <v>31.0</v>
      </c>
      <c r="B43" s="91">
        <v>2.201180234E9</v>
      </c>
      <c r="C43" s="92" t="s">
        <v>103</v>
      </c>
      <c r="D43" s="86">
        <v>4.0</v>
      </c>
      <c r="E43" s="86">
        <v>6.0</v>
      </c>
      <c r="F43" s="87">
        <v>15.0</v>
      </c>
      <c r="G43" s="95">
        <v>12.0</v>
      </c>
      <c r="H43" s="95">
        <v>5.0</v>
      </c>
      <c r="I43" s="83"/>
      <c r="J43" s="81">
        <f t="shared" si="1"/>
        <v>10</v>
      </c>
      <c r="K43" s="81">
        <f t="shared" si="2"/>
        <v>32</v>
      </c>
      <c r="L43" s="56"/>
      <c r="M43" s="56"/>
      <c r="N43" s="106"/>
    </row>
    <row r="44" ht="15.75" customHeight="1">
      <c r="A44" s="83">
        <v>32.0</v>
      </c>
      <c r="B44" s="91">
        <v>2.201180235E9</v>
      </c>
      <c r="C44" s="92" t="s">
        <v>104</v>
      </c>
      <c r="D44" s="86">
        <v>7.0</v>
      </c>
      <c r="E44" s="86">
        <v>8.0</v>
      </c>
      <c r="F44" s="87">
        <v>17.0</v>
      </c>
      <c r="G44" s="95">
        <v>8.0</v>
      </c>
      <c r="H44" s="95">
        <v>8.0</v>
      </c>
      <c r="I44" s="83"/>
      <c r="J44" s="81">
        <f t="shared" si="1"/>
        <v>15</v>
      </c>
      <c r="K44" s="81">
        <f t="shared" si="2"/>
        <v>33</v>
      </c>
      <c r="L44" s="56"/>
      <c r="M44" s="56"/>
      <c r="N44" s="106"/>
    </row>
    <row r="45" ht="15.75" customHeight="1">
      <c r="A45" s="83">
        <v>33.0</v>
      </c>
      <c r="B45" s="91">
        <v>2.201180237E9</v>
      </c>
      <c r="C45" s="92" t="s">
        <v>105</v>
      </c>
      <c r="D45" s="86">
        <v>5.0</v>
      </c>
      <c r="E45" s="86">
        <v>8.0</v>
      </c>
      <c r="F45" s="87">
        <v>16.0</v>
      </c>
      <c r="G45" s="95">
        <v>10.0</v>
      </c>
      <c r="H45" s="95">
        <v>4.0</v>
      </c>
      <c r="I45" s="83"/>
      <c r="J45" s="81">
        <f t="shared" si="1"/>
        <v>13</v>
      </c>
      <c r="K45" s="81">
        <f t="shared" si="2"/>
        <v>30</v>
      </c>
      <c r="L45" s="56"/>
      <c r="M45" s="56"/>
      <c r="N45" s="106"/>
    </row>
    <row r="46" ht="15.75" customHeight="1">
      <c r="A46" s="83">
        <v>34.0</v>
      </c>
      <c r="B46" s="91">
        <v>2.201180238E9</v>
      </c>
      <c r="C46" s="92" t="s">
        <v>106</v>
      </c>
      <c r="D46" s="86">
        <v>0.0</v>
      </c>
      <c r="E46" s="86">
        <v>2.0</v>
      </c>
      <c r="F46" s="87">
        <v>3.0</v>
      </c>
      <c r="G46" s="95">
        <v>1.0</v>
      </c>
      <c r="H46" s="95">
        <v>0.0</v>
      </c>
      <c r="I46" s="83"/>
      <c r="J46" s="81">
        <f t="shared" si="1"/>
        <v>2</v>
      </c>
      <c r="K46" s="81">
        <f t="shared" si="2"/>
        <v>4</v>
      </c>
      <c r="L46" s="56"/>
      <c r="M46" s="56"/>
      <c r="N46" s="106"/>
    </row>
    <row r="47" ht="15.75" customHeight="1">
      <c r="A47" s="83">
        <v>35.0</v>
      </c>
      <c r="B47" s="91">
        <v>2.201180241E9</v>
      </c>
      <c r="C47" s="92" t="s">
        <v>107</v>
      </c>
      <c r="D47" s="86">
        <v>4.0</v>
      </c>
      <c r="E47" s="86">
        <v>5.0</v>
      </c>
      <c r="F47" s="87">
        <v>9.0</v>
      </c>
      <c r="G47" s="95">
        <v>10.0</v>
      </c>
      <c r="H47" s="95">
        <v>8.0</v>
      </c>
      <c r="I47" s="83"/>
      <c r="J47" s="81">
        <f t="shared" si="1"/>
        <v>9</v>
      </c>
      <c r="K47" s="81">
        <f t="shared" si="2"/>
        <v>27</v>
      </c>
      <c r="L47" s="56"/>
      <c r="M47" s="56"/>
      <c r="N47" s="106"/>
    </row>
    <row r="48" ht="15.75" customHeight="1">
      <c r="A48" s="83">
        <v>36.0</v>
      </c>
      <c r="B48" s="91">
        <v>2.201180242E9</v>
      </c>
      <c r="C48" s="92" t="s">
        <v>108</v>
      </c>
      <c r="D48" s="86">
        <v>1.0</v>
      </c>
      <c r="E48" s="86">
        <v>0.0</v>
      </c>
      <c r="F48" s="87">
        <v>2.0</v>
      </c>
      <c r="G48" s="95">
        <v>5.0</v>
      </c>
      <c r="H48" s="95">
        <v>2.0</v>
      </c>
      <c r="I48" s="83"/>
      <c r="J48" s="81">
        <f t="shared" si="1"/>
        <v>1</v>
      </c>
      <c r="K48" s="81">
        <f t="shared" si="2"/>
        <v>9</v>
      </c>
      <c r="L48" s="56"/>
      <c r="M48" s="56"/>
      <c r="N48" s="106"/>
    </row>
    <row r="49" ht="15.75" customHeight="1">
      <c r="A49" s="83">
        <v>37.0</v>
      </c>
      <c r="B49" s="91">
        <v>2.201180243E9</v>
      </c>
      <c r="C49" s="92" t="s">
        <v>109</v>
      </c>
      <c r="D49" s="86">
        <v>4.0</v>
      </c>
      <c r="E49" s="86">
        <v>8.0</v>
      </c>
      <c r="F49" s="87">
        <v>14.0</v>
      </c>
      <c r="G49" s="95">
        <v>11.0</v>
      </c>
      <c r="H49" s="95">
        <v>7.0</v>
      </c>
      <c r="I49" s="83"/>
      <c r="J49" s="81">
        <f t="shared" si="1"/>
        <v>12</v>
      </c>
      <c r="K49" s="81">
        <f t="shared" si="2"/>
        <v>32</v>
      </c>
      <c r="L49" s="56"/>
      <c r="M49" s="56"/>
      <c r="N49" s="106"/>
    </row>
    <row r="50" ht="15.75" customHeight="1">
      <c r="A50" s="83">
        <v>38.0</v>
      </c>
      <c r="B50" s="91">
        <v>2.20118028E9</v>
      </c>
      <c r="C50" s="92" t="s">
        <v>110</v>
      </c>
      <c r="D50" s="86">
        <v>4.0</v>
      </c>
      <c r="E50" s="86">
        <v>8.0</v>
      </c>
      <c r="F50" s="87">
        <v>16.0</v>
      </c>
      <c r="G50" s="95">
        <v>4.0</v>
      </c>
      <c r="H50" s="95">
        <v>5.0</v>
      </c>
      <c r="I50" s="83"/>
      <c r="J50" s="81">
        <f t="shared" si="1"/>
        <v>12</v>
      </c>
      <c r="K50" s="81">
        <f t="shared" si="2"/>
        <v>25</v>
      </c>
      <c r="L50" s="56"/>
      <c r="M50" s="56"/>
      <c r="N50" s="106"/>
    </row>
    <row r="51" ht="15.75" customHeight="1">
      <c r="A51" s="83">
        <v>39.0</v>
      </c>
      <c r="B51" s="91">
        <v>2.201180282E9</v>
      </c>
      <c r="C51" s="92" t="s">
        <v>111</v>
      </c>
      <c r="D51" s="86">
        <v>6.0</v>
      </c>
      <c r="E51" s="86">
        <v>4.0</v>
      </c>
      <c r="F51" s="87">
        <v>10.0</v>
      </c>
      <c r="G51" s="95">
        <v>2.0</v>
      </c>
      <c r="H51" s="95">
        <v>3.0</v>
      </c>
      <c r="I51" s="83"/>
      <c r="J51" s="81">
        <f t="shared" si="1"/>
        <v>10</v>
      </c>
      <c r="K51" s="81">
        <f t="shared" si="2"/>
        <v>15</v>
      </c>
      <c r="L51" s="56"/>
      <c r="M51" s="56"/>
      <c r="N51" s="106"/>
    </row>
    <row r="52" ht="15.75" customHeight="1">
      <c r="A52" s="83">
        <v>40.0</v>
      </c>
      <c r="B52" s="91">
        <v>2.201180283E9</v>
      </c>
      <c r="C52" s="92" t="s">
        <v>112</v>
      </c>
      <c r="D52" s="86">
        <v>4.0</v>
      </c>
      <c r="E52" s="86">
        <v>7.0</v>
      </c>
      <c r="F52" s="87">
        <v>14.0</v>
      </c>
      <c r="G52" s="95">
        <v>9.0</v>
      </c>
      <c r="H52" s="95">
        <v>8.0</v>
      </c>
      <c r="I52" s="83"/>
      <c r="J52" s="81">
        <f t="shared" si="1"/>
        <v>11</v>
      </c>
      <c r="K52" s="81">
        <f t="shared" si="2"/>
        <v>31</v>
      </c>
      <c r="L52" s="56"/>
      <c r="M52" s="56"/>
      <c r="N52" s="106"/>
    </row>
    <row r="53" ht="15.75" customHeight="1">
      <c r="A53" s="83">
        <v>41.0</v>
      </c>
      <c r="B53" s="91">
        <v>2.201180401E9</v>
      </c>
      <c r="C53" s="92" t="s">
        <v>113</v>
      </c>
      <c r="D53" s="86">
        <v>5.0</v>
      </c>
      <c r="E53" s="86">
        <v>7.0</v>
      </c>
      <c r="F53" s="87">
        <v>12.0</v>
      </c>
      <c r="G53" s="95">
        <v>6.0</v>
      </c>
      <c r="H53" s="95">
        <v>3.0</v>
      </c>
      <c r="I53" s="83"/>
      <c r="J53" s="81">
        <f t="shared" si="1"/>
        <v>12</v>
      </c>
      <c r="K53" s="81">
        <f t="shared" si="2"/>
        <v>21</v>
      </c>
      <c r="L53" s="56"/>
      <c r="M53" s="56"/>
      <c r="N53" s="106"/>
    </row>
    <row r="54" ht="15.75" customHeight="1">
      <c r="A54" s="83">
        <v>42.0</v>
      </c>
      <c r="B54" s="91">
        <v>2.201180404E9</v>
      </c>
      <c r="C54" s="92" t="s">
        <v>114</v>
      </c>
      <c r="D54" s="86">
        <v>4.0</v>
      </c>
      <c r="E54" s="86">
        <v>5.0</v>
      </c>
      <c r="F54" s="87">
        <v>12.0</v>
      </c>
      <c r="G54" s="95">
        <v>9.0</v>
      </c>
      <c r="H54" s="95">
        <v>2.0</v>
      </c>
      <c r="I54" s="83"/>
      <c r="J54" s="81">
        <f t="shared" si="1"/>
        <v>9</v>
      </c>
      <c r="K54" s="81">
        <f t="shared" si="2"/>
        <v>23</v>
      </c>
      <c r="L54" s="56"/>
      <c r="M54" s="56"/>
      <c r="N54" s="106"/>
    </row>
    <row r="55" ht="15.75" customHeight="1">
      <c r="A55" s="83">
        <v>43.0</v>
      </c>
      <c r="B55" s="91">
        <v>2.201180405E9</v>
      </c>
      <c r="C55" s="92" t="s">
        <v>115</v>
      </c>
      <c r="D55" s="86">
        <v>2.0</v>
      </c>
      <c r="E55" s="86">
        <v>0.0</v>
      </c>
      <c r="F55" s="87">
        <v>3.0</v>
      </c>
      <c r="G55" s="95">
        <v>2.0</v>
      </c>
      <c r="H55" s="95">
        <v>1.0</v>
      </c>
      <c r="I55" s="83"/>
      <c r="J55" s="81">
        <f t="shared" si="1"/>
        <v>2</v>
      </c>
      <c r="K55" s="81">
        <f t="shared" si="2"/>
        <v>6</v>
      </c>
      <c r="L55" s="56"/>
      <c r="M55" s="56"/>
      <c r="N55" s="106"/>
    </row>
    <row r="56" ht="15.75" customHeight="1">
      <c r="A56" s="83">
        <v>44.0</v>
      </c>
      <c r="B56" s="91">
        <v>2.201180406E9</v>
      </c>
      <c r="C56" s="92" t="s">
        <v>116</v>
      </c>
      <c r="D56" s="86">
        <v>4.0</v>
      </c>
      <c r="E56" s="86">
        <v>8.0</v>
      </c>
      <c r="F56" s="87">
        <v>16.0</v>
      </c>
      <c r="G56" s="95">
        <v>6.0</v>
      </c>
      <c r="H56" s="95">
        <v>5.0</v>
      </c>
      <c r="I56" s="83"/>
      <c r="J56" s="81">
        <f t="shared" si="1"/>
        <v>12</v>
      </c>
      <c r="K56" s="81">
        <f t="shared" si="2"/>
        <v>27</v>
      </c>
      <c r="L56" s="56"/>
      <c r="M56" s="56"/>
      <c r="N56" s="106"/>
    </row>
    <row r="57" ht="15.75" customHeight="1">
      <c r="A57" s="83">
        <v>45.0</v>
      </c>
      <c r="B57" s="91">
        <v>2.201180407E9</v>
      </c>
      <c r="C57" s="92" t="s">
        <v>117</v>
      </c>
      <c r="D57" s="86">
        <v>6.0</v>
      </c>
      <c r="E57" s="86">
        <v>1.0</v>
      </c>
      <c r="F57" s="87">
        <v>8.0</v>
      </c>
      <c r="G57" s="95">
        <v>10.0</v>
      </c>
      <c r="H57" s="95">
        <v>8.0</v>
      </c>
      <c r="I57" s="83"/>
      <c r="J57" s="81">
        <f t="shared" si="1"/>
        <v>7</v>
      </c>
      <c r="K57" s="81">
        <f t="shared" si="2"/>
        <v>26</v>
      </c>
      <c r="L57" s="56"/>
      <c r="M57" s="56"/>
      <c r="N57" s="106"/>
    </row>
    <row r="58" ht="15.75" customHeight="1">
      <c r="A58" s="83">
        <v>46.0</v>
      </c>
      <c r="B58" s="91">
        <v>2.201180408E9</v>
      </c>
      <c r="C58" s="92" t="s">
        <v>118</v>
      </c>
      <c r="D58" s="86">
        <v>8.0</v>
      </c>
      <c r="E58" s="86">
        <v>8.0</v>
      </c>
      <c r="F58" s="87">
        <v>17.0</v>
      </c>
      <c r="G58" s="95">
        <v>12.0</v>
      </c>
      <c r="H58" s="95">
        <v>8.0</v>
      </c>
      <c r="I58" s="83"/>
      <c r="J58" s="81">
        <f t="shared" si="1"/>
        <v>16</v>
      </c>
      <c r="K58" s="81">
        <f t="shared" si="2"/>
        <v>37</v>
      </c>
      <c r="L58" s="56"/>
      <c r="M58" s="56"/>
      <c r="N58" s="106"/>
    </row>
    <row r="59" ht="15.75" customHeight="1">
      <c r="A59" s="83">
        <v>47.0</v>
      </c>
      <c r="B59" s="91">
        <v>2.20118041E9</v>
      </c>
      <c r="C59" s="92" t="s">
        <v>119</v>
      </c>
      <c r="D59" s="86">
        <v>4.0</v>
      </c>
      <c r="E59" s="86">
        <v>6.0</v>
      </c>
      <c r="F59" s="87">
        <v>17.0</v>
      </c>
      <c r="G59" s="95">
        <v>6.0</v>
      </c>
      <c r="H59" s="95">
        <v>7.0</v>
      </c>
      <c r="I59" s="83"/>
      <c r="J59" s="81">
        <f t="shared" si="1"/>
        <v>10</v>
      </c>
      <c r="K59" s="81">
        <f t="shared" si="2"/>
        <v>30</v>
      </c>
      <c r="L59" s="56"/>
      <c r="M59" s="56"/>
      <c r="N59" s="106"/>
    </row>
    <row r="60" ht="15.75" customHeight="1">
      <c r="A60" s="83">
        <v>48.0</v>
      </c>
      <c r="B60" s="91">
        <v>2.201180411E9</v>
      </c>
      <c r="C60" s="92" t="s">
        <v>120</v>
      </c>
      <c r="D60" s="86">
        <v>8.0</v>
      </c>
      <c r="E60" s="86">
        <v>8.0</v>
      </c>
      <c r="F60" s="87">
        <v>17.0</v>
      </c>
      <c r="G60" s="95">
        <v>11.0</v>
      </c>
      <c r="H60" s="95">
        <v>4.0</v>
      </c>
      <c r="I60" s="83"/>
      <c r="J60" s="81">
        <f t="shared" si="1"/>
        <v>16</v>
      </c>
      <c r="K60" s="81">
        <f t="shared" si="2"/>
        <v>32</v>
      </c>
      <c r="L60" s="56"/>
      <c r="M60" s="56"/>
      <c r="N60" s="106"/>
    </row>
    <row r="61" ht="15.75" customHeight="1">
      <c r="A61" s="83">
        <v>49.0</v>
      </c>
      <c r="B61" s="91">
        <v>2.201180412E9</v>
      </c>
      <c r="C61" s="92" t="s">
        <v>121</v>
      </c>
      <c r="D61" s="86">
        <v>3.0</v>
      </c>
      <c r="E61" s="86">
        <v>0.0</v>
      </c>
      <c r="F61" s="87">
        <v>5.0</v>
      </c>
      <c r="G61" s="95">
        <v>8.0</v>
      </c>
      <c r="H61" s="95">
        <v>2.0</v>
      </c>
      <c r="I61" s="83"/>
      <c r="J61" s="81">
        <f t="shared" si="1"/>
        <v>3</v>
      </c>
      <c r="K61" s="81">
        <f t="shared" si="2"/>
        <v>15</v>
      </c>
      <c r="L61" s="56"/>
      <c r="M61" s="56"/>
      <c r="N61" s="106"/>
    </row>
    <row r="62" ht="15.75" customHeight="1">
      <c r="A62" s="83">
        <v>50.0</v>
      </c>
      <c r="B62" s="91">
        <v>2.201180413E9</v>
      </c>
      <c r="C62" s="92" t="s">
        <v>122</v>
      </c>
      <c r="D62" s="86">
        <v>4.0</v>
      </c>
      <c r="E62" s="86">
        <v>2.0</v>
      </c>
      <c r="F62" s="87">
        <v>11.0</v>
      </c>
      <c r="G62" s="95">
        <v>8.0</v>
      </c>
      <c r="H62" s="95">
        <v>8.0</v>
      </c>
      <c r="I62" s="83"/>
      <c r="J62" s="81">
        <f t="shared" si="1"/>
        <v>6</v>
      </c>
      <c r="K62" s="81">
        <f t="shared" si="2"/>
        <v>27</v>
      </c>
      <c r="L62" s="56"/>
      <c r="M62" s="56"/>
      <c r="N62" s="107"/>
    </row>
    <row r="63" ht="15.75" customHeight="1">
      <c r="A63" s="83">
        <v>51.0</v>
      </c>
      <c r="B63" s="91">
        <v>2.201180414E9</v>
      </c>
      <c r="C63" s="92" t="s">
        <v>123</v>
      </c>
      <c r="D63" s="86">
        <v>7.0</v>
      </c>
      <c r="E63" s="86">
        <v>6.0</v>
      </c>
      <c r="F63" s="87">
        <v>16.0</v>
      </c>
      <c r="G63" s="95">
        <v>4.0</v>
      </c>
      <c r="H63" s="95">
        <v>8.0</v>
      </c>
      <c r="I63" s="83"/>
      <c r="J63" s="81">
        <f t="shared" si="1"/>
        <v>13</v>
      </c>
      <c r="K63" s="81">
        <f t="shared" si="2"/>
        <v>28</v>
      </c>
      <c r="L63" s="56"/>
      <c r="M63" s="56"/>
      <c r="N63" s="107"/>
    </row>
    <row r="64" ht="15.75" customHeight="1">
      <c r="A64" s="83">
        <v>52.0</v>
      </c>
      <c r="B64" s="91">
        <v>2.201180415E9</v>
      </c>
      <c r="C64" s="92" t="s">
        <v>124</v>
      </c>
      <c r="D64" s="86">
        <v>7.0</v>
      </c>
      <c r="E64" s="86">
        <v>4.0</v>
      </c>
      <c r="F64" s="87">
        <v>8.0</v>
      </c>
      <c r="G64" s="95">
        <v>6.0</v>
      </c>
      <c r="H64" s="95">
        <v>4.0</v>
      </c>
      <c r="I64" s="83"/>
      <c r="J64" s="81">
        <f t="shared" si="1"/>
        <v>11</v>
      </c>
      <c r="K64" s="81">
        <f t="shared" si="2"/>
        <v>18</v>
      </c>
      <c r="L64" s="56"/>
      <c r="M64" s="56"/>
      <c r="N64" s="106"/>
    </row>
    <row r="65" ht="15.75" customHeight="1">
      <c r="A65" s="83">
        <v>53.0</v>
      </c>
      <c r="B65" s="91">
        <v>2.201180416E9</v>
      </c>
      <c r="C65" s="92" t="s">
        <v>125</v>
      </c>
      <c r="D65" s="86">
        <v>2.0</v>
      </c>
      <c r="E65" s="86">
        <v>6.0</v>
      </c>
      <c r="F65" s="87">
        <v>13.0</v>
      </c>
      <c r="G65" s="95">
        <v>5.0</v>
      </c>
      <c r="H65" s="95">
        <v>4.0</v>
      </c>
      <c r="I65" s="83"/>
      <c r="J65" s="81">
        <f t="shared" si="1"/>
        <v>8</v>
      </c>
      <c r="K65" s="81">
        <f t="shared" si="2"/>
        <v>22</v>
      </c>
      <c r="L65" s="56"/>
      <c r="M65" s="56"/>
      <c r="N65" s="106"/>
    </row>
    <row r="66" ht="15.75" customHeight="1">
      <c r="A66" s="83">
        <v>54.0</v>
      </c>
      <c r="B66" s="91">
        <v>2.201180417E9</v>
      </c>
      <c r="C66" s="92" t="s">
        <v>126</v>
      </c>
      <c r="D66" s="86">
        <v>8.0</v>
      </c>
      <c r="E66" s="86">
        <v>4.0</v>
      </c>
      <c r="F66" s="87">
        <v>16.0</v>
      </c>
      <c r="G66" s="95">
        <v>12.0</v>
      </c>
      <c r="H66" s="95">
        <v>8.0</v>
      </c>
      <c r="I66" s="83"/>
      <c r="J66" s="81">
        <f t="shared" si="1"/>
        <v>12</v>
      </c>
      <c r="K66" s="81">
        <f t="shared" si="2"/>
        <v>36</v>
      </c>
      <c r="L66" s="56"/>
      <c r="M66" s="56"/>
      <c r="N66" s="106"/>
    </row>
    <row r="67" ht="15.75" customHeight="1">
      <c r="A67" s="83">
        <v>55.0</v>
      </c>
      <c r="B67" s="91">
        <v>2.201180418E9</v>
      </c>
      <c r="C67" s="92" t="s">
        <v>127</v>
      </c>
      <c r="D67" s="86">
        <v>6.0</v>
      </c>
      <c r="E67" s="86">
        <v>7.0</v>
      </c>
      <c r="F67" s="87">
        <v>15.0</v>
      </c>
      <c r="G67" s="95">
        <v>8.0</v>
      </c>
      <c r="H67" s="95">
        <v>4.0</v>
      </c>
      <c r="I67" s="83"/>
      <c r="J67" s="81">
        <f t="shared" si="1"/>
        <v>13</v>
      </c>
      <c r="K67" s="81">
        <f t="shared" si="2"/>
        <v>27</v>
      </c>
      <c r="L67" s="56"/>
      <c r="M67" s="56"/>
      <c r="N67" s="107"/>
    </row>
    <row r="68" ht="15.75" customHeight="1">
      <c r="A68" s="83">
        <v>56.0</v>
      </c>
      <c r="B68" s="91">
        <v>2.201180419E9</v>
      </c>
      <c r="C68" s="92" t="s">
        <v>128</v>
      </c>
      <c r="D68" s="86">
        <v>4.0</v>
      </c>
      <c r="E68" s="86">
        <v>8.0</v>
      </c>
      <c r="F68" s="87">
        <v>16.0</v>
      </c>
      <c r="G68" s="83">
        <v>12.0</v>
      </c>
      <c r="H68" s="88">
        <v>36.0</v>
      </c>
      <c r="I68" s="83"/>
      <c r="J68" s="81">
        <f t="shared" si="1"/>
        <v>12</v>
      </c>
      <c r="K68" s="81">
        <f t="shared" si="2"/>
        <v>64</v>
      </c>
      <c r="L68" s="56"/>
      <c r="M68" s="56"/>
      <c r="N68" s="93"/>
      <c r="O68" s="93"/>
      <c r="P68" s="94"/>
    </row>
    <row r="69" ht="15.75" customHeight="1">
      <c r="A69" s="83">
        <v>57.0</v>
      </c>
      <c r="B69" s="91">
        <v>2.3510250259E10</v>
      </c>
      <c r="C69" s="92" t="s">
        <v>129</v>
      </c>
      <c r="D69" s="95">
        <v>2.0</v>
      </c>
      <c r="E69" s="95">
        <v>7.0</v>
      </c>
      <c r="F69" s="88">
        <v>8.0</v>
      </c>
      <c r="G69" s="83"/>
      <c r="H69" s="88"/>
      <c r="I69" s="83"/>
      <c r="J69" s="81">
        <f t="shared" si="1"/>
        <v>9</v>
      </c>
      <c r="K69" s="81">
        <f t="shared" si="2"/>
        <v>8</v>
      </c>
      <c r="L69" s="56"/>
      <c r="M69" s="56"/>
      <c r="N69" s="56"/>
      <c r="O69" s="56"/>
    </row>
    <row r="70" ht="15.75" customHeight="1">
      <c r="A70" s="83">
        <v>58.0</v>
      </c>
      <c r="B70" s="91">
        <v>2.351025026E10</v>
      </c>
      <c r="C70" s="92" t="s">
        <v>130</v>
      </c>
      <c r="D70" s="95">
        <v>0.0</v>
      </c>
      <c r="E70" s="95">
        <v>0.0</v>
      </c>
      <c r="F70" s="88">
        <v>0.0</v>
      </c>
      <c r="G70" s="83"/>
      <c r="H70" s="88"/>
      <c r="I70" s="83"/>
      <c r="J70" s="81">
        <f t="shared" si="1"/>
        <v>0</v>
      </c>
      <c r="K70" s="81">
        <f t="shared" si="2"/>
        <v>0</v>
      </c>
      <c r="L70" s="56"/>
      <c r="M70" s="56"/>
      <c r="N70" s="56"/>
      <c r="O70" s="56"/>
    </row>
    <row r="71" ht="15.75" customHeight="1">
      <c r="A71" s="83">
        <v>59.0</v>
      </c>
      <c r="B71" s="91">
        <v>2.3510250261E10</v>
      </c>
      <c r="C71" s="92" t="s">
        <v>131</v>
      </c>
      <c r="D71" s="95">
        <v>4.0</v>
      </c>
      <c r="E71" s="95">
        <v>7.0</v>
      </c>
      <c r="F71" s="88">
        <v>15.0</v>
      </c>
      <c r="G71" s="83">
        <v>11.0</v>
      </c>
      <c r="H71" s="88">
        <v>34.0</v>
      </c>
      <c r="I71" s="83"/>
      <c r="J71" s="81">
        <f t="shared" si="1"/>
        <v>11</v>
      </c>
      <c r="K71" s="81">
        <f t="shared" si="2"/>
        <v>60</v>
      </c>
      <c r="L71" s="56"/>
      <c r="M71" s="56"/>
      <c r="N71" s="93"/>
      <c r="O71" s="93"/>
      <c r="P71" s="94"/>
    </row>
    <row r="72" ht="15.75" customHeight="1">
      <c r="A72" s="83">
        <v>60.0</v>
      </c>
      <c r="B72" s="91">
        <v>2.3510250262E10</v>
      </c>
      <c r="C72" s="92" t="s">
        <v>132</v>
      </c>
      <c r="D72" s="95">
        <v>2.0</v>
      </c>
      <c r="E72" s="95">
        <v>2.0</v>
      </c>
      <c r="F72" s="88">
        <v>8.0</v>
      </c>
      <c r="G72" s="83">
        <v>4.0</v>
      </c>
      <c r="H72" s="88">
        <v>18.0</v>
      </c>
      <c r="I72" s="83"/>
      <c r="J72" s="81">
        <f t="shared" si="1"/>
        <v>4</v>
      </c>
      <c r="K72" s="81">
        <f t="shared" si="2"/>
        <v>30</v>
      </c>
      <c r="L72" s="56"/>
      <c r="M72" s="56"/>
      <c r="N72" s="89"/>
      <c r="O72" s="89"/>
      <c r="P72" s="90"/>
    </row>
    <row r="73" ht="15.75" customHeight="1">
      <c r="A73" s="83">
        <v>61.0</v>
      </c>
      <c r="B73" s="91">
        <v>2.3510250263E10</v>
      </c>
      <c r="C73" s="92" t="s">
        <v>133</v>
      </c>
      <c r="D73" s="95">
        <v>2.0</v>
      </c>
      <c r="E73" s="95">
        <v>3.0</v>
      </c>
      <c r="F73" s="88">
        <v>5.0</v>
      </c>
      <c r="G73" s="83">
        <v>5.0</v>
      </c>
      <c r="H73" s="88">
        <v>12.0</v>
      </c>
      <c r="I73" s="83"/>
      <c r="J73" s="81">
        <f t="shared" si="1"/>
        <v>5</v>
      </c>
      <c r="K73" s="81">
        <f t="shared" si="2"/>
        <v>22</v>
      </c>
      <c r="L73" s="56"/>
      <c r="M73" s="56"/>
      <c r="N73" s="93"/>
      <c r="O73" s="93"/>
      <c r="P73" s="94"/>
    </row>
    <row r="74" ht="15.75" customHeight="1">
      <c r="A74" s="83">
        <v>62.0</v>
      </c>
      <c r="B74" s="91">
        <v>2.3510250264E10</v>
      </c>
      <c r="C74" s="92" t="s">
        <v>134</v>
      </c>
      <c r="D74" s="95">
        <v>0.0</v>
      </c>
      <c r="E74" s="95">
        <v>0.0</v>
      </c>
      <c r="F74" s="88">
        <v>0.0</v>
      </c>
      <c r="G74" s="83"/>
      <c r="H74" s="83"/>
      <c r="I74" s="83"/>
      <c r="J74" s="81">
        <f t="shared" ref="J74:J94" si="5">D74+E74+F74</f>
        <v>0</v>
      </c>
      <c r="K74" s="81">
        <f t="shared" si="2"/>
        <v>0</v>
      </c>
      <c r="L74" s="56"/>
      <c r="M74" s="56"/>
      <c r="N74" s="56"/>
      <c r="O74" s="56"/>
    </row>
    <row r="75" ht="15.75" customHeight="1">
      <c r="A75" s="83">
        <v>63.0</v>
      </c>
      <c r="B75" s="91"/>
      <c r="C75" s="92"/>
      <c r="D75" s="83"/>
      <c r="E75" s="83"/>
      <c r="F75" s="83"/>
      <c r="G75" s="83"/>
      <c r="H75" s="83"/>
      <c r="I75" s="83"/>
      <c r="J75" s="81">
        <f t="shared" si="5"/>
        <v>0</v>
      </c>
      <c r="K75" s="81">
        <f t="shared" si="2"/>
        <v>0</v>
      </c>
      <c r="L75" s="56"/>
      <c r="M75" s="56"/>
      <c r="N75" s="56"/>
      <c r="O75" s="56"/>
    </row>
    <row r="76" ht="15.75" customHeight="1">
      <c r="A76" s="83">
        <v>64.0</v>
      </c>
      <c r="B76" s="91"/>
      <c r="C76" s="92"/>
      <c r="D76" s="83"/>
      <c r="E76" s="83"/>
      <c r="F76" s="83"/>
      <c r="G76" s="83"/>
      <c r="H76" s="83"/>
      <c r="I76" s="83"/>
      <c r="J76" s="81">
        <f t="shared" si="5"/>
        <v>0</v>
      </c>
      <c r="K76" s="81">
        <f t="shared" si="2"/>
        <v>0</v>
      </c>
      <c r="L76" s="56"/>
      <c r="M76" s="56"/>
      <c r="N76" s="56"/>
      <c r="O76" s="56"/>
    </row>
    <row r="77" ht="15.75" customHeight="1">
      <c r="A77" s="83">
        <v>65.0</v>
      </c>
      <c r="B77" s="91"/>
      <c r="C77" s="92"/>
      <c r="D77" s="101"/>
      <c r="E77" s="101"/>
      <c r="F77" s="101"/>
      <c r="G77" s="101"/>
      <c r="H77" s="101"/>
      <c r="I77" s="83"/>
      <c r="J77" s="102">
        <f t="shared" si="5"/>
        <v>0</v>
      </c>
      <c r="K77" s="102">
        <f t="shared" si="2"/>
        <v>0</v>
      </c>
      <c r="L77" s="56"/>
      <c r="M77" s="56"/>
      <c r="N77" s="56"/>
      <c r="O77" s="56"/>
    </row>
    <row r="78" ht="15.75" customHeight="1">
      <c r="A78" s="83">
        <v>66.0</v>
      </c>
      <c r="B78" s="91"/>
      <c r="C78" s="92"/>
      <c r="D78" s="101"/>
      <c r="E78" s="101"/>
      <c r="F78" s="101"/>
      <c r="G78" s="101"/>
      <c r="H78" s="101"/>
      <c r="I78" s="83"/>
      <c r="J78" s="102">
        <f t="shared" si="5"/>
        <v>0</v>
      </c>
      <c r="K78" s="102">
        <f t="shared" si="2"/>
        <v>0</v>
      </c>
      <c r="L78" s="56"/>
      <c r="M78" s="56"/>
      <c r="N78" s="56"/>
      <c r="O78" s="56"/>
    </row>
    <row r="79" ht="15.75" customHeight="1">
      <c r="A79" s="83">
        <v>67.0</v>
      </c>
      <c r="B79" s="91"/>
      <c r="C79" s="92"/>
      <c r="D79" s="83"/>
      <c r="E79" s="83"/>
      <c r="F79" s="83"/>
      <c r="G79" s="83"/>
      <c r="H79" s="83"/>
      <c r="I79" s="83"/>
      <c r="J79" s="81">
        <f t="shared" si="5"/>
        <v>0</v>
      </c>
      <c r="K79" s="81">
        <f t="shared" si="2"/>
        <v>0</v>
      </c>
      <c r="L79" s="56"/>
      <c r="M79" s="56"/>
      <c r="N79" s="56"/>
      <c r="O79" s="56"/>
    </row>
    <row r="80" ht="15.75" customHeight="1">
      <c r="A80" s="83">
        <v>68.0</v>
      </c>
      <c r="B80" s="91"/>
      <c r="C80" s="92"/>
      <c r="D80" s="83"/>
      <c r="E80" s="83"/>
      <c r="F80" s="83"/>
      <c r="G80" s="83"/>
      <c r="H80" s="83"/>
      <c r="I80" s="83"/>
      <c r="J80" s="81">
        <f t="shared" si="5"/>
        <v>0</v>
      </c>
      <c r="K80" s="81">
        <f t="shared" si="2"/>
        <v>0</v>
      </c>
      <c r="L80" s="56"/>
      <c r="M80" s="56"/>
      <c r="N80" s="56"/>
      <c r="O80" s="56"/>
    </row>
    <row r="81" ht="15.75" customHeight="1">
      <c r="A81" s="83">
        <v>69.0</v>
      </c>
      <c r="B81" s="91"/>
      <c r="C81" s="92"/>
      <c r="D81" s="83"/>
      <c r="E81" s="83"/>
      <c r="F81" s="83"/>
      <c r="G81" s="83"/>
      <c r="H81" s="83"/>
      <c r="I81" s="83"/>
      <c r="J81" s="81">
        <f t="shared" si="5"/>
        <v>0</v>
      </c>
      <c r="K81" s="81">
        <f t="shared" si="2"/>
        <v>0</v>
      </c>
      <c r="L81" s="56"/>
      <c r="M81" s="56"/>
      <c r="N81" s="56"/>
      <c r="O81" s="56"/>
    </row>
    <row r="82" ht="15.75" customHeight="1">
      <c r="A82" s="83">
        <v>70.0</v>
      </c>
      <c r="B82" s="108"/>
      <c r="C82" s="108"/>
      <c r="D82" s="83"/>
      <c r="E82" s="83"/>
      <c r="F82" s="83"/>
      <c r="G82" s="83"/>
      <c r="H82" s="83"/>
      <c r="I82" s="83"/>
      <c r="J82" s="81">
        <f t="shared" si="5"/>
        <v>0</v>
      </c>
      <c r="K82" s="81">
        <f t="shared" si="2"/>
        <v>0</v>
      </c>
      <c r="L82" s="56"/>
      <c r="M82" s="56"/>
      <c r="N82" s="56"/>
      <c r="O82" s="56"/>
    </row>
    <row r="83" ht="15.75" customHeight="1">
      <c r="A83" s="83">
        <v>71.0</v>
      </c>
      <c r="B83" s="108"/>
      <c r="C83" s="108"/>
      <c r="D83" s="83"/>
      <c r="E83" s="83"/>
      <c r="F83" s="83"/>
      <c r="G83" s="83"/>
      <c r="H83" s="83"/>
      <c r="I83" s="83"/>
      <c r="J83" s="81">
        <f t="shared" si="5"/>
        <v>0</v>
      </c>
      <c r="K83" s="81">
        <f t="shared" si="2"/>
        <v>0</v>
      </c>
      <c r="L83" s="56"/>
      <c r="M83" s="56"/>
      <c r="N83" s="56"/>
      <c r="O83" s="56"/>
    </row>
    <row r="84" ht="15.75" customHeight="1">
      <c r="A84" s="83">
        <v>72.0</v>
      </c>
      <c r="B84" s="108"/>
      <c r="C84" s="108"/>
      <c r="D84" s="83"/>
      <c r="E84" s="83"/>
      <c r="F84" s="83"/>
      <c r="G84" s="83"/>
      <c r="H84" s="83"/>
      <c r="I84" s="83"/>
      <c r="J84" s="81">
        <f t="shared" si="5"/>
        <v>0</v>
      </c>
      <c r="K84" s="81">
        <f t="shared" si="2"/>
        <v>0</v>
      </c>
      <c r="L84" s="56"/>
      <c r="M84" s="56"/>
      <c r="N84" s="56"/>
      <c r="O84" s="56"/>
    </row>
    <row r="85" ht="15.75" customHeight="1">
      <c r="A85" s="83">
        <v>73.0</v>
      </c>
      <c r="B85" s="108"/>
      <c r="C85" s="108"/>
      <c r="D85" s="83"/>
      <c r="E85" s="83"/>
      <c r="F85" s="83"/>
      <c r="G85" s="83"/>
      <c r="H85" s="83"/>
      <c r="I85" s="83"/>
      <c r="J85" s="81">
        <f t="shared" si="5"/>
        <v>0</v>
      </c>
      <c r="K85" s="81">
        <f t="shared" si="2"/>
        <v>0</v>
      </c>
      <c r="L85" s="56"/>
      <c r="M85" s="56"/>
      <c r="N85" s="56"/>
      <c r="O85" s="56"/>
    </row>
    <row r="86" ht="15.75" customHeight="1">
      <c r="A86" s="83">
        <v>74.0</v>
      </c>
      <c r="B86" s="108"/>
      <c r="C86" s="108"/>
      <c r="D86" s="83"/>
      <c r="E86" s="83"/>
      <c r="F86" s="83"/>
      <c r="G86" s="83"/>
      <c r="H86" s="83"/>
      <c r="I86" s="83"/>
      <c r="J86" s="81">
        <f t="shared" si="5"/>
        <v>0</v>
      </c>
      <c r="K86" s="81">
        <f t="shared" si="2"/>
        <v>0</v>
      </c>
      <c r="L86" s="56"/>
      <c r="M86" s="56"/>
      <c r="N86" s="56"/>
      <c r="O86" s="56"/>
    </row>
    <row r="87" ht="15.75" customHeight="1">
      <c r="A87" s="83">
        <v>75.0</v>
      </c>
      <c r="B87" s="108"/>
      <c r="C87" s="108"/>
      <c r="D87" s="83"/>
      <c r="E87" s="83"/>
      <c r="F87" s="83"/>
      <c r="G87" s="83"/>
      <c r="H87" s="83"/>
      <c r="I87" s="83"/>
      <c r="J87" s="81">
        <f t="shared" si="5"/>
        <v>0</v>
      </c>
      <c r="K87" s="81">
        <f t="shared" si="2"/>
        <v>0</v>
      </c>
      <c r="L87" s="56"/>
      <c r="M87" s="56"/>
      <c r="N87" s="56"/>
      <c r="O87" s="56"/>
    </row>
    <row r="88" ht="15.75" customHeight="1">
      <c r="A88" s="83">
        <v>76.0</v>
      </c>
      <c r="B88" s="108"/>
      <c r="C88" s="108"/>
      <c r="D88" s="83"/>
      <c r="E88" s="83"/>
      <c r="F88" s="83"/>
      <c r="G88" s="83"/>
      <c r="H88" s="83"/>
      <c r="I88" s="83"/>
      <c r="J88" s="81">
        <f t="shared" si="5"/>
        <v>0</v>
      </c>
      <c r="K88" s="81">
        <f t="shared" si="2"/>
        <v>0</v>
      </c>
      <c r="L88" s="56"/>
      <c r="M88" s="56"/>
      <c r="N88" s="56"/>
      <c r="O88" s="56"/>
    </row>
    <row r="89" ht="15.75" customHeight="1">
      <c r="A89" s="83">
        <v>77.0</v>
      </c>
      <c r="B89" s="108"/>
      <c r="C89" s="108"/>
      <c r="D89" s="83"/>
      <c r="E89" s="83"/>
      <c r="F89" s="83"/>
      <c r="G89" s="83"/>
      <c r="H89" s="83"/>
      <c r="I89" s="83"/>
      <c r="J89" s="81">
        <f t="shared" si="5"/>
        <v>0</v>
      </c>
      <c r="K89" s="81">
        <f t="shared" si="2"/>
        <v>0</v>
      </c>
      <c r="L89" s="56"/>
      <c r="M89" s="56"/>
      <c r="N89" s="56"/>
      <c r="O89" s="56"/>
    </row>
    <row r="90" ht="15.75" customHeight="1">
      <c r="A90" s="83">
        <v>78.0</v>
      </c>
      <c r="B90" s="108"/>
      <c r="C90" s="108"/>
      <c r="D90" s="83"/>
      <c r="E90" s="83"/>
      <c r="F90" s="83"/>
      <c r="G90" s="83"/>
      <c r="H90" s="83"/>
      <c r="I90" s="83"/>
      <c r="J90" s="81">
        <f t="shared" si="5"/>
        <v>0</v>
      </c>
      <c r="K90" s="81">
        <f t="shared" si="2"/>
        <v>0</v>
      </c>
      <c r="L90" s="56"/>
      <c r="M90" s="56"/>
      <c r="N90" s="56"/>
      <c r="O90" s="56"/>
    </row>
    <row r="91" ht="15.75" customHeight="1">
      <c r="A91" s="83">
        <v>79.0</v>
      </c>
      <c r="B91" s="108"/>
      <c r="C91" s="108"/>
      <c r="D91" s="83"/>
      <c r="E91" s="83"/>
      <c r="F91" s="83"/>
      <c r="G91" s="83"/>
      <c r="H91" s="83"/>
      <c r="I91" s="83"/>
      <c r="J91" s="81">
        <f t="shared" si="5"/>
        <v>0</v>
      </c>
      <c r="K91" s="81">
        <f t="shared" si="2"/>
        <v>0</v>
      </c>
      <c r="L91" s="56"/>
      <c r="M91" s="56"/>
      <c r="N91" s="56"/>
      <c r="O91" s="56"/>
    </row>
    <row r="92" ht="15.75" customHeight="1">
      <c r="A92" s="83">
        <v>80.0</v>
      </c>
      <c r="B92" s="108"/>
      <c r="C92" s="108"/>
      <c r="D92" s="83"/>
      <c r="E92" s="83"/>
      <c r="F92" s="83"/>
      <c r="G92" s="83"/>
      <c r="H92" s="83"/>
      <c r="I92" s="83"/>
      <c r="J92" s="81">
        <f t="shared" si="5"/>
        <v>0</v>
      </c>
      <c r="K92" s="81">
        <f t="shared" si="2"/>
        <v>0</v>
      </c>
      <c r="L92" s="56"/>
      <c r="M92" s="56"/>
      <c r="N92" s="56"/>
      <c r="O92" s="56"/>
    </row>
    <row r="93" ht="15.75" customHeight="1">
      <c r="A93" s="83">
        <v>81.0</v>
      </c>
      <c r="B93" s="108"/>
      <c r="C93" s="108"/>
      <c r="D93" s="83"/>
      <c r="E93" s="83"/>
      <c r="F93" s="83"/>
      <c r="G93" s="83"/>
      <c r="H93" s="83"/>
      <c r="I93" s="83"/>
      <c r="J93" s="81">
        <f t="shared" si="5"/>
        <v>0</v>
      </c>
      <c r="K93" s="81">
        <f t="shared" si="2"/>
        <v>0</v>
      </c>
      <c r="L93" s="56"/>
      <c r="M93" s="56"/>
      <c r="N93" s="56"/>
      <c r="O93" s="56"/>
    </row>
    <row r="94" ht="15.75" customHeight="1">
      <c r="A94" s="83">
        <v>82.0</v>
      </c>
      <c r="B94" s="108"/>
      <c r="C94" s="108"/>
      <c r="D94" s="83"/>
      <c r="E94" s="83"/>
      <c r="F94" s="83"/>
      <c r="G94" s="83"/>
      <c r="H94" s="83"/>
      <c r="I94" s="83"/>
      <c r="J94" s="81">
        <f t="shared" si="5"/>
        <v>0</v>
      </c>
      <c r="K94" s="81">
        <f t="shared" si="2"/>
        <v>0</v>
      </c>
      <c r="L94" s="56"/>
      <c r="M94" s="56"/>
      <c r="N94" s="56"/>
      <c r="O94" s="56"/>
    </row>
    <row r="95" ht="60.75" customHeight="1">
      <c r="A95" s="109" t="s">
        <v>135</v>
      </c>
      <c r="C95" s="110">
        <v>0.4</v>
      </c>
      <c r="D95" s="111">
        <f t="shared" ref="D95:I95" si="6">$C$95*D12</f>
        <v>4</v>
      </c>
      <c r="E95" s="111">
        <f t="shared" si="6"/>
        <v>3.2</v>
      </c>
      <c r="F95" s="111">
        <f t="shared" si="6"/>
        <v>7.2</v>
      </c>
      <c r="G95" s="111">
        <f t="shared" si="6"/>
        <v>4</v>
      </c>
      <c r="H95" s="111">
        <f t="shared" si="6"/>
        <v>3.2</v>
      </c>
      <c r="I95" s="111">
        <f t="shared" si="6"/>
        <v>0</v>
      </c>
      <c r="J95" s="112"/>
      <c r="K95" s="112"/>
      <c r="L95" s="56"/>
      <c r="M95" s="56"/>
      <c r="N95" s="56"/>
      <c r="O95" s="56"/>
    </row>
    <row r="96" ht="15.75" customHeight="1">
      <c r="A96" s="113" t="s">
        <v>136</v>
      </c>
      <c r="C96" s="28"/>
      <c r="D96" s="30"/>
      <c r="E96" s="30"/>
      <c r="F96" s="30"/>
      <c r="G96" s="30"/>
      <c r="H96" s="30"/>
      <c r="I96" s="30"/>
      <c r="J96" s="30"/>
      <c r="K96" s="30"/>
      <c r="L96" s="56"/>
      <c r="M96" s="56"/>
      <c r="N96" s="56"/>
      <c r="O96" s="56"/>
    </row>
    <row r="97" ht="15.75" customHeight="1">
      <c r="C97" s="28"/>
      <c r="D97" s="114">
        <f t="shared" ref="D97:I97" si="7">COUNTIF(D13:D94,"&gt;=" &amp;D95)</f>
        <v>51</v>
      </c>
      <c r="E97" s="114">
        <f t="shared" si="7"/>
        <v>43</v>
      </c>
      <c r="F97" s="114">
        <f t="shared" si="7"/>
        <v>51</v>
      </c>
      <c r="G97" s="114">
        <f t="shared" si="7"/>
        <v>54</v>
      </c>
      <c r="H97" s="114">
        <f t="shared" si="7"/>
        <v>48</v>
      </c>
      <c r="I97" s="114">
        <f t="shared" si="7"/>
        <v>0</v>
      </c>
      <c r="J97" s="115"/>
      <c r="K97" s="115"/>
      <c r="L97" s="56"/>
      <c r="M97" s="56"/>
      <c r="N97" s="56"/>
      <c r="O97" s="56"/>
    </row>
    <row r="98" ht="15.75" customHeight="1">
      <c r="A98" s="56"/>
      <c r="B98" s="56"/>
      <c r="C98" s="56"/>
      <c r="D98" s="30"/>
      <c r="E98" s="30"/>
      <c r="F98" s="30"/>
      <c r="G98" s="30"/>
      <c r="H98" s="30"/>
      <c r="I98" s="30"/>
      <c r="J98" s="30"/>
      <c r="K98" s="30"/>
      <c r="L98" s="56"/>
      <c r="M98" s="56"/>
      <c r="N98" s="56"/>
      <c r="O98" s="56"/>
    </row>
    <row r="99" ht="15.75" customHeight="1">
      <c r="A99" s="56"/>
      <c r="B99" s="56"/>
      <c r="C99" s="56"/>
      <c r="D99" s="56"/>
      <c r="E99" s="56"/>
      <c r="F99" s="56"/>
      <c r="G99" s="56"/>
      <c r="H99" s="56"/>
      <c r="I99" s="56"/>
      <c r="J99" s="56"/>
      <c r="K99" s="56"/>
      <c r="L99" s="56"/>
      <c r="M99" s="56"/>
      <c r="N99" s="56"/>
      <c r="O99" s="56"/>
    </row>
    <row r="100" ht="15.75" customHeight="1">
      <c r="A100" s="56"/>
      <c r="B100" s="56"/>
      <c r="C100" s="56"/>
      <c r="D100" s="56"/>
      <c r="E100" s="56"/>
      <c r="F100" s="56"/>
      <c r="G100" s="56"/>
      <c r="H100" s="56"/>
      <c r="I100" s="56"/>
      <c r="J100" s="56"/>
      <c r="K100" s="56"/>
      <c r="L100" s="56"/>
      <c r="M100" s="56"/>
      <c r="N100" s="56"/>
      <c r="O100" s="56"/>
    </row>
    <row r="101" ht="15.75" customHeight="1">
      <c r="A101" s="56"/>
      <c r="B101" s="56"/>
      <c r="C101" s="56"/>
      <c r="D101" s="56"/>
      <c r="E101" s="56"/>
      <c r="F101" s="56"/>
      <c r="G101" s="56"/>
      <c r="H101" s="56"/>
      <c r="I101" s="56"/>
      <c r="J101" s="56"/>
      <c r="K101" s="56"/>
      <c r="L101" s="56"/>
      <c r="M101" s="56"/>
      <c r="N101" s="56"/>
      <c r="O101" s="56"/>
    </row>
    <row r="102" ht="43.5" customHeight="1">
      <c r="A102" s="56"/>
      <c r="B102" s="116" t="s">
        <v>137</v>
      </c>
      <c r="C102" s="24"/>
      <c r="D102" s="24"/>
      <c r="E102" s="25"/>
      <c r="F102" s="117" t="s">
        <v>138</v>
      </c>
      <c r="G102" s="25"/>
      <c r="H102" s="118"/>
      <c r="I102" s="119" t="s">
        <v>139</v>
      </c>
      <c r="J102" s="25"/>
      <c r="K102" s="56"/>
      <c r="L102" s="56"/>
      <c r="M102" s="56"/>
      <c r="N102" s="56"/>
      <c r="O102" s="56"/>
    </row>
    <row r="103" ht="15.0" customHeight="1">
      <c r="A103" s="56"/>
      <c r="B103" s="120" t="s">
        <v>140</v>
      </c>
      <c r="C103" s="121" t="s">
        <v>141</v>
      </c>
      <c r="D103" s="24"/>
      <c r="E103" s="122">
        <v>50.0</v>
      </c>
      <c r="F103" s="123">
        <v>62.0</v>
      </c>
      <c r="G103" s="22"/>
      <c r="H103" s="124">
        <f>E103*F103/100</f>
        <v>31</v>
      </c>
      <c r="I103" s="125">
        <v>1.0</v>
      </c>
      <c r="J103" s="126"/>
      <c r="K103" s="56"/>
      <c r="L103" s="56"/>
      <c r="M103" s="56"/>
      <c r="N103" s="56"/>
      <c r="O103" s="56"/>
    </row>
    <row r="104" ht="15.75" customHeight="1">
      <c r="A104" s="56"/>
      <c r="B104" s="127"/>
      <c r="C104" s="121" t="s">
        <v>141</v>
      </c>
      <c r="D104" s="24"/>
      <c r="E104" s="122">
        <v>60.0</v>
      </c>
      <c r="F104" s="27"/>
      <c r="G104" s="28"/>
      <c r="H104" s="128">
        <f>E104*F103/100</f>
        <v>37.2</v>
      </c>
      <c r="I104" s="129">
        <v>2.0</v>
      </c>
      <c r="J104" s="130"/>
      <c r="K104" s="56"/>
      <c r="L104" s="56"/>
      <c r="M104" s="56"/>
      <c r="N104" s="56"/>
      <c r="O104" s="56"/>
    </row>
    <row r="105" ht="15.75" customHeight="1">
      <c r="A105" s="56"/>
      <c r="B105" s="131"/>
      <c r="C105" s="121" t="s">
        <v>141</v>
      </c>
      <c r="D105" s="24"/>
      <c r="E105" s="132">
        <v>70.0</v>
      </c>
      <c r="F105" s="31"/>
      <c r="G105" s="32"/>
      <c r="H105" s="133">
        <f>E105*F103/100</f>
        <v>43.4</v>
      </c>
      <c r="I105" s="134">
        <v>3.0</v>
      </c>
      <c r="J105" s="135"/>
      <c r="K105" s="56"/>
      <c r="L105" s="56"/>
      <c r="M105" s="56"/>
      <c r="N105" s="56"/>
      <c r="O105" s="56"/>
    </row>
    <row r="106" ht="15.75" customHeight="1">
      <c r="A106" s="56"/>
      <c r="B106" s="136"/>
      <c r="C106" s="136"/>
      <c r="D106" s="136"/>
      <c r="E106" s="136"/>
      <c r="F106" s="136"/>
      <c r="G106" s="136"/>
      <c r="H106" s="137"/>
      <c r="I106" s="7"/>
      <c r="J106" s="7"/>
      <c r="K106" s="56"/>
      <c r="L106" s="56"/>
      <c r="M106" s="56"/>
      <c r="N106" s="56"/>
      <c r="O106" s="56"/>
    </row>
    <row r="107" ht="15.75" customHeight="1">
      <c r="A107" s="56"/>
      <c r="B107" s="136"/>
      <c r="C107" s="136"/>
      <c r="D107" s="136"/>
      <c r="E107" s="136"/>
      <c r="F107" s="136"/>
      <c r="G107" s="136"/>
      <c r="H107" s="137"/>
      <c r="I107" s="7"/>
      <c r="J107" s="7"/>
      <c r="K107" s="56"/>
      <c r="L107" s="56"/>
      <c r="M107" s="56"/>
      <c r="N107" s="56"/>
      <c r="O107" s="56"/>
    </row>
    <row r="108" ht="24.0" customHeight="1">
      <c r="A108" s="56"/>
      <c r="B108" s="136"/>
      <c r="C108" s="138" t="s">
        <v>142</v>
      </c>
      <c r="D108" s="139" t="s">
        <v>9</v>
      </c>
      <c r="E108" s="139" t="s">
        <v>11</v>
      </c>
      <c r="F108" s="139" t="s">
        <v>13</v>
      </c>
      <c r="G108" s="139" t="s">
        <v>15</v>
      </c>
      <c r="H108" s="139" t="s">
        <v>143</v>
      </c>
      <c r="I108" s="140" t="s">
        <v>144</v>
      </c>
      <c r="J108" s="136"/>
      <c r="K108" s="56"/>
      <c r="L108" s="56"/>
      <c r="M108" s="56"/>
      <c r="N108" s="56"/>
      <c r="O108" s="56"/>
    </row>
    <row r="109" ht="23.25" customHeight="1">
      <c r="A109" s="56"/>
      <c r="B109" s="136"/>
      <c r="C109" s="141" t="s">
        <v>145</v>
      </c>
      <c r="D109" s="142">
        <f t="shared" ref="D109:I109" si="8">IF(D97&gt;=$H105,3,IF(D97&gt;=$H104,2,IF(D97&gt;=$H103,1,0)))</f>
        <v>3</v>
      </c>
      <c r="E109" s="142">
        <f t="shared" si="8"/>
        <v>2</v>
      </c>
      <c r="F109" s="142">
        <f t="shared" si="8"/>
        <v>3</v>
      </c>
      <c r="G109" s="142">
        <f t="shared" si="8"/>
        <v>3</v>
      </c>
      <c r="H109" s="142">
        <f t="shared" si="8"/>
        <v>3</v>
      </c>
      <c r="I109" s="142">
        <f t="shared" si="8"/>
        <v>0</v>
      </c>
      <c r="J109" s="136"/>
      <c r="K109" s="56"/>
      <c r="L109" s="56"/>
      <c r="M109" s="56"/>
      <c r="N109" s="56"/>
      <c r="O109" s="56"/>
    </row>
    <row r="110" ht="15.75" customHeight="1">
      <c r="A110" s="56"/>
      <c r="B110" s="56"/>
      <c r="C110" s="56"/>
      <c r="D110" s="56"/>
      <c r="E110" s="56"/>
      <c r="F110" s="56"/>
      <c r="G110" s="56"/>
      <c r="H110" s="56"/>
      <c r="I110" s="56"/>
      <c r="J110" s="56"/>
      <c r="K110" s="56"/>
      <c r="L110" s="56"/>
      <c r="M110" s="56"/>
      <c r="N110" s="56"/>
      <c r="O110" s="56"/>
    </row>
    <row r="111" ht="15.75" customHeight="1">
      <c r="A111" s="56"/>
      <c r="B111" s="56"/>
      <c r="C111" s="56"/>
      <c r="D111" s="56"/>
      <c r="E111" s="56"/>
      <c r="F111" s="56"/>
      <c r="G111" s="56"/>
      <c r="H111" s="56"/>
      <c r="I111" s="56"/>
      <c r="J111" s="56"/>
      <c r="K111" s="56"/>
      <c r="L111" s="56"/>
      <c r="M111" s="56"/>
      <c r="N111" s="56"/>
      <c r="O111" s="56"/>
    </row>
    <row r="112" ht="15.75" customHeight="1">
      <c r="A112" s="56"/>
      <c r="B112" s="56"/>
      <c r="C112" s="56"/>
      <c r="D112" s="56"/>
      <c r="E112" s="56"/>
      <c r="F112" s="56"/>
      <c r="G112" s="56"/>
      <c r="H112" s="56"/>
      <c r="I112" s="56"/>
      <c r="J112" s="56"/>
      <c r="K112" s="56"/>
      <c r="L112" s="56"/>
      <c r="M112" s="56"/>
      <c r="N112" s="56"/>
      <c r="O112" s="56"/>
    </row>
    <row r="113" ht="15.75" customHeight="1">
      <c r="A113" s="56"/>
      <c r="B113" s="56"/>
      <c r="C113" s="56"/>
      <c r="D113" s="56"/>
      <c r="E113" s="56"/>
      <c r="F113" s="56"/>
      <c r="G113" s="56"/>
      <c r="H113" s="56"/>
      <c r="I113" s="56"/>
      <c r="J113" s="56"/>
      <c r="K113" s="56"/>
      <c r="L113" s="56"/>
      <c r="M113" s="56"/>
      <c r="N113" s="56"/>
      <c r="O113" s="56"/>
    </row>
    <row r="114" ht="24.75" customHeight="1">
      <c r="A114" s="56"/>
      <c r="B114" s="56"/>
      <c r="C114" s="56"/>
      <c r="D114" s="56"/>
      <c r="E114" s="56"/>
      <c r="F114" s="56"/>
      <c r="G114" s="56"/>
      <c r="H114" s="56"/>
      <c r="I114" s="56"/>
      <c r="J114" s="56"/>
      <c r="K114" s="56"/>
      <c r="L114" s="56"/>
      <c r="M114" s="56"/>
      <c r="N114" s="56"/>
      <c r="O114" s="56"/>
    </row>
    <row r="115" ht="15.75" customHeight="1">
      <c r="A115" s="56"/>
      <c r="B115" s="56"/>
      <c r="C115" s="56"/>
      <c r="D115" s="56"/>
      <c r="E115" s="56"/>
      <c r="F115" s="56"/>
      <c r="G115" s="56"/>
      <c r="H115" s="56"/>
      <c r="I115" s="56"/>
      <c r="J115" s="56"/>
      <c r="K115" s="56"/>
      <c r="L115" s="56"/>
      <c r="M115" s="56"/>
      <c r="N115" s="56"/>
      <c r="O115" s="56"/>
    </row>
    <row r="116" ht="15.75" customHeight="1">
      <c r="A116" s="56"/>
      <c r="B116" s="56"/>
      <c r="C116" s="56"/>
      <c r="D116" s="56"/>
      <c r="E116" s="56"/>
      <c r="F116" s="56"/>
      <c r="G116" s="56"/>
      <c r="H116" s="56"/>
      <c r="I116" s="56"/>
      <c r="J116" s="56"/>
      <c r="K116" s="56"/>
      <c r="L116" s="56"/>
      <c r="M116" s="56"/>
      <c r="N116" s="56"/>
      <c r="O116" s="56"/>
    </row>
    <row r="117" ht="15.75" customHeight="1">
      <c r="A117" s="56"/>
      <c r="B117" s="56"/>
      <c r="C117" s="56"/>
      <c r="D117" s="56"/>
      <c r="E117" s="56"/>
      <c r="F117" s="56"/>
      <c r="G117" s="56"/>
      <c r="H117" s="56"/>
      <c r="I117" s="56"/>
      <c r="J117" s="56"/>
      <c r="K117" s="56"/>
      <c r="L117" s="56"/>
      <c r="M117" s="56"/>
      <c r="N117" s="56"/>
      <c r="O117" s="56"/>
    </row>
    <row r="118" ht="15.75" customHeight="1">
      <c r="A118" s="56"/>
      <c r="B118" s="56"/>
      <c r="C118" s="56"/>
      <c r="D118" s="56"/>
      <c r="E118" s="56"/>
      <c r="F118" s="56"/>
      <c r="G118" s="56"/>
      <c r="H118" s="56"/>
      <c r="I118" s="56"/>
      <c r="J118" s="56"/>
      <c r="K118" s="56"/>
      <c r="L118" s="56"/>
      <c r="M118" s="56"/>
      <c r="N118" s="56"/>
      <c r="O118" s="56"/>
    </row>
    <row r="119" ht="15.75" customHeight="1">
      <c r="A119" s="56"/>
      <c r="B119" s="56"/>
      <c r="C119" s="56"/>
      <c r="D119" s="56"/>
      <c r="E119" s="56"/>
      <c r="F119" s="56"/>
      <c r="G119" s="56"/>
      <c r="H119" s="56"/>
      <c r="I119" s="56"/>
      <c r="J119" s="56"/>
      <c r="K119" s="56"/>
      <c r="L119" s="56"/>
      <c r="M119" s="56"/>
      <c r="N119" s="56"/>
      <c r="O119" s="56"/>
    </row>
    <row r="120" ht="15.75" customHeight="1">
      <c r="A120" s="56"/>
      <c r="B120" s="56"/>
      <c r="C120" s="56"/>
      <c r="D120" s="56"/>
      <c r="E120" s="56"/>
      <c r="F120" s="56" t="s">
        <v>146</v>
      </c>
      <c r="G120" s="56"/>
      <c r="H120" s="56"/>
      <c r="I120" s="56"/>
      <c r="J120" s="56"/>
      <c r="K120" s="56"/>
      <c r="L120" s="56"/>
      <c r="M120" s="56"/>
      <c r="N120" s="56"/>
      <c r="O120" s="56"/>
    </row>
    <row r="121" ht="15.75" customHeight="1">
      <c r="A121" s="56"/>
      <c r="B121" s="56"/>
      <c r="C121" s="56"/>
      <c r="D121" s="56"/>
      <c r="E121" s="56"/>
      <c r="F121" s="56"/>
      <c r="G121" s="56"/>
      <c r="H121" s="56"/>
      <c r="I121" s="56"/>
      <c r="J121" s="56"/>
      <c r="K121" s="56"/>
      <c r="L121" s="56"/>
      <c r="M121" s="56"/>
      <c r="N121" s="56"/>
      <c r="O121" s="56"/>
    </row>
    <row r="122" ht="15.75" customHeight="1">
      <c r="A122" s="56"/>
      <c r="B122" s="56"/>
      <c r="C122" s="56"/>
      <c r="D122" s="56"/>
      <c r="E122" s="56"/>
      <c r="F122" s="56"/>
      <c r="G122" s="56"/>
      <c r="H122" s="56"/>
      <c r="I122" s="56"/>
      <c r="J122" s="56"/>
      <c r="K122" s="56"/>
      <c r="L122" s="56"/>
      <c r="M122" s="56"/>
      <c r="N122" s="56"/>
      <c r="O122" s="56"/>
    </row>
    <row r="123" ht="15.75" customHeight="1">
      <c r="A123" s="56"/>
      <c r="B123" s="56"/>
      <c r="C123" s="56"/>
      <c r="D123" s="56"/>
      <c r="E123" s="56"/>
      <c r="F123" s="56"/>
      <c r="G123" s="56"/>
      <c r="H123" s="56"/>
      <c r="I123" s="56"/>
      <c r="J123" s="56"/>
      <c r="K123" s="56"/>
      <c r="L123" s="56"/>
      <c r="M123" s="56"/>
      <c r="N123" s="56"/>
      <c r="O123" s="56"/>
    </row>
    <row r="124" ht="15.75" customHeight="1">
      <c r="A124" s="56"/>
      <c r="B124" s="56"/>
      <c r="C124" s="56"/>
      <c r="D124" s="56"/>
      <c r="E124" s="56"/>
      <c r="F124" s="56"/>
      <c r="G124" s="56"/>
      <c r="H124" s="56"/>
      <c r="I124" s="56"/>
      <c r="J124" s="56"/>
      <c r="K124" s="56"/>
      <c r="L124" s="56"/>
      <c r="M124" s="56"/>
      <c r="N124" s="56"/>
      <c r="O124" s="56"/>
    </row>
    <row r="125" ht="15.75" customHeight="1">
      <c r="A125" s="56"/>
      <c r="B125" s="56"/>
      <c r="C125" s="56"/>
      <c r="D125" s="56"/>
      <c r="E125" s="56"/>
      <c r="F125" s="56"/>
      <c r="G125" s="56"/>
      <c r="H125" s="56"/>
      <c r="I125" s="56"/>
      <c r="J125" s="56"/>
      <c r="K125" s="56"/>
      <c r="L125" s="56"/>
      <c r="M125" s="56"/>
      <c r="N125" s="56"/>
      <c r="O125" s="56"/>
    </row>
    <row r="126" ht="15.75" customHeight="1">
      <c r="A126" s="56"/>
      <c r="B126" s="56"/>
      <c r="C126" s="56"/>
      <c r="D126" s="56"/>
      <c r="E126" s="56"/>
      <c r="F126" s="56"/>
      <c r="G126" s="56"/>
      <c r="H126" s="56"/>
      <c r="I126" s="56"/>
      <c r="J126" s="56"/>
      <c r="K126" s="56"/>
      <c r="L126" s="56"/>
      <c r="M126" s="56"/>
      <c r="N126" s="56"/>
      <c r="O126" s="56"/>
    </row>
    <row r="127" ht="15.75" customHeight="1">
      <c r="A127" s="56"/>
      <c r="B127" s="56"/>
      <c r="C127" s="56"/>
      <c r="D127" s="56"/>
      <c r="E127" s="56"/>
      <c r="F127" s="56"/>
      <c r="G127" s="56"/>
      <c r="H127" s="56"/>
      <c r="I127" s="56"/>
      <c r="J127" s="56"/>
      <c r="K127" s="56"/>
      <c r="L127" s="56"/>
      <c r="M127" s="56"/>
      <c r="N127" s="56"/>
      <c r="O127" s="56"/>
    </row>
    <row r="128" ht="15.75" customHeight="1">
      <c r="A128" s="56"/>
      <c r="B128" s="56"/>
      <c r="C128" s="56"/>
      <c r="D128" s="56"/>
      <c r="E128" s="56"/>
      <c r="F128" s="56"/>
      <c r="G128" s="56"/>
      <c r="H128" s="56"/>
      <c r="I128" s="56"/>
      <c r="J128" s="56"/>
      <c r="K128" s="56"/>
      <c r="L128" s="56"/>
      <c r="M128" s="56"/>
      <c r="N128" s="56"/>
      <c r="O128" s="56"/>
    </row>
    <row r="129" ht="15.75" customHeight="1">
      <c r="A129" s="56"/>
      <c r="B129" s="56"/>
      <c r="C129" s="56"/>
      <c r="D129" s="56"/>
      <c r="E129" s="56"/>
      <c r="F129" s="56"/>
      <c r="G129" s="56"/>
      <c r="H129" s="56"/>
      <c r="I129" s="56"/>
      <c r="J129" s="56"/>
      <c r="K129" s="56"/>
      <c r="L129" s="56"/>
      <c r="M129" s="56"/>
      <c r="N129" s="56"/>
      <c r="O129" s="56"/>
    </row>
    <row r="130" ht="15.75" customHeight="1">
      <c r="A130" s="56"/>
      <c r="B130" s="56"/>
      <c r="C130" s="56"/>
      <c r="D130" s="56"/>
      <c r="E130" s="56"/>
      <c r="F130" s="56"/>
      <c r="G130" s="56"/>
      <c r="H130" s="56"/>
      <c r="I130" s="56"/>
      <c r="J130" s="56"/>
      <c r="K130" s="56"/>
      <c r="L130" s="56"/>
      <c r="M130" s="56"/>
      <c r="N130" s="56"/>
      <c r="O130" s="56"/>
    </row>
    <row r="131" ht="15.75" customHeight="1">
      <c r="A131" s="56"/>
      <c r="B131" s="56"/>
      <c r="C131" s="56"/>
      <c r="D131" s="56"/>
      <c r="E131" s="56"/>
      <c r="F131" s="56"/>
      <c r="G131" s="56"/>
      <c r="H131" s="56"/>
      <c r="I131" s="56"/>
      <c r="J131" s="56"/>
      <c r="K131" s="56"/>
      <c r="L131" s="56"/>
      <c r="M131" s="56"/>
      <c r="N131" s="56"/>
      <c r="O131" s="56"/>
    </row>
    <row r="132" ht="15.75" customHeight="1">
      <c r="A132" s="56"/>
      <c r="B132" s="56"/>
      <c r="C132" s="56"/>
      <c r="D132" s="56"/>
      <c r="E132" s="56"/>
      <c r="F132" s="56"/>
      <c r="G132" s="56"/>
      <c r="H132" s="56"/>
      <c r="I132" s="56"/>
      <c r="J132" s="56"/>
      <c r="K132" s="56"/>
      <c r="L132" s="56"/>
      <c r="M132" s="56"/>
      <c r="N132" s="56"/>
      <c r="O132" s="56"/>
    </row>
    <row r="133" ht="15.75" customHeight="1">
      <c r="A133" s="56"/>
      <c r="B133" s="56"/>
      <c r="C133" s="56"/>
      <c r="D133" s="56"/>
      <c r="E133" s="56"/>
      <c r="F133" s="56"/>
      <c r="G133" s="56"/>
      <c r="H133" s="56"/>
      <c r="I133" s="56"/>
      <c r="J133" s="56"/>
      <c r="K133" s="56"/>
      <c r="L133" s="56"/>
      <c r="M133" s="56"/>
      <c r="N133" s="56"/>
      <c r="O133" s="56"/>
    </row>
    <row r="134" ht="15.75" customHeight="1">
      <c r="A134" s="56"/>
      <c r="B134" s="56"/>
      <c r="C134" s="56"/>
      <c r="D134" s="56"/>
      <c r="E134" s="56"/>
      <c r="F134" s="56"/>
      <c r="G134" s="56"/>
      <c r="H134" s="56"/>
      <c r="I134" s="56"/>
      <c r="J134" s="56"/>
      <c r="K134" s="56"/>
      <c r="L134" s="56"/>
      <c r="M134" s="56"/>
      <c r="N134" s="56"/>
      <c r="O134" s="56"/>
    </row>
    <row r="135" ht="15.75" customHeight="1">
      <c r="A135" s="56"/>
      <c r="B135" s="56"/>
      <c r="C135" s="56"/>
      <c r="D135" s="56"/>
      <c r="E135" s="56"/>
      <c r="F135" s="56"/>
      <c r="G135" s="56"/>
      <c r="H135" s="56"/>
      <c r="I135" s="56"/>
      <c r="J135" s="56"/>
      <c r="K135" s="56"/>
      <c r="L135" s="56"/>
      <c r="M135" s="56"/>
      <c r="N135" s="56"/>
      <c r="O135" s="56"/>
    </row>
    <row r="136" ht="15.75" customHeight="1">
      <c r="A136" s="56"/>
      <c r="B136" s="56"/>
      <c r="C136" s="56"/>
      <c r="D136" s="56"/>
      <c r="E136" s="56"/>
      <c r="F136" s="56"/>
      <c r="G136" s="56"/>
      <c r="H136" s="56"/>
      <c r="I136" s="56"/>
      <c r="J136" s="56"/>
      <c r="K136" s="56"/>
      <c r="L136" s="56"/>
      <c r="M136" s="56"/>
      <c r="N136" s="56"/>
      <c r="O136" s="56"/>
    </row>
    <row r="137" ht="15.75" customHeight="1">
      <c r="A137" s="56"/>
      <c r="B137" s="56"/>
      <c r="C137" s="56"/>
      <c r="D137" s="56"/>
      <c r="E137" s="56"/>
      <c r="F137" s="56"/>
      <c r="G137" s="56"/>
      <c r="H137" s="56"/>
      <c r="I137" s="56"/>
      <c r="J137" s="56"/>
      <c r="K137" s="56"/>
      <c r="L137" s="56"/>
      <c r="M137" s="56"/>
      <c r="N137" s="56"/>
      <c r="O137" s="56"/>
    </row>
    <row r="138" ht="15.75" customHeight="1">
      <c r="A138" s="56"/>
      <c r="B138" s="56"/>
      <c r="C138" s="56"/>
      <c r="D138" s="56"/>
      <c r="E138" s="56"/>
      <c r="F138" s="56"/>
      <c r="G138" s="56"/>
      <c r="H138" s="56"/>
      <c r="I138" s="56"/>
      <c r="J138" s="56"/>
      <c r="K138" s="56"/>
      <c r="L138" s="56"/>
      <c r="M138" s="56"/>
      <c r="N138" s="56"/>
      <c r="O138" s="56"/>
    </row>
    <row r="139" ht="15.75" customHeight="1">
      <c r="A139" s="56"/>
      <c r="B139" s="56"/>
      <c r="C139" s="56"/>
      <c r="D139" s="56"/>
      <c r="E139" s="56"/>
      <c r="F139" s="56"/>
      <c r="G139" s="56"/>
      <c r="H139" s="56"/>
      <c r="I139" s="56"/>
      <c r="J139" s="56"/>
      <c r="K139" s="56"/>
      <c r="L139" s="56"/>
      <c r="M139" s="56"/>
      <c r="N139" s="56"/>
      <c r="O139" s="56"/>
    </row>
    <row r="140" ht="15.75" customHeight="1">
      <c r="A140" s="56"/>
      <c r="B140" s="56"/>
      <c r="C140" s="56"/>
      <c r="D140" s="56"/>
      <c r="E140" s="56"/>
      <c r="F140" s="56"/>
      <c r="G140" s="56"/>
      <c r="H140" s="56"/>
      <c r="I140" s="56"/>
      <c r="J140" s="56"/>
      <c r="K140" s="56"/>
      <c r="L140" s="56"/>
      <c r="M140" s="56"/>
      <c r="N140" s="56"/>
      <c r="O140" s="56"/>
    </row>
    <row r="141" ht="15.75" customHeight="1">
      <c r="A141" s="56"/>
      <c r="B141" s="56"/>
      <c r="C141" s="56"/>
      <c r="D141" s="56"/>
      <c r="E141" s="56"/>
      <c r="F141" s="56"/>
      <c r="G141" s="56"/>
      <c r="H141" s="56"/>
      <c r="I141" s="56"/>
      <c r="J141" s="56"/>
      <c r="K141" s="56"/>
      <c r="L141" s="56"/>
      <c r="M141" s="56"/>
      <c r="N141" s="56"/>
      <c r="O141" s="56"/>
    </row>
    <row r="142" ht="15.75" customHeight="1">
      <c r="A142" s="56"/>
      <c r="B142" s="56"/>
      <c r="C142" s="56"/>
      <c r="D142" s="56"/>
      <c r="E142" s="56"/>
      <c r="F142" s="56"/>
      <c r="G142" s="56"/>
      <c r="H142" s="56"/>
      <c r="I142" s="56"/>
      <c r="J142" s="56"/>
      <c r="K142" s="56"/>
      <c r="L142" s="56"/>
      <c r="M142" s="56"/>
      <c r="N142" s="56"/>
      <c r="O142" s="56"/>
    </row>
    <row r="143" ht="15.75" customHeight="1">
      <c r="A143" s="56"/>
      <c r="B143" s="56"/>
      <c r="C143" s="56"/>
      <c r="D143" s="56"/>
      <c r="E143" s="56"/>
      <c r="F143" s="56"/>
      <c r="G143" s="56"/>
      <c r="H143" s="56"/>
      <c r="I143" s="56"/>
      <c r="J143" s="56"/>
      <c r="K143" s="56"/>
      <c r="L143" s="56"/>
      <c r="M143" s="56"/>
      <c r="N143" s="56"/>
      <c r="O143" s="56"/>
    </row>
    <row r="144" ht="15.75" customHeight="1">
      <c r="A144" s="56"/>
      <c r="B144" s="56"/>
      <c r="C144" s="56"/>
      <c r="D144" s="56"/>
      <c r="E144" s="56"/>
      <c r="F144" s="56"/>
      <c r="G144" s="56"/>
      <c r="H144" s="56"/>
      <c r="I144" s="56"/>
      <c r="J144" s="56"/>
      <c r="K144" s="56"/>
      <c r="L144" s="56"/>
      <c r="M144" s="56"/>
      <c r="N144" s="56"/>
      <c r="O144" s="56"/>
    </row>
    <row r="145" ht="15.75" customHeight="1">
      <c r="A145" s="56"/>
      <c r="B145" s="56"/>
      <c r="C145" s="56"/>
      <c r="D145" s="56"/>
      <c r="E145" s="56"/>
      <c r="F145" s="56"/>
      <c r="G145" s="56"/>
      <c r="H145" s="56"/>
      <c r="I145" s="56"/>
      <c r="J145" s="56"/>
      <c r="K145" s="56"/>
      <c r="L145" s="56"/>
      <c r="M145" s="56"/>
      <c r="N145" s="56"/>
      <c r="O145" s="56"/>
    </row>
    <row r="146" ht="15.75" customHeight="1">
      <c r="A146" s="56"/>
      <c r="B146" s="56"/>
      <c r="C146" s="56"/>
      <c r="D146" s="56"/>
      <c r="E146" s="56"/>
      <c r="F146" s="56"/>
      <c r="G146" s="56"/>
      <c r="H146" s="56"/>
      <c r="I146" s="56"/>
      <c r="J146" s="56"/>
      <c r="K146" s="56"/>
      <c r="L146" s="56"/>
      <c r="M146" s="56"/>
      <c r="N146" s="56"/>
      <c r="O146" s="56"/>
    </row>
    <row r="147" ht="15.75" customHeight="1">
      <c r="A147" s="56"/>
      <c r="B147" s="56"/>
      <c r="C147" s="56"/>
      <c r="D147" s="56"/>
      <c r="E147" s="56"/>
      <c r="F147" s="56"/>
      <c r="G147" s="56"/>
      <c r="H147" s="56"/>
      <c r="I147" s="56"/>
      <c r="J147" s="56"/>
      <c r="K147" s="56"/>
      <c r="L147" s="56"/>
      <c r="M147" s="56"/>
      <c r="N147" s="56"/>
      <c r="O147" s="56"/>
    </row>
    <row r="148" ht="15.75" customHeight="1">
      <c r="A148" s="56"/>
      <c r="B148" s="56"/>
      <c r="C148" s="56"/>
      <c r="D148" s="56"/>
      <c r="E148" s="56"/>
      <c r="F148" s="56"/>
      <c r="G148" s="56"/>
      <c r="H148" s="56"/>
      <c r="I148" s="56"/>
      <c r="J148" s="56"/>
      <c r="K148" s="56"/>
      <c r="L148" s="56"/>
      <c r="M148" s="56"/>
      <c r="N148" s="56"/>
      <c r="O148" s="56"/>
    </row>
    <row r="149" ht="15.75" customHeight="1">
      <c r="A149" s="56"/>
      <c r="B149" s="56"/>
      <c r="C149" s="56"/>
      <c r="D149" s="56"/>
      <c r="E149" s="56"/>
      <c r="F149" s="56"/>
      <c r="G149" s="56"/>
      <c r="H149" s="56"/>
      <c r="I149" s="56"/>
      <c r="J149" s="56"/>
      <c r="K149" s="56"/>
      <c r="L149" s="56"/>
      <c r="M149" s="56"/>
      <c r="N149" s="56"/>
      <c r="O149" s="56"/>
    </row>
    <row r="150" ht="15.75" customHeight="1">
      <c r="A150" s="56"/>
      <c r="B150" s="56"/>
      <c r="C150" s="56"/>
      <c r="D150" s="56"/>
      <c r="E150" s="56"/>
      <c r="F150" s="56"/>
      <c r="G150" s="56"/>
      <c r="H150" s="56"/>
      <c r="I150" s="56"/>
      <c r="J150" s="56"/>
      <c r="K150" s="56"/>
      <c r="L150" s="56"/>
      <c r="M150" s="56"/>
      <c r="N150" s="56"/>
      <c r="O150" s="56"/>
    </row>
    <row r="151" ht="15.75" customHeight="1">
      <c r="A151" s="56"/>
      <c r="B151" s="56"/>
      <c r="C151" s="56"/>
      <c r="D151" s="56"/>
      <c r="E151" s="56"/>
      <c r="F151" s="56"/>
      <c r="G151" s="56"/>
      <c r="H151" s="56"/>
      <c r="I151" s="56"/>
      <c r="J151" s="56"/>
      <c r="K151" s="56"/>
      <c r="L151" s="56"/>
      <c r="M151" s="56"/>
      <c r="N151" s="56"/>
      <c r="O151" s="56"/>
    </row>
    <row r="152" ht="15.75" customHeight="1">
      <c r="A152" s="56"/>
      <c r="B152" s="56"/>
      <c r="C152" s="56"/>
      <c r="D152" s="56"/>
      <c r="E152" s="56"/>
      <c r="F152" s="56"/>
      <c r="G152" s="56"/>
      <c r="H152" s="56"/>
      <c r="I152" s="56"/>
      <c r="J152" s="56"/>
      <c r="K152" s="56"/>
      <c r="L152" s="56"/>
      <c r="M152" s="56"/>
      <c r="N152" s="56"/>
      <c r="O152" s="56"/>
    </row>
    <row r="153" ht="15.75" customHeight="1">
      <c r="A153" s="56"/>
      <c r="B153" s="56"/>
      <c r="C153" s="56"/>
      <c r="D153" s="56"/>
      <c r="E153" s="56"/>
      <c r="F153" s="56"/>
      <c r="G153" s="56"/>
      <c r="H153" s="56"/>
      <c r="I153" s="56"/>
      <c r="J153" s="56"/>
      <c r="K153" s="56"/>
      <c r="L153" s="56"/>
      <c r="M153" s="56"/>
      <c r="N153" s="56"/>
      <c r="O153" s="56"/>
    </row>
    <row r="154" ht="15.75" customHeight="1">
      <c r="A154" s="56"/>
      <c r="B154" s="56"/>
      <c r="C154" s="56"/>
      <c r="D154" s="56"/>
      <c r="E154" s="56"/>
      <c r="F154" s="56"/>
      <c r="G154" s="56"/>
      <c r="H154" s="56"/>
      <c r="I154" s="56"/>
      <c r="J154" s="56"/>
      <c r="K154" s="56"/>
      <c r="L154" s="56"/>
      <c r="M154" s="56"/>
      <c r="N154" s="56"/>
      <c r="O154" s="56"/>
    </row>
    <row r="155" ht="15.75" customHeight="1">
      <c r="A155" s="56"/>
      <c r="B155" s="56"/>
      <c r="C155" s="56"/>
      <c r="D155" s="56"/>
      <c r="E155" s="56"/>
      <c r="F155" s="56"/>
      <c r="G155" s="56"/>
      <c r="H155" s="56"/>
      <c r="I155" s="56"/>
      <c r="J155" s="56"/>
      <c r="K155" s="56"/>
      <c r="L155" s="56"/>
      <c r="M155" s="56"/>
      <c r="N155" s="56"/>
      <c r="O155" s="56"/>
    </row>
    <row r="156" ht="15.75" customHeight="1">
      <c r="A156" s="56"/>
      <c r="B156" s="56"/>
      <c r="C156" s="56"/>
      <c r="D156" s="56"/>
      <c r="E156" s="56"/>
      <c r="F156" s="56"/>
      <c r="G156" s="56"/>
      <c r="H156" s="56"/>
      <c r="I156" s="56"/>
      <c r="J156" s="56"/>
      <c r="K156" s="56"/>
      <c r="L156" s="56"/>
      <c r="M156" s="56"/>
      <c r="N156" s="56"/>
      <c r="O156" s="56"/>
    </row>
    <row r="157" ht="15.75" customHeight="1">
      <c r="A157" s="56"/>
      <c r="B157" s="56"/>
      <c r="C157" s="56"/>
      <c r="D157" s="56"/>
      <c r="E157" s="56"/>
      <c r="F157" s="56"/>
      <c r="G157" s="56"/>
      <c r="H157" s="56"/>
      <c r="I157" s="56"/>
      <c r="J157" s="56"/>
      <c r="K157" s="56"/>
      <c r="L157" s="56"/>
      <c r="M157" s="56"/>
      <c r="N157" s="56"/>
      <c r="O157" s="56"/>
    </row>
    <row r="158" ht="15.75" customHeight="1">
      <c r="A158" s="56"/>
      <c r="B158" s="56"/>
      <c r="C158" s="56"/>
      <c r="D158" s="56"/>
      <c r="E158" s="56"/>
      <c r="F158" s="56"/>
      <c r="G158" s="56"/>
      <c r="H158" s="56"/>
      <c r="I158" s="56"/>
      <c r="J158" s="56"/>
      <c r="K158" s="56"/>
      <c r="L158" s="56"/>
      <c r="M158" s="56"/>
      <c r="N158" s="56"/>
      <c r="O158" s="56"/>
    </row>
    <row r="159" ht="15.75" customHeight="1">
      <c r="A159" s="56"/>
      <c r="B159" s="56"/>
      <c r="C159" s="56"/>
      <c r="D159" s="56"/>
      <c r="E159" s="56"/>
      <c r="F159" s="56"/>
      <c r="G159" s="56"/>
      <c r="H159" s="56"/>
      <c r="I159" s="56"/>
      <c r="J159" s="56"/>
      <c r="K159" s="56"/>
      <c r="L159" s="56"/>
      <c r="M159" s="56"/>
      <c r="N159" s="56"/>
      <c r="O159" s="56"/>
    </row>
    <row r="160" ht="15.75" customHeight="1">
      <c r="A160" s="56"/>
      <c r="B160" s="56"/>
      <c r="C160" s="56"/>
      <c r="D160" s="56"/>
      <c r="E160" s="56"/>
      <c r="F160" s="56"/>
      <c r="G160" s="56"/>
      <c r="H160" s="56"/>
      <c r="I160" s="56"/>
      <c r="J160" s="56"/>
      <c r="K160" s="56"/>
      <c r="L160" s="56"/>
      <c r="M160" s="56"/>
      <c r="N160" s="56"/>
      <c r="O160" s="56"/>
    </row>
    <row r="161" ht="15.75" customHeight="1">
      <c r="A161" s="56"/>
      <c r="B161" s="56"/>
      <c r="C161" s="56"/>
      <c r="D161" s="56"/>
      <c r="E161" s="56"/>
      <c r="F161" s="56"/>
      <c r="G161" s="56"/>
      <c r="H161" s="56"/>
      <c r="I161" s="56"/>
      <c r="J161" s="56"/>
      <c r="K161" s="56"/>
      <c r="L161" s="56"/>
      <c r="M161" s="56"/>
      <c r="N161" s="56"/>
      <c r="O161" s="56"/>
    </row>
    <row r="162" ht="15.75" customHeight="1">
      <c r="A162" s="56"/>
      <c r="B162" s="56"/>
      <c r="C162" s="56"/>
      <c r="D162" s="56"/>
      <c r="E162" s="56"/>
      <c r="F162" s="56"/>
      <c r="G162" s="56"/>
      <c r="H162" s="56"/>
      <c r="I162" s="56"/>
      <c r="J162" s="56"/>
      <c r="K162" s="56"/>
      <c r="L162" s="56"/>
      <c r="M162" s="56"/>
      <c r="N162" s="56"/>
      <c r="O162" s="56"/>
    </row>
    <row r="163" ht="15.75" customHeight="1">
      <c r="A163" s="56"/>
      <c r="B163" s="56"/>
      <c r="C163" s="56"/>
      <c r="D163" s="56"/>
      <c r="E163" s="56"/>
      <c r="F163" s="56"/>
      <c r="G163" s="56"/>
      <c r="H163" s="56"/>
      <c r="I163" s="56"/>
      <c r="J163" s="56"/>
      <c r="K163" s="56"/>
      <c r="L163" s="56"/>
      <c r="M163" s="56"/>
      <c r="N163" s="56"/>
      <c r="O163" s="56"/>
    </row>
    <row r="164" ht="15.75" customHeight="1">
      <c r="A164" s="56"/>
      <c r="B164" s="56"/>
      <c r="C164" s="56"/>
      <c r="D164" s="56"/>
      <c r="E164" s="56"/>
      <c r="F164" s="56"/>
      <c r="G164" s="56"/>
      <c r="H164" s="56"/>
      <c r="I164" s="56"/>
      <c r="J164" s="56"/>
      <c r="K164" s="56"/>
      <c r="L164" s="56"/>
      <c r="M164" s="56"/>
      <c r="N164" s="56"/>
      <c r="O164" s="56"/>
    </row>
    <row r="165" ht="15.75" customHeight="1">
      <c r="A165" s="56"/>
      <c r="B165" s="56"/>
      <c r="C165" s="56"/>
      <c r="D165" s="56"/>
      <c r="E165" s="56"/>
      <c r="F165" s="56"/>
      <c r="G165" s="56"/>
      <c r="H165" s="56"/>
      <c r="I165" s="56"/>
      <c r="J165" s="56"/>
      <c r="K165" s="56"/>
      <c r="L165" s="56"/>
      <c r="M165" s="56"/>
      <c r="N165" s="56"/>
      <c r="O165" s="56"/>
    </row>
    <row r="166" ht="15.75" customHeight="1">
      <c r="A166" s="56"/>
      <c r="B166" s="56"/>
      <c r="C166" s="56"/>
      <c r="D166" s="56"/>
      <c r="E166" s="56"/>
      <c r="F166" s="56"/>
      <c r="G166" s="56"/>
      <c r="H166" s="56"/>
      <c r="I166" s="56"/>
      <c r="J166" s="56"/>
      <c r="K166" s="56"/>
      <c r="L166" s="56"/>
      <c r="M166" s="56"/>
      <c r="N166" s="56"/>
      <c r="O166" s="56"/>
    </row>
    <row r="167" ht="15.75" customHeight="1">
      <c r="A167" s="56"/>
      <c r="B167" s="56"/>
      <c r="C167" s="56"/>
      <c r="D167" s="56"/>
      <c r="E167" s="56"/>
      <c r="F167" s="56"/>
      <c r="G167" s="56"/>
      <c r="H167" s="56"/>
      <c r="I167" s="56"/>
      <c r="J167" s="56"/>
      <c r="K167" s="56"/>
      <c r="L167" s="56"/>
      <c r="M167" s="56"/>
      <c r="N167" s="56"/>
      <c r="O167" s="56"/>
    </row>
    <row r="168" ht="15.75" customHeight="1">
      <c r="A168" s="56"/>
      <c r="B168" s="56"/>
      <c r="C168" s="56"/>
      <c r="D168" s="56"/>
      <c r="E168" s="56"/>
      <c r="F168" s="56"/>
      <c r="G168" s="56"/>
      <c r="H168" s="56"/>
      <c r="I168" s="56"/>
      <c r="J168" s="56"/>
      <c r="K168" s="56"/>
      <c r="L168" s="56"/>
      <c r="M168" s="56"/>
      <c r="N168" s="56"/>
      <c r="O168" s="56"/>
    </row>
    <row r="169" ht="15.75" customHeight="1">
      <c r="A169" s="56"/>
      <c r="B169" s="56"/>
      <c r="C169" s="56"/>
      <c r="D169" s="56"/>
      <c r="E169" s="56"/>
      <c r="F169" s="56"/>
      <c r="G169" s="56"/>
      <c r="H169" s="56"/>
      <c r="I169" s="56"/>
      <c r="J169" s="56"/>
      <c r="K169" s="56"/>
      <c r="L169" s="56"/>
      <c r="M169" s="56"/>
      <c r="N169" s="56"/>
      <c r="O169" s="56"/>
    </row>
    <row r="170" ht="15.75" customHeight="1">
      <c r="A170" s="56"/>
      <c r="B170" s="56"/>
      <c r="C170" s="56"/>
      <c r="D170" s="56"/>
      <c r="E170" s="56"/>
      <c r="F170" s="56"/>
      <c r="G170" s="56"/>
      <c r="H170" s="56"/>
      <c r="I170" s="56"/>
      <c r="J170" s="56"/>
      <c r="K170" s="56"/>
      <c r="L170" s="56"/>
      <c r="M170" s="56"/>
      <c r="N170" s="56"/>
      <c r="O170" s="56"/>
    </row>
    <row r="171" ht="15.75" customHeight="1">
      <c r="A171" s="56"/>
      <c r="B171" s="56"/>
      <c r="C171" s="56"/>
      <c r="D171" s="56"/>
      <c r="E171" s="56"/>
      <c r="F171" s="56"/>
      <c r="G171" s="56"/>
      <c r="H171" s="56"/>
      <c r="I171" s="56"/>
      <c r="J171" s="56"/>
      <c r="K171" s="56"/>
      <c r="L171" s="56"/>
      <c r="M171" s="56"/>
      <c r="N171" s="56"/>
      <c r="O171" s="56"/>
    </row>
    <row r="172" ht="15.75" customHeight="1">
      <c r="A172" s="56"/>
      <c r="B172" s="56"/>
      <c r="C172" s="56"/>
      <c r="D172" s="56"/>
      <c r="E172" s="56"/>
      <c r="F172" s="56"/>
      <c r="G172" s="56"/>
      <c r="H172" s="56"/>
      <c r="I172" s="56"/>
      <c r="J172" s="56"/>
      <c r="K172" s="56"/>
      <c r="L172" s="56"/>
      <c r="M172" s="56"/>
      <c r="N172" s="56"/>
      <c r="O172" s="56"/>
    </row>
    <row r="173" ht="15.75" customHeight="1">
      <c r="A173" s="56"/>
      <c r="B173" s="56"/>
      <c r="C173" s="56"/>
      <c r="D173" s="56"/>
      <c r="E173" s="56"/>
      <c r="F173" s="56"/>
      <c r="G173" s="56"/>
      <c r="H173" s="56"/>
      <c r="I173" s="56"/>
      <c r="J173" s="56"/>
      <c r="K173" s="56"/>
      <c r="L173" s="56"/>
      <c r="M173" s="56"/>
      <c r="N173" s="56"/>
      <c r="O173" s="56"/>
    </row>
    <row r="174" ht="15.75" customHeight="1">
      <c r="A174" s="56"/>
      <c r="B174" s="56"/>
      <c r="C174" s="56"/>
      <c r="D174" s="56"/>
      <c r="E174" s="56"/>
      <c r="F174" s="56"/>
      <c r="G174" s="56"/>
      <c r="H174" s="56"/>
      <c r="I174" s="56"/>
      <c r="J174" s="56"/>
      <c r="K174" s="56"/>
      <c r="L174" s="56"/>
      <c r="M174" s="56"/>
      <c r="N174" s="56"/>
      <c r="O174" s="56"/>
    </row>
    <row r="175" ht="15.75" customHeight="1">
      <c r="A175" s="56"/>
      <c r="B175" s="56"/>
      <c r="C175" s="56"/>
      <c r="D175" s="56"/>
      <c r="E175" s="56"/>
      <c r="F175" s="56"/>
      <c r="G175" s="56"/>
      <c r="H175" s="56"/>
      <c r="I175" s="56"/>
      <c r="J175" s="56"/>
      <c r="K175" s="56"/>
      <c r="L175" s="56"/>
      <c r="M175" s="56"/>
      <c r="N175" s="56"/>
      <c r="O175" s="56"/>
    </row>
    <row r="176" ht="15.75" customHeight="1">
      <c r="A176" s="56"/>
      <c r="B176" s="56"/>
      <c r="C176" s="56"/>
      <c r="D176" s="56"/>
      <c r="E176" s="56"/>
      <c r="F176" s="56"/>
      <c r="G176" s="56"/>
      <c r="H176" s="56"/>
      <c r="I176" s="56"/>
      <c r="J176" s="56"/>
      <c r="K176" s="56"/>
      <c r="L176" s="56"/>
      <c r="M176" s="56"/>
      <c r="N176" s="56"/>
      <c r="O176" s="56"/>
    </row>
    <row r="177" ht="15.75" customHeight="1">
      <c r="A177" s="56"/>
      <c r="B177" s="56"/>
      <c r="C177" s="56"/>
      <c r="D177" s="56"/>
      <c r="E177" s="56"/>
      <c r="F177" s="56"/>
      <c r="G177" s="56"/>
      <c r="H177" s="56"/>
      <c r="I177" s="56"/>
      <c r="J177" s="56"/>
      <c r="K177" s="56"/>
      <c r="L177" s="56"/>
      <c r="M177" s="56"/>
      <c r="N177" s="56"/>
      <c r="O177" s="56"/>
    </row>
    <row r="178" ht="15.75" customHeight="1">
      <c r="A178" s="56"/>
      <c r="B178" s="56"/>
      <c r="C178" s="56"/>
      <c r="D178" s="56"/>
      <c r="E178" s="56"/>
      <c r="F178" s="56"/>
      <c r="G178" s="56"/>
      <c r="H178" s="56"/>
      <c r="I178" s="56"/>
      <c r="J178" s="56"/>
      <c r="K178" s="56"/>
      <c r="L178" s="56"/>
      <c r="M178" s="56"/>
      <c r="N178" s="56"/>
      <c r="O178" s="56"/>
    </row>
    <row r="179" ht="15.75" customHeight="1">
      <c r="A179" s="56"/>
      <c r="B179" s="56"/>
      <c r="C179" s="56"/>
      <c r="D179" s="56"/>
      <c r="E179" s="56"/>
      <c r="F179" s="56"/>
      <c r="G179" s="56"/>
      <c r="H179" s="56"/>
      <c r="I179" s="56"/>
      <c r="J179" s="56"/>
      <c r="K179" s="56"/>
      <c r="L179" s="56"/>
      <c r="M179" s="56"/>
      <c r="N179" s="56"/>
      <c r="O179" s="56"/>
    </row>
    <row r="180" ht="15.75" customHeight="1">
      <c r="A180" s="56"/>
      <c r="B180" s="56"/>
      <c r="C180" s="56"/>
      <c r="D180" s="56"/>
      <c r="E180" s="56"/>
      <c r="F180" s="56"/>
      <c r="G180" s="56"/>
      <c r="H180" s="56"/>
      <c r="I180" s="56"/>
      <c r="J180" s="56"/>
      <c r="K180" s="56"/>
      <c r="L180" s="56"/>
      <c r="M180" s="56"/>
      <c r="N180" s="56"/>
      <c r="O180" s="56"/>
    </row>
    <row r="181" ht="15.75" customHeight="1">
      <c r="A181" s="56"/>
      <c r="B181" s="56"/>
      <c r="C181" s="56"/>
      <c r="D181" s="56"/>
      <c r="E181" s="56"/>
      <c r="F181" s="56"/>
      <c r="G181" s="56"/>
      <c r="H181" s="56"/>
      <c r="I181" s="56"/>
      <c r="J181" s="56"/>
      <c r="K181" s="56"/>
      <c r="L181" s="56"/>
      <c r="M181" s="56"/>
      <c r="N181" s="56"/>
      <c r="O181" s="56"/>
    </row>
    <row r="182" ht="15.75" customHeight="1">
      <c r="A182" s="56"/>
      <c r="B182" s="56"/>
      <c r="C182" s="56"/>
      <c r="D182" s="56"/>
      <c r="E182" s="56"/>
      <c r="F182" s="56"/>
      <c r="G182" s="56"/>
      <c r="H182" s="56"/>
      <c r="I182" s="56"/>
      <c r="J182" s="56"/>
      <c r="K182" s="56"/>
      <c r="L182" s="56"/>
      <c r="M182" s="56"/>
      <c r="N182" s="56"/>
      <c r="O182" s="56"/>
    </row>
    <row r="183" ht="15.75" customHeight="1">
      <c r="A183" s="56"/>
      <c r="B183" s="56"/>
      <c r="C183" s="56"/>
      <c r="D183" s="56"/>
      <c r="E183" s="56"/>
      <c r="F183" s="56"/>
      <c r="G183" s="56"/>
      <c r="H183" s="56"/>
      <c r="I183" s="56"/>
      <c r="J183" s="56"/>
      <c r="K183" s="56"/>
      <c r="L183" s="56"/>
      <c r="M183" s="56"/>
      <c r="N183" s="56"/>
      <c r="O183" s="56"/>
    </row>
    <row r="184" ht="15.75" customHeight="1">
      <c r="A184" s="56"/>
      <c r="B184" s="56"/>
      <c r="C184" s="56"/>
      <c r="D184" s="56"/>
      <c r="E184" s="56"/>
      <c r="F184" s="56"/>
      <c r="G184" s="56"/>
      <c r="H184" s="56"/>
      <c r="I184" s="56"/>
      <c r="J184" s="56"/>
      <c r="K184" s="56"/>
      <c r="L184" s="56"/>
      <c r="M184" s="56"/>
      <c r="N184" s="56"/>
      <c r="O184" s="56"/>
    </row>
    <row r="185" ht="15.75" customHeight="1">
      <c r="A185" s="56"/>
      <c r="B185" s="56"/>
      <c r="C185" s="56"/>
      <c r="D185" s="56"/>
      <c r="E185" s="56"/>
      <c r="F185" s="56"/>
      <c r="G185" s="56"/>
      <c r="H185" s="56"/>
      <c r="I185" s="56"/>
      <c r="J185" s="56"/>
      <c r="K185" s="56"/>
      <c r="L185" s="56"/>
      <c r="M185" s="56"/>
      <c r="N185" s="56"/>
      <c r="O185" s="56"/>
    </row>
    <row r="186" ht="15.75" customHeight="1">
      <c r="A186" s="56"/>
      <c r="B186" s="56"/>
      <c r="C186" s="56"/>
      <c r="D186" s="56"/>
      <c r="E186" s="56"/>
      <c r="F186" s="56"/>
      <c r="G186" s="56"/>
      <c r="H186" s="56"/>
      <c r="I186" s="56"/>
      <c r="J186" s="56"/>
      <c r="K186" s="56"/>
      <c r="L186" s="56"/>
      <c r="M186" s="56"/>
      <c r="N186" s="56"/>
      <c r="O186" s="56"/>
    </row>
    <row r="187" ht="15.75" customHeight="1">
      <c r="A187" s="56"/>
      <c r="B187" s="56"/>
      <c r="C187" s="56"/>
      <c r="D187" s="56"/>
      <c r="E187" s="56"/>
      <c r="F187" s="56"/>
      <c r="G187" s="56"/>
      <c r="H187" s="56"/>
      <c r="I187" s="56"/>
      <c r="J187" s="56"/>
      <c r="K187" s="56"/>
      <c r="L187" s="56"/>
      <c r="M187" s="56"/>
      <c r="N187" s="56"/>
      <c r="O187" s="56"/>
    </row>
    <row r="188" ht="15.75" customHeight="1">
      <c r="A188" s="56"/>
      <c r="B188" s="56"/>
      <c r="C188" s="56"/>
      <c r="D188" s="56"/>
      <c r="E188" s="56"/>
      <c r="F188" s="56"/>
      <c r="G188" s="56"/>
      <c r="H188" s="56"/>
      <c r="I188" s="56"/>
      <c r="J188" s="56"/>
      <c r="K188" s="56"/>
      <c r="L188" s="56"/>
      <c r="M188" s="56"/>
      <c r="N188" s="56"/>
      <c r="O188" s="56"/>
    </row>
    <row r="189" ht="15.75" customHeight="1">
      <c r="A189" s="56"/>
      <c r="B189" s="56"/>
      <c r="C189" s="56"/>
      <c r="D189" s="56"/>
      <c r="E189" s="56"/>
      <c r="F189" s="56"/>
      <c r="G189" s="56"/>
      <c r="H189" s="56"/>
      <c r="I189" s="56"/>
      <c r="J189" s="56"/>
      <c r="K189" s="56"/>
      <c r="L189" s="56"/>
      <c r="M189" s="56"/>
      <c r="N189" s="56"/>
      <c r="O189" s="56"/>
    </row>
    <row r="190" ht="15.75" customHeight="1">
      <c r="A190" s="56"/>
      <c r="B190" s="56"/>
      <c r="C190" s="56"/>
      <c r="D190" s="56"/>
      <c r="E190" s="56"/>
      <c r="F190" s="56"/>
      <c r="G190" s="56"/>
      <c r="H190" s="56"/>
      <c r="I190" s="56"/>
      <c r="J190" s="56"/>
      <c r="K190" s="56"/>
      <c r="L190" s="56"/>
      <c r="M190" s="56"/>
      <c r="N190" s="56"/>
      <c r="O190" s="56"/>
    </row>
    <row r="191" ht="15.75" customHeight="1">
      <c r="A191" s="56"/>
      <c r="B191" s="56"/>
      <c r="C191" s="56"/>
      <c r="D191" s="56"/>
      <c r="E191" s="56"/>
      <c r="F191" s="56"/>
      <c r="G191" s="56"/>
      <c r="H191" s="56"/>
      <c r="I191" s="56"/>
      <c r="J191" s="56"/>
      <c r="K191" s="56"/>
      <c r="L191" s="56"/>
      <c r="M191" s="56"/>
      <c r="N191" s="56"/>
      <c r="O191" s="56"/>
    </row>
    <row r="192" ht="15.75" customHeight="1">
      <c r="A192" s="56"/>
      <c r="B192" s="56"/>
      <c r="C192" s="56"/>
      <c r="D192" s="56"/>
      <c r="E192" s="56"/>
      <c r="F192" s="56"/>
      <c r="G192" s="56"/>
      <c r="H192" s="56"/>
      <c r="I192" s="56"/>
      <c r="J192" s="56"/>
      <c r="K192" s="56"/>
      <c r="L192" s="56"/>
      <c r="M192" s="56"/>
      <c r="N192" s="56"/>
      <c r="O192" s="56"/>
    </row>
    <row r="193" ht="15.75" customHeight="1">
      <c r="A193" s="56"/>
      <c r="B193" s="56"/>
      <c r="C193" s="56"/>
      <c r="D193" s="56"/>
      <c r="E193" s="56"/>
      <c r="F193" s="56"/>
      <c r="G193" s="56"/>
      <c r="H193" s="56"/>
      <c r="I193" s="56"/>
      <c r="J193" s="56"/>
      <c r="K193" s="56"/>
      <c r="L193" s="56"/>
      <c r="M193" s="56"/>
      <c r="N193" s="56"/>
      <c r="O193" s="56"/>
    </row>
    <row r="194" ht="15.75" customHeight="1">
      <c r="A194" s="56"/>
      <c r="B194" s="56"/>
      <c r="C194" s="56"/>
      <c r="D194" s="56"/>
      <c r="E194" s="56"/>
      <c r="F194" s="56"/>
      <c r="G194" s="56"/>
      <c r="H194" s="56"/>
      <c r="I194" s="56"/>
      <c r="J194" s="56"/>
      <c r="K194" s="56"/>
      <c r="L194" s="56"/>
      <c r="M194" s="56"/>
      <c r="N194" s="56"/>
      <c r="O194" s="56"/>
    </row>
    <row r="195" ht="15.75" customHeight="1">
      <c r="A195" s="56"/>
      <c r="B195" s="56"/>
      <c r="C195" s="56"/>
      <c r="D195" s="56"/>
      <c r="E195" s="56"/>
      <c r="F195" s="56"/>
      <c r="G195" s="56"/>
      <c r="H195" s="56"/>
      <c r="I195" s="56"/>
      <c r="J195" s="56"/>
      <c r="K195" s="56"/>
      <c r="L195" s="56"/>
      <c r="M195" s="56"/>
      <c r="N195" s="56"/>
      <c r="O195" s="56"/>
    </row>
    <row r="196" ht="15.75" customHeight="1">
      <c r="A196" s="56"/>
      <c r="B196" s="56"/>
      <c r="C196" s="56"/>
      <c r="D196" s="56"/>
      <c r="E196" s="56"/>
      <c r="F196" s="56"/>
      <c r="G196" s="56"/>
      <c r="H196" s="56"/>
      <c r="I196" s="56"/>
      <c r="J196" s="56"/>
      <c r="K196" s="56"/>
      <c r="L196" s="56"/>
      <c r="M196" s="56"/>
      <c r="N196" s="56"/>
      <c r="O196" s="56"/>
    </row>
    <row r="197" ht="15.75" customHeight="1">
      <c r="A197" s="56"/>
      <c r="B197" s="56"/>
      <c r="C197" s="56"/>
      <c r="D197" s="56"/>
      <c r="E197" s="56"/>
      <c r="F197" s="56"/>
      <c r="G197" s="56"/>
      <c r="H197" s="56"/>
      <c r="I197" s="56"/>
      <c r="J197" s="56"/>
      <c r="K197" s="56"/>
      <c r="L197" s="56"/>
      <c r="M197" s="56"/>
      <c r="N197" s="56"/>
      <c r="O197" s="56"/>
    </row>
    <row r="198" ht="15.75" customHeight="1">
      <c r="A198" s="56"/>
      <c r="B198" s="56"/>
      <c r="C198" s="56"/>
      <c r="D198" s="56"/>
      <c r="E198" s="56"/>
      <c r="F198" s="56"/>
      <c r="G198" s="56"/>
      <c r="H198" s="56"/>
      <c r="I198" s="56"/>
      <c r="J198" s="56"/>
      <c r="K198" s="56"/>
      <c r="L198" s="56"/>
      <c r="M198" s="56"/>
      <c r="N198" s="56"/>
      <c r="O198" s="56"/>
    </row>
    <row r="199" ht="15.75" customHeight="1">
      <c r="A199" s="56"/>
      <c r="B199" s="56"/>
      <c r="C199" s="56"/>
      <c r="D199" s="56"/>
      <c r="E199" s="56"/>
      <c r="F199" s="56"/>
      <c r="G199" s="56"/>
      <c r="H199" s="56"/>
      <c r="I199" s="56"/>
      <c r="J199" s="56"/>
      <c r="K199" s="56"/>
      <c r="L199" s="56"/>
      <c r="M199" s="56"/>
      <c r="N199" s="56"/>
      <c r="O199" s="56"/>
    </row>
    <row r="200" ht="15.75" customHeight="1">
      <c r="A200" s="56"/>
      <c r="B200" s="56"/>
      <c r="C200" s="56"/>
      <c r="D200" s="56"/>
      <c r="E200" s="56"/>
      <c r="F200" s="56"/>
      <c r="G200" s="56"/>
      <c r="H200" s="56"/>
      <c r="I200" s="56"/>
      <c r="J200" s="56"/>
      <c r="K200" s="56"/>
      <c r="L200" s="56"/>
      <c r="M200" s="56"/>
      <c r="N200" s="56"/>
      <c r="O200" s="56"/>
    </row>
    <row r="201" ht="15.75" customHeight="1">
      <c r="A201" s="56"/>
      <c r="B201" s="56"/>
      <c r="C201" s="56"/>
      <c r="D201" s="56"/>
      <c r="E201" s="56"/>
      <c r="F201" s="56"/>
      <c r="G201" s="56"/>
      <c r="H201" s="56"/>
      <c r="I201" s="56"/>
      <c r="J201" s="56"/>
      <c r="K201" s="56"/>
      <c r="L201" s="56"/>
      <c r="M201" s="56"/>
      <c r="N201" s="56"/>
      <c r="O201" s="56"/>
    </row>
    <row r="202" ht="15.75" customHeight="1">
      <c r="A202" s="56"/>
      <c r="B202" s="56"/>
      <c r="C202" s="56"/>
      <c r="D202" s="56"/>
      <c r="E202" s="56"/>
      <c r="F202" s="56"/>
      <c r="G202" s="56"/>
      <c r="H202" s="56"/>
      <c r="I202" s="56"/>
      <c r="J202" s="56"/>
      <c r="K202" s="56"/>
      <c r="L202" s="56"/>
      <c r="M202" s="56"/>
      <c r="N202" s="56"/>
      <c r="O202" s="56"/>
    </row>
    <row r="203" ht="15.75" customHeight="1">
      <c r="A203" s="56"/>
      <c r="B203" s="56"/>
      <c r="C203" s="56"/>
      <c r="D203" s="56"/>
      <c r="E203" s="56"/>
      <c r="F203" s="56"/>
      <c r="G203" s="56"/>
      <c r="H203" s="56"/>
      <c r="I203" s="56"/>
      <c r="J203" s="56"/>
      <c r="K203" s="56"/>
      <c r="L203" s="56"/>
      <c r="M203" s="56"/>
      <c r="N203" s="56"/>
      <c r="O203" s="56"/>
    </row>
    <row r="204" ht="15.75" customHeight="1">
      <c r="A204" s="56"/>
      <c r="B204" s="56"/>
      <c r="C204" s="56"/>
      <c r="D204" s="56"/>
      <c r="E204" s="56"/>
      <c r="F204" s="56"/>
      <c r="G204" s="56"/>
      <c r="H204" s="56"/>
      <c r="I204" s="56"/>
      <c r="J204" s="56"/>
      <c r="K204" s="56"/>
      <c r="L204" s="56"/>
      <c r="M204" s="56"/>
      <c r="N204" s="56"/>
      <c r="O204" s="56"/>
    </row>
    <row r="205" ht="15.75" customHeight="1">
      <c r="A205" s="56"/>
      <c r="B205" s="56"/>
      <c r="C205" s="56"/>
      <c r="D205" s="56"/>
      <c r="E205" s="56"/>
      <c r="F205" s="56"/>
      <c r="G205" s="56"/>
      <c r="H205" s="56"/>
      <c r="I205" s="56"/>
      <c r="J205" s="56"/>
      <c r="K205" s="56"/>
      <c r="L205" s="56"/>
      <c r="M205" s="56"/>
      <c r="N205" s="56"/>
      <c r="O205" s="56"/>
    </row>
    <row r="206" ht="15.75" customHeight="1">
      <c r="A206" s="56"/>
      <c r="B206" s="56"/>
      <c r="C206" s="56"/>
      <c r="D206" s="56"/>
      <c r="E206" s="56"/>
      <c r="F206" s="56"/>
      <c r="G206" s="56"/>
      <c r="H206" s="56"/>
      <c r="I206" s="56"/>
      <c r="J206" s="56"/>
      <c r="K206" s="56"/>
      <c r="L206" s="56"/>
      <c r="M206" s="56"/>
      <c r="N206" s="56"/>
      <c r="O206" s="56"/>
    </row>
    <row r="207" ht="15.75" customHeight="1">
      <c r="A207" s="56"/>
      <c r="B207" s="56"/>
      <c r="C207" s="56"/>
      <c r="D207" s="56"/>
      <c r="E207" s="56"/>
      <c r="F207" s="56"/>
      <c r="G207" s="56"/>
      <c r="H207" s="56"/>
      <c r="I207" s="56"/>
      <c r="J207" s="56"/>
      <c r="K207" s="56"/>
      <c r="L207" s="56"/>
      <c r="M207" s="56"/>
      <c r="N207" s="56"/>
      <c r="O207" s="56"/>
    </row>
    <row r="208" ht="15.75" customHeight="1">
      <c r="A208" s="56"/>
      <c r="B208" s="56"/>
      <c r="C208" s="56"/>
      <c r="D208" s="56"/>
      <c r="E208" s="56"/>
      <c r="F208" s="56"/>
      <c r="G208" s="56"/>
      <c r="H208" s="56"/>
      <c r="I208" s="56"/>
      <c r="J208" s="56"/>
      <c r="K208" s="56"/>
      <c r="L208" s="56"/>
      <c r="M208" s="56"/>
      <c r="N208" s="56"/>
      <c r="O208" s="56"/>
    </row>
    <row r="209" ht="15.75" customHeight="1">
      <c r="A209" s="56"/>
      <c r="B209" s="56"/>
      <c r="C209" s="56"/>
      <c r="D209" s="56"/>
      <c r="E209" s="56"/>
      <c r="F209" s="56"/>
      <c r="G209" s="56"/>
      <c r="H209" s="56"/>
      <c r="I209" s="56"/>
      <c r="J209" s="56"/>
      <c r="K209" s="56"/>
      <c r="L209" s="56"/>
      <c r="M209" s="56"/>
      <c r="N209" s="56"/>
      <c r="O209" s="56"/>
    </row>
    <row r="210" ht="15.75" customHeight="1">
      <c r="A210" s="56"/>
      <c r="B210" s="56"/>
      <c r="C210" s="56"/>
      <c r="D210" s="56"/>
      <c r="E210" s="56"/>
      <c r="F210" s="56"/>
      <c r="G210" s="56"/>
      <c r="H210" s="56"/>
      <c r="I210" s="56"/>
      <c r="J210" s="56"/>
      <c r="K210" s="56"/>
      <c r="L210" s="56"/>
      <c r="M210" s="56"/>
      <c r="N210" s="56"/>
      <c r="O210" s="56"/>
    </row>
    <row r="211" ht="15.75" customHeight="1">
      <c r="A211" s="56"/>
      <c r="B211" s="56"/>
      <c r="C211" s="56"/>
      <c r="D211" s="56"/>
      <c r="E211" s="56"/>
      <c r="F211" s="56"/>
      <c r="G211" s="56"/>
      <c r="H211" s="56"/>
      <c r="I211" s="56"/>
      <c r="J211" s="56"/>
      <c r="K211" s="56"/>
      <c r="L211" s="56"/>
      <c r="M211" s="56"/>
      <c r="N211" s="56"/>
      <c r="O211" s="56"/>
    </row>
    <row r="212" ht="15.75" customHeight="1">
      <c r="A212" s="56"/>
      <c r="B212" s="56"/>
      <c r="C212" s="56"/>
      <c r="D212" s="56"/>
      <c r="E212" s="56"/>
      <c r="F212" s="56"/>
      <c r="G212" s="56"/>
      <c r="H212" s="56"/>
      <c r="I212" s="56"/>
      <c r="J212" s="56"/>
      <c r="K212" s="56"/>
      <c r="L212" s="56"/>
      <c r="M212" s="56"/>
      <c r="N212" s="56"/>
      <c r="O212" s="56"/>
    </row>
    <row r="213" ht="15.75" customHeight="1">
      <c r="A213" s="56"/>
      <c r="B213" s="56"/>
      <c r="C213" s="56"/>
      <c r="D213" s="56"/>
      <c r="E213" s="56"/>
      <c r="F213" s="56"/>
      <c r="G213" s="56"/>
      <c r="H213" s="56"/>
      <c r="I213" s="56"/>
      <c r="J213" s="56"/>
      <c r="K213" s="56"/>
      <c r="L213" s="56"/>
      <c r="M213" s="56"/>
      <c r="N213" s="56"/>
      <c r="O213" s="56"/>
    </row>
    <row r="214" ht="15.75" customHeight="1">
      <c r="A214" s="56"/>
      <c r="B214" s="56"/>
      <c r="C214" s="56"/>
      <c r="D214" s="56"/>
      <c r="E214" s="56"/>
      <c r="F214" s="56"/>
      <c r="G214" s="56"/>
      <c r="H214" s="56"/>
      <c r="I214" s="56"/>
      <c r="J214" s="56"/>
      <c r="K214" s="56"/>
      <c r="L214" s="56"/>
      <c r="M214" s="56"/>
      <c r="N214" s="56"/>
      <c r="O214" s="56"/>
    </row>
    <row r="215" ht="15.75" customHeight="1">
      <c r="A215" s="56"/>
      <c r="B215" s="56"/>
      <c r="C215" s="56"/>
      <c r="D215" s="56"/>
      <c r="E215" s="56"/>
      <c r="F215" s="56"/>
      <c r="G215" s="56"/>
      <c r="H215" s="56"/>
      <c r="I215" s="56"/>
      <c r="J215" s="56"/>
      <c r="K215" s="56"/>
      <c r="L215" s="56"/>
      <c r="M215" s="56"/>
      <c r="N215" s="56"/>
      <c r="O215" s="56"/>
    </row>
    <row r="216" ht="15.75" customHeight="1">
      <c r="A216" s="56"/>
      <c r="B216" s="56"/>
      <c r="C216" s="56"/>
      <c r="D216" s="56"/>
      <c r="E216" s="56"/>
      <c r="F216" s="56"/>
      <c r="G216" s="56"/>
      <c r="H216" s="56"/>
      <c r="I216" s="56"/>
      <c r="J216" s="56"/>
      <c r="K216" s="56"/>
      <c r="L216" s="56"/>
      <c r="M216" s="56"/>
      <c r="N216" s="56"/>
      <c r="O216" s="56"/>
    </row>
    <row r="217" ht="15.75" customHeight="1">
      <c r="A217" s="56"/>
      <c r="B217" s="56"/>
      <c r="C217" s="56"/>
      <c r="D217" s="56"/>
      <c r="E217" s="56"/>
      <c r="F217" s="56"/>
      <c r="G217" s="56"/>
      <c r="H217" s="56"/>
      <c r="I217" s="56"/>
      <c r="J217" s="56"/>
      <c r="K217" s="56"/>
      <c r="L217" s="56"/>
      <c r="M217" s="56"/>
      <c r="N217" s="56"/>
      <c r="O217" s="56"/>
    </row>
    <row r="218" ht="15.75" customHeight="1">
      <c r="A218" s="56"/>
      <c r="B218" s="56"/>
      <c r="C218" s="56"/>
      <c r="D218" s="56"/>
      <c r="E218" s="56"/>
      <c r="F218" s="56"/>
      <c r="G218" s="56"/>
      <c r="H218" s="56"/>
      <c r="I218" s="56"/>
      <c r="J218" s="56"/>
      <c r="K218" s="56"/>
      <c r="L218" s="56"/>
      <c r="M218" s="56"/>
      <c r="N218" s="56"/>
      <c r="O218" s="56"/>
    </row>
    <row r="219" ht="15.75" customHeight="1">
      <c r="A219" s="56"/>
      <c r="B219" s="56"/>
      <c r="C219" s="56"/>
      <c r="D219" s="56"/>
      <c r="E219" s="56"/>
      <c r="F219" s="56"/>
      <c r="G219" s="56"/>
      <c r="H219" s="56"/>
      <c r="I219" s="56"/>
      <c r="J219" s="56"/>
      <c r="K219" s="56"/>
      <c r="L219" s="56"/>
      <c r="M219" s="56"/>
      <c r="N219" s="56"/>
      <c r="O219" s="56"/>
    </row>
    <row r="220" ht="15.75" customHeight="1">
      <c r="A220" s="56"/>
      <c r="B220" s="56"/>
      <c r="C220" s="56"/>
      <c r="D220" s="56"/>
      <c r="E220" s="56"/>
      <c r="F220" s="56"/>
      <c r="G220" s="56"/>
      <c r="H220" s="56"/>
      <c r="I220" s="56"/>
      <c r="J220" s="56"/>
      <c r="K220" s="56"/>
      <c r="L220" s="56"/>
      <c r="M220" s="56"/>
      <c r="N220" s="56"/>
      <c r="O220" s="56"/>
    </row>
    <row r="221" ht="15.75" customHeight="1">
      <c r="A221" s="56"/>
      <c r="B221" s="56"/>
      <c r="C221" s="56"/>
      <c r="D221" s="56"/>
      <c r="E221" s="56"/>
      <c r="F221" s="56"/>
      <c r="G221" s="56"/>
      <c r="H221" s="56"/>
      <c r="I221" s="56"/>
      <c r="J221" s="56"/>
      <c r="K221" s="56"/>
      <c r="L221" s="56"/>
      <c r="M221" s="56"/>
      <c r="N221" s="56"/>
      <c r="O221" s="56"/>
    </row>
    <row r="222" ht="15.75" customHeight="1">
      <c r="A222" s="56"/>
      <c r="B222" s="56"/>
      <c r="C222" s="56"/>
      <c r="D222" s="56"/>
      <c r="E222" s="56"/>
      <c r="F222" s="56"/>
      <c r="G222" s="56"/>
      <c r="H222" s="56"/>
      <c r="I222" s="56"/>
      <c r="J222" s="56"/>
      <c r="K222" s="56"/>
      <c r="L222" s="56"/>
      <c r="M222" s="56"/>
      <c r="N222" s="56"/>
      <c r="O222" s="56"/>
    </row>
    <row r="223" ht="15.75" customHeight="1">
      <c r="A223" s="56"/>
      <c r="B223" s="56"/>
      <c r="C223" s="56"/>
      <c r="D223" s="56"/>
      <c r="E223" s="56"/>
      <c r="F223" s="56"/>
      <c r="G223" s="56"/>
      <c r="H223" s="56"/>
      <c r="I223" s="56"/>
      <c r="J223" s="56"/>
      <c r="K223" s="56"/>
      <c r="L223" s="56"/>
      <c r="M223" s="56"/>
      <c r="N223" s="56"/>
      <c r="O223" s="56"/>
    </row>
    <row r="224" ht="15.75" customHeight="1">
      <c r="A224" s="56"/>
      <c r="B224" s="56"/>
      <c r="C224" s="56"/>
      <c r="D224" s="56"/>
      <c r="E224" s="56"/>
      <c r="F224" s="56"/>
      <c r="G224" s="56"/>
      <c r="H224" s="56"/>
      <c r="I224" s="56"/>
      <c r="J224" s="56"/>
      <c r="K224" s="56"/>
      <c r="L224" s="56"/>
      <c r="M224" s="56"/>
      <c r="N224" s="56"/>
      <c r="O224" s="56"/>
    </row>
    <row r="225" ht="15.75" customHeight="1">
      <c r="A225" s="56"/>
      <c r="B225" s="56"/>
      <c r="C225" s="56"/>
      <c r="D225" s="56"/>
      <c r="E225" s="56"/>
      <c r="F225" s="56"/>
      <c r="G225" s="56"/>
      <c r="H225" s="56"/>
      <c r="I225" s="56"/>
      <c r="J225" s="56"/>
      <c r="K225" s="56"/>
      <c r="L225" s="56"/>
      <c r="M225" s="56"/>
      <c r="N225" s="56"/>
      <c r="O225" s="56"/>
    </row>
    <row r="226" ht="15.75" customHeight="1">
      <c r="A226" s="56"/>
      <c r="B226" s="56"/>
      <c r="C226" s="56"/>
      <c r="D226" s="56"/>
      <c r="E226" s="56"/>
      <c r="F226" s="56"/>
      <c r="G226" s="56"/>
      <c r="H226" s="56"/>
      <c r="I226" s="56"/>
      <c r="J226" s="56"/>
      <c r="K226" s="56"/>
      <c r="L226" s="56"/>
      <c r="M226" s="56"/>
      <c r="N226" s="56"/>
      <c r="O226" s="56"/>
    </row>
    <row r="227" ht="15.75" customHeight="1">
      <c r="A227" s="56"/>
      <c r="B227" s="56"/>
      <c r="C227" s="56"/>
      <c r="D227" s="56"/>
      <c r="E227" s="56"/>
      <c r="F227" s="56"/>
      <c r="G227" s="56"/>
      <c r="H227" s="56"/>
      <c r="I227" s="56"/>
      <c r="J227" s="56"/>
      <c r="K227" s="56"/>
      <c r="L227" s="56"/>
      <c r="M227" s="56"/>
      <c r="N227" s="56"/>
      <c r="O227" s="56"/>
    </row>
    <row r="228" ht="15.75" customHeight="1">
      <c r="A228" s="56"/>
      <c r="B228" s="56"/>
      <c r="C228" s="56"/>
      <c r="D228" s="56"/>
      <c r="E228" s="56"/>
      <c r="F228" s="56"/>
      <c r="G228" s="56"/>
      <c r="H228" s="56"/>
      <c r="I228" s="56"/>
      <c r="J228" s="56"/>
      <c r="K228" s="56"/>
      <c r="L228" s="56"/>
      <c r="M228" s="56"/>
      <c r="N228" s="56"/>
      <c r="O228" s="56"/>
    </row>
    <row r="229" ht="15.75" customHeight="1">
      <c r="A229" s="56"/>
      <c r="B229" s="56"/>
      <c r="C229" s="56"/>
      <c r="D229" s="56"/>
      <c r="E229" s="56"/>
      <c r="F229" s="56"/>
      <c r="G229" s="56"/>
      <c r="H229" s="56"/>
      <c r="I229" s="56"/>
      <c r="J229" s="56"/>
      <c r="K229" s="56"/>
      <c r="L229" s="56"/>
      <c r="M229" s="56"/>
      <c r="N229" s="56"/>
      <c r="O229" s="56"/>
    </row>
    <row r="230" ht="15.75" customHeight="1">
      <c r="A230" s="56"/>
      <c r="B230" s="56"/>
      <c r="C230" s="56"/>
      <c r="D230" s="56"/>
      <c r="E230" s="56"/>
      <c r="F230" s="56"/>
      <c r="G230" s="56"/>
      <c r="H230" s="56"/>
      <c r="I230" s="56"/>
      <c r="J230" s="56"/>
      <c r="K230" s="56"/>
      <c r="L230" s="56"/>
      <c r="M230" s="56"/>
      <c r="N230" s="56"/>
      <c r="O230" s="56"/>
    </row>
    <row r="231" ht="15.75" customHeight="1">
      <c r="A231" s="56"/>
      <c r="B231" s="56"/>
      <c r="C231" s="56"/>
      <c r="D231" s="56"/>
      <c r="E231" s="56"/>
      <c r="F231" s="56"/>
      <c r="G231" s="56"/>
      <c r="H231" s="56"/>
      <c r="I231" s="56"/>
      <c r="J231" s="56"/>
      <c r="K231" s="56"/>
      <c r="L231" s="56"/>
      <c r="M231" s="56"/>
      <c r="N231" s="56"/>
      <c r="O231" s="56"/>
    </row>
    <row r="232" ht="15.75" customHeight="1">
      <c r="A232" s="56"/>
      <c r="B232" s="56"/>
      <c r="C232" s="56"/>
      <c r="D232" s="56"/>
      <c r="E232" s="56"/>
      <c r="F232" s="56"/>
      <c r="G232" s="56"/>
      <c r="H232" s="56"/>
      <c r="I232" s="56"/>
      <c r="J232" s="56"/>
      <c r="K232" s="56"/>
      <c r="L232" s="56"/>
      <c r="M232" s="56"/>
      <c r="N232" s="56"/>
      <c r="O232" s="56"/>
    </row>
    <row r="233" ht="15.75" customHeight="1">
      <c r="A233" s="56"/>
      <c r="B233" s="56"/>
      <c r="C233" s="56"/>
      <c r="D233" s="56"/>
      <c r="E233" s="56"/>
      <c r="F233" s="56"/>
      <c r="G233" s="56"/>
      <c r="H233" s="56"/>
      <c r="I233" s="56"/>
      <c r="J233" s="56"/>
      <c r="K233" s="56"/>
      <c r="L233" s="56"/>
      <c r="M233" s="56"/>
      <c r="N233" s="56"/>
      <c r="O233" s="56"/>
    </row>
    <row r="234" ht="15.75" customHeight="1">
      <c r="A234" s="56"/>
      <c r="B234" s="56"/>
      <c r="C234" s="56"/>
      <c r="D234" s="56"/>
      <c r="E234" s="56"/>
      <c r="F234" s="56"/>
      <c r="G234" s="56"/>
      <c r="H234" s="56"/>
      <c r="I234" s="56"/>
      <c r="J234" s="56"/>
      <c r="K234" s="56"/>
      <c r="L234" s="56"/>
      <c r="M234" s="56"/>
      <c r="N234" s="56"/>
      <c r="O234" s="56"/>
    </row>
    <row r="235" ht="15.75" customHeight="1">
      <c r="A235" s="56"/>
      <c r="B235" s="56"/>
      <c r="C235" s="56"/>
      <c r="D235" s="56"/>
      <c r="E235" s="56"/>
      <c r="F235" s="56"/>
      <c r="G235" s="56"/>
      <c r="H235" s="56"/>
      <c r="I235" s="56"/>
      <c r="J235" s="56"/>
      <c r="K235" s="56"/>
      <c r="L235" s="56"/>
      <c r="M235" s="56"/>
      <c r="N235" s="56"/>
      <c r="O235" s="56"/>
    </row>
    <row r="236" ht="15.75" customHeight="1">
      <c r="A236" s="56"/>
      <c r="B236" s="56"/>
      <c r="C236" s="56"/>
      <c r="D236" s="56"/>
      <c r="E236" s="56"/>
      <c r="F236" s="56"/>
      <c r="G236" s="56"/>
      <c r="H236" s="56"/>
      <c r="I236" s="56"/>
      <c r="J236" s="56"/>
      <c r="K236" s="56"/>
      <c r="L236" s="56"/>
      <c r="M236" s="56"/>
      <c r="N236" s="56"/>
      <c r="O236" s="56"/>
    </row>
    <row r="237" ht="15.75" customHeight="1">
      <c r="A237" s="56"/>
      <c r="B237" s="56"/>
      <c r="C237" s="56"/>
      <c r="D237" s="56"/>
      <c r="E237" s="56"/>
      <c r="F237" s="56"/>
      <c r="G237" s="56"/>
      <c r="H237" s="56"/>
      <c r="I237" s="56"/>
      <c r="J237" s="56"/>
      <c r="K237" s="56"/>
      <c r="L237" s="56"/>
      <c r="M237" s="56"/>
      <c r="N237" s="56"/>
      <c r="O237" s="56"/>
    </row>
    <row r="238" ht="15.75" customHeight="1">
      <c r="A238" s="56"/>
      <c r="B238" s="56"/>
      <c r="C238" s="56"/>
      <c r="D238" s="56"/>
      <c r="E238" s="56"/>
      <c r="F238" s="56"/>
      <c r="G238" s="56"/>
      <c r="H238" s="56"/>
      <c r="I238" s="56"/>
      <c r="J238" s="56"/>
      <c r="K238" s="56"/>
      <c r="L238" s="56"/>
      <c r="M238" s="56"/>
      <c r="N238" s="56"/>
      <c r="O238" s="56"/>
    </row>
    <row r="239" ht="15.75" customHeight="1">
      <c r="A239" s="56"/>
      <c r="B239" s="56"/>
      <c r="C239" s="56"/>
      <c r="D239" s="56"/>
      <c r="E239" s="56"/>
      <c r="F239" s="56"/>
      <c r="G239" s="56"/>
      <c r="H239" s="56"/>
      <c r="I239" s="56"/>
      <c r="J239" s="56"/>
      <c r="K239" s="56"/>
      <c r="L239" s="56"/>
      <c r="M239" s="56"/>
      <c r="N239" s="56"/>
      <c r="O239" s="56"/>
    </row>
    <row r="240" ht="15.75" customHeight="1">
      <c r="A240" s="56"/>
      <c r="B240" s="56"/>
      <c r="C240" s="56"/>
      <c r="D240" s="56"/>
      <c r="E240" s="56"/>
      <c r="F240" s="56"/>
      <c r="G240" s="56"/>
      <c r="H240" s="56"/>
      <c r="I240" s="56"/>
      <c r="J240" s="56"/>
      <c r="K240" s="56"/>
      <c r="L240" s="56"/>
      <c r="M240" s="56"/>
      <c r="N240" s="56"/>
      <c r="O240" s="56"/>
    </row>
    <row r="241" ht="15.75" customHeight="1">
      <c r="A241" s="56"/>
      <c r="B241" s="56"/>
      <c r="C241" s="56"/>
      <c r="D241" s="56"/>
      <c r="E241" s="56"/>
      <c r="F241" s="56"/>
      <c r="G241" s="56"/>
      <c r="H241" s="56"/>
      <c r="I241" s="56"/>
      <c r="J241" s="56"/>
      <c r="K241" s="56"/>
      <c r="L241" s="56"/>
      <c r="M241" s="56"/>
      <c r="N241" s="56"/>
      <c r="O241" s="56"/>
    </row>
    <row r="242" ht="15.75" customHeight="1">
      <c r="A242" s="56"/>
      <c r="B242" s="56"/>
      <c r="C242" s="56"/>
      <c r="D242" s="56"/>
      <c r="E242" s="56"/>
      <c r="F242" s="56"/>
      <c r="G242" s="56"/>
      <c r="H242" s="56"/>
      <c r="I242" s="56"/>
      <c r="J242" s="56"/>
      <c r="K242" s="56"/>
      <c r="L242" s="56"/>
      <c r="M242" s="56"/>
      <c r="N242" s="56"/>
      <c r="O242" s="56"/>
    </row>
    <row r="243" ht="15.75" customHeight="1">
      <c r="A243" s="56"/>
      <c r="B243" s="56"/>
      <c r="C243" s="56"/>
      <c r="D243" s="56"/>
      <c r="E243" s="56"/>
      <c r="F243" s="56"/>
      <c r="G243" s="56"/>
      <c r="H243" s="56"/>
      <c r="I243" s="56"/>
      <c r="J243" s="56"/>
      <c r="K243" s="56"/>
      <c r="L243" s="56"/>
      <c r="M243" s="56"/>
      <c r="N243" s="56"/>
      <c r="O243" s="56"/>
    </row>
    <row r="244" ht="15.75" customHeight="1">
      <c r="A244" s="56"/>
      <c r="B244" s="56"/>
      <c r="C244" s="56"/>
      <c r="D244" s="56"/>
      <c r="E244" s="56"/>
      <c r="F244" s="56"/>
      <c r="G244" s="56"/>
      <c r="H244" s="56"/>
      <c r="I244" s="56"/>
      <c r="J244" s="56"/>
      <c r="K244" s="56"/>
      <c r="L244" s="56"/>
      <c r="M244" s="56"/>
      <c r="N244" s="56"/>
      <c r="O244" s="56"/>
    </row>
    <row r="245" ht="15.75" customHeight="1">
      <c r="A245" s="56"/>
      <c r="B245" s="56"/>
      <c r="C245" s="56"/>
      <c r="D245" s="56"/>
      <c r="E245" s="56"/>
      <c r="F245" s="56"/>
      <c r="G245" s="56"/>
      <c r="H245" s="56"/>
      <c r="I245" s="56"/>
      <c r="J245" s="56"/>
      <c r="K245" s="56"/>
      <c r="L245" s="56"/>
      <c r="M245" s="56"/>
      <c r="N245" s="56"/>
      <c r="O245" s="56"/>
    </row>
    <row r="246" ht="15.75" customHeight="1">
      <c r="A246" s="56"/>
      <c r="B246" s="56"/>
      <c r="C246" s="56"/>
      <c r="D246" s="56"/>
      <c r="E246" s="56"/>
      <c r="F246" s="56"/>
      <c r="G246" s="56"/>
      <c r="H246" s="56"/>
      <c r="I246" s="56"/>
      <c r="J246" s="56"/>
      <c r="K246" s="56"/>
      <c r="L246" s="56"/>
      <c r="M246" s="56"/>
      <c r="N246" s="56"/>
      <c r="O246" s="56"/>
    </row>
    <row r="247" ht="15.75" customHeight="1">
      <c r="A247" s="56"/>
      <c r="B247" s="56"/>
      <c r="C247" s="56"/>
      <c r="D247" s="56"/>
      <c r="E247" s="56"/>
      <c r="F247" s="56"/>
      <c r="G247" s="56"/>
      <c r="H247" s="56"/>
      <c r="I247" s="56"/>
      <c r="J247" s="56"/>
      <c r="K247" s="56"/>
      <c r="L247" s="56"/>
      <c r="M247" s="56"/>
      <c r="N247" s="56"/>
      <c r="O247" s="56"/>
    </row>
    <row r="248" ht="15.75" customHeight="1">
      <c r="A248" s="56"/>
      <c r="B248" s="56"/>
      <c r="C248" s="56"/>
      <c r="D248" s="56"/>
      <c r="E248" s="56"/>
      <c r="F248" s="56"/>
      <c r="G248" s="56"/>
      <c r="H248" s="56"/>
      <c r="I248" s="56"/>
      <c r="J248" s="56"/>
      <c r="K248" s="56"/>
      <c r="L248" s="56"/>
      <c r="M248" s="56"/>
      <c r="N248" s="56"/>
      <c r="O248" s="56"/>
    </row>
    <row r="249" ht="15.75" customHeight="1">
      <c r="A249" s="56"/>
      <c r="B249" s="56"/>
      <c r="C249" s="56"/>
      <c r="D249" s="56"/>
      <c r="E249" s="56"/>
      <c r="F249" s="56"/>
      <c r="G249" s="56"/>
      <c r="H249" s="56"/>
      <c r="I249" s="56"/>
      <c r="J249" s="56"/>
      <c r="K249" s="56"/>
      <c r="L249" s="56"/>
      <c r="M249" s="56"/>
      <c r="N249" s="56"/>
      <c r="O249" s="56"/>
    </row>
    <row r="250" ht="15.75" customHeight="1">
      <c r="A250" s="56"/>
      <c r="B250" s="56"/>
      <c r="C250" s="56"/>
      <c r="D250" s="56"/>
      <c r="E250" s="56"/>
      <c r="F250" s="56"/>
      <c r="G250" s="56"/>
      <c r="H250" s="56"/>
      <c r="I250" s="56"/>
      <c r="J250" s="56"/>
      <c r="K250" s="56"/>
      <c r="L250" s="56"/>
      <c r="M250" s="56"/>
      <c r="N250" s="56"/>
      <c r="O250" s="56"/>
    </row>
    <row r="251" ht="15.75" customHeight="1">
      <c r="A251" s="56"/>
      <c r="B251" s="56"/>
      <c r="C251" s="56"/>
      <c r="D251" s="56"/>
      <c r="E251" s="56"/>
      <c r="F251" s="56"/>
      <c r="G251" s="56"/>
      <c r="H251" s="56"/>
      <c r="I251" s="56"/>
      <c r="J251" s="56"/>
      <c r="K251" s="56"/>
      <c r="L251" s="56"/>
      <c r="M251" s="56"/>
      <c r="N251" s="56"/>
      <c r="O251" s="56"/>
    </row>
    <row r="252" ht="15.75" customHeight="1">
      <c r="A252" s="56"/>
      <c r="B252" s="56"/>
      <c r="C252" s="56"/>
      <c r="D252" s="56"/>
      <c r="E252" s="56"/>
      <c r="F252" s="56"/>
      <c r="G252" s="56"/>
      <c r="H252" s="56"/>
      <c r="I252" s="56"/>
      <c r="J252" s="56"/>
      <c r="K252" s="56"/>
      <c r="L252" s="56"/>
      <c r="M252" s="56"/>
      <c r="N252" s="56"/>
      <c r="O252" s="56"/>
    </row>
    <row r="253" ht="15.75" customHeight="1">
      <c r="A253" s="56"/>
      <c r="B253" s="56"/>
      <c r="C253" s="56"/>
      <c r="D253" s="56"/>
      <c r="E253" s="56"/>
      <c r="F253" s="56"/>
      <c r="G253" s="56"/>
      <c r="H253" s="56"/>
      <c r="I253" s="56"/>
      <c r="J253" s="56"/>
      <c r="K253" s="56"/>
      <c r="L253" s="56"/>
      <c r="M253" s="56"/>
      <c r="N253" s="56"/>
      <c r="O253" s="56"/>
    </row>
    <row r="254" ht="15.75" customHeight="1">
      <c r="A254" s="56"/>
      <c r="B254" s="56"/>
      <c r="C254" s="56"/>
      <c r="D254" s="56"/>
      <c r="E254" s="56"/>
      <c r="F254" s="56"/>
      <c r="G254" s="56"/>
      <c r="H254" s="56"/>
      <c r="I254" s="56"/>
      <c r="J254" s="56"/>
      <c r="K254" s="56"/>
      <c r="L254" s="56"/>
      <c r="M254" s="56"/>
      <c r="N254" s="56"/>
      <c r="O254" s="56"/>
    </row>
    <row r="255" ht="15.75" customHeight="1">
      <c r="A255" s="56"/>
      <c r="B255" s="56"/>
      <c r="C255" s="56"/>
      <c r="D255" s="56"/>
      <c r="E255" s="56"/>
      <c r="F255" s="56"/>
      <c r="G255" s="56"/>
      <c r="H255" s="56"/>
      <c r="I255" s="56"/>
      <c r="J255" s="56"/>
      <c r="K255" s="56"/>
      <c r="L255" s="56"/>
      <c r="M255" s="56"/>
      <c r="N255" s="56"/>
      <c r="O255" s="56"/>
    </row>
    <row r="256" ht="15.75" customHeight="1">
      <c r="A256" s="56"/>
      <c r="B256" s="56"/>
      <c r="C256" s="56"/>
      <c r="D256" s="56"/>
      <c r="E256" s="56"/>
      <c r="F256" s="56"/>
      <c r="G256" s="56"/>
      <c r="H256" s="56"/>
      <c r="I256" s="56"/>
      <c r="J256" s="56"/>
      <c r="K256" s="56"/>
      <c r="L256" s="56"/>
      <c r="M256" s="56"/>
      <c r="N256" s="56"/>
      <c r="O256" s="56"/>
    </row>
    <row r="257" ht="15.75" customHeight="1">
      <c r="A257" s="56"/>
      <c r="B257" s="56"/>
      <c r="C257" s="56"/>
      <c r="D257" s="56"/>
      <c r="E257" s="56"/>
      <c r="F257" s="56"/>
      <c r="G257" s="56"/>
      <c r="H257" s="56"/>
      <c r="I257" s="56"/>
      <c r="J257" s="56"/>
      <c r="K257" s="56"/>
      <c r="L257" s="56"/>
      <c r="M257" s="56"/>
      <c r="N257" s="56"/>
      <c r="O257" s="56"/>
    </row>
    <row r="258" ht="15.75" customHeight="1">
      <c r="A258" s="56"/>
      <c r="B258" s="56"/>
      <c r="C258" s="56"/>
      <c r="D258" s="56"/>
      <c r="E258" s="56"/>
      <c r="F258" s="56"/>
      <c r="G258" s="56"/>
      <c r="H258" s="56"/>
      <c r="I258" s="56"/>
      <c r="J258" s="56"/>
      <c r="K258" s="56"/>
      <c r="L258" s="56"/>
      <c r="M258" s="56"/>
      <c r="N258" s="56"/>
      <c r="O258" s="56"/>
    </row>
    <row r="259" ht="15.75" customHeight="1">
      <c r="A259" s="56"/>
      <c r="B259" s="56"/>
      <c r="C259" s="56"/>
      <c r="D259" s="56"/>
      <c r="E259" s="56"/>
      <c r="F259" s="56"/>
      <c r="G259" s="56"/>
      <c r="H259" s="56"/>
      <c r="I259" s="56"/>
      <c r="J259" s="56"/>
      <c r="K259" s="56"/>
      <c r="L259" s="56"/>
      <c r="M259" s="56"/>
      <c r="N259" s="56"/>
      <c r="O259" s="56"/>
    </row>
    <row r="260" ht="15.75" customHeight="1">
      <c r="A260" s="56"/>
      <c r="B260" s="56"/>
      <c r="C260" s="56"/>
      <c r="D260" s="56"/>
      <c r="E260" s="56"/>
      <c r="F260" s="56"/>
      <c r="G260" s="56"/>
      <c r="H260" s="56"/>
      <c r="I260" s="56"/>
      <c r="J260" s="56"/>
      <c r="K260" s="56"/>
      <c r="L260" s="56"/>
      <c r="M260" s="56"/>
      <c r="N260" s="56"/>
      <c r="O260" s="56"/>
    </row>
    <row r="261" ht="15.75" customHeight="1">
      <c r="A261" s="56"/>
      <c r="B261" s="56"/>
      <c r="C261" s="56"/>
      <c r="D261" s="56"/>
      <c r="E261" s="56"/>
      <c r="F261" s="56"/>
      <c r="G261" s="56"/>
      <c r="H261" s="56"/>
      <c r="I261" s="56"/>
      <c r="J261" s="56"/>
      <c r="K261" s="56"/>
      <c r="L261" s="56"/>
      <c r="M261" s="56"/>
      <c r="N261" s="56"/>
      <c r="O261" s="56"/>
    </row>
    <row r="262" ht="15.75" customHeight="1">
      <c r="A262" s="56"/>
      <c r="B262" s="56"/>
      <c r="C262" s="56"/>
      <c r="D262" s="56"/>
      <c r="E262" s="56"/>
      <c r="F262" s="56"/>
      <c r="G262" s="56"/>
      <c r="H262" s="56"/>
      <c r="I262" s="56"/>
      <c r="J262" s="56"/>
      <c r="K262" s="56"/>
      <c r="L262" s="56"/>
      <c r="M262" s="56"/>
      <c r="N262" s="56"/>
      <c r="O262" s="56"/>
    </row>
    <row r="263" ht="15.75" customHeight="1">
      <c r="A263" s="56"/>
      <c r="B263" s="56"/>
      <c r="C263" s="56"/>
      <c r="D263" s="56"/>
      <c r="E263" s="56"/>
      <c r="F263" s="56"/>
      <c r="G263" s="56"/>
      <c r="H263" s="56"/>
      <c r="I263" s="56"/>
      <c r="J263" s="56"/>
      <c r="K263" s="56"/>
      <c r="L263" s="56"/>
      <c r="M263" s="56"/>
      <c r="N263" s="56"/>
      <c r="O263" s="56"/>
    </row>
    <row r="264" ht="15.75" customHeight="1">
      <c r="A264" s="56"/>
      <c r="B264" s="56"/>
      <c r="C264" s="56"/>
      <c r="D264" s="56"/>
      <c r="E264" s="56"/>
      <c r="F264" s="56"/>
      <c r="G264" s="56"/>
      <c r="H264" s="56"/>
      <c r="I264" s="56"/>
      <c r="J264" s="56"/>
      <c r="K264" s="56"/>
      <c r="L264" s="56"/>
      <c r="M264" s="56"/>
      <c r="N264" s="56"/>
      <c r="O264" s="56"/>
    </row>
    <row r="265" ht="15.75" customHeight="1">
      <c r="A265" s="56"/>
      <c r="B265" s="56"/>
      <c r="C265" s="56"/>
      <c r="D265" s="56"/>
      <c r="E265" s="56"/>
      <c r="F265" s="56"/>
      <c r="G265" s="56"/>
      <c r="H265" s="56"/>
      <c r="I265" s="56"/>
      <c r="J265" s="56"/>
      <c r="K265" s="56"/>
      <c r="L265" s="56"/>
      <c r="M265" s="56"/>
      <c r="N265" s="56"/>
      <c r="O265" s="56"/>
    </row>
    <row r="266" ht="15.75" customHeight="1">
      <c r="A266" s="56"/>
      <c r="B266" s="56"/>
      <c r="C266" s="56"/>
      <c r="D266" s="56"/>
      <c r="E266" s="56"/>
      <c r="F266" s="56"/>
      <c r="G266" s="56"/>
      <c r="H266" s="56"/>
      <c r="I266" s="56"/>
      <c r="J266" s="56"/>
      <c r="K266" s="56"/>
      <c r="L266" s="56"/>
      <c r="M266" s="56"/>
      <c r="N266" s="56"/>
      <c r="O266" s="56"/>
    </row>
    <row r="267" ht="15.75" customHeight="1">
      <c r="A267" s="56"/>
      <c r="B267" s="56"/>
      <c r="C267" s="56"/>
      <c r="D267" s="56"/>
      <c r="E267" s="56"/>
      <c r="F267" s="56"/>
      <c r="G267" s="56"/>
      <c r="H267" s="56"/>
      <c r="I267" s="56"/>
      <c r="J267" s="56"/>
      <c r="K267" s="56"/>
      <c r="L267" s="56"/>
      <c r="M267" s="56"/>
      <c r="N267" s="56"/>
      <c r="O267" s="56"/>
    </row>
    <row r="268" ht="15.75" customHeight="1">
      <c r="A268" s="56"/>
      <c r="B268" s="56"/>
      <c r="C268" s="56"/>
      <c r="D268" s="56"/>
      <c r="E268" s="56"/>
      <c r="F268" s="56"/>
      <c r="G268" s="56"/>
      <c r="H268" s="56"/>
      <c r="I268" s="56"/>
      <c r="J268" s="56"/>
      <c r="K268" s="56"/>
      <c r="L268" s="56"/>
      <c r="M268" s="56"/>
      <c r="N268" s="56"/>
      <c r="O268" s="56"/>
    </row>
    <row r="269" ht="15.75" customHeight="1">
      <c r="A269" s="56"/>
      <c r="B269" s="56"/>
      <c r="C269" s="56"/>
      <c r="D269" s="56"/>
      <c r="E269" s="56"/>
      <c r="F269" s="56"/>
      <c r="G269" s="56"/>
      <c r="H269" s="56"/>
      <c r="I269" s="56"/>
      <c r="J269" s="56"/>
      <c r="K269" s="56"/>
      <c r="L269" s="56"/>
      <c r="M269" s="56"/>
      <c r="N269" s="56"/>
      <c r="O269" s="56"/>
    </row>
    <row r="270" ht="15.75" customHeight="1">
      <c r="A270" s="56"/>
      <c r="B270" s="56"/>
      <c r="C270" s="56"/>
      <c r="D270" s="56"/>
      <c r="E270" s="56"/>
      <c r="F270" s="56"/>
      <c r="G270" s="56"/>
      <c r="H270" s="56"/>
      <c r="I270" s="56"/>
      <c r="J270" s="56"/>
      <c r="K270" s="56"/>
      <c r="L270" s="56"/>
      <c r="M270" s="56"/>
      <c r="N270" s="56"/>
      <c r="O270" s="56"/>
    </row>
    <row r="271" ht="15.75" customHeight="1">
      <c r="A271" s="56"/>
      <c r="B271" s="56"/>
      <c r="C271" s="56"/>
      <c r="D271" s="56"/>
      <c r="E271" s="56"/>
      <c r="F271" s="56"/>
      <c r="G271" s="56"/>
      <c r="H271" s="56"/>
      <c r="I271" s="56"/>
      <c r="J271" s="56"/>
      <c r="K271" s="56"/>
      <c r="L271" s="56"/>
      <c r="M271" s="56"/>
      <c r="N271" s="56"/>
      <c r="O271" s="56"/>
    </row>
    <row r="272" ht="15.75" customHeight="1">
      <c r="A272" s="56"/>
      <c r="B272" s="56"/>
      <c r="C272" s="56"/>
      <c r="D272" s="56"/>
      <c r="E272" s="56"/>
      <c r="F272" s="56"/>
      <c r="G272" s="56"/>
      <c r="H272" s="56"/>
      <c r="I272" s="56"/>
      <c r="J272" s="56"/>
      <c r="K272" s="56"/>
      <c r="L272" s="56"/>
      <c r="M272" s="56"/>
      <c r="N272" s="56"/>
      <c r="O272" s="56"/>
    </row>
    <row r="273" ht="15.75" customHeight="1">
      <c r="A273" s="56"/>
      <c r="B273" s="56"/>
      <c r="C273" s="56"/>
      <c r="D273" s="56"/>
      <c r="E273" s="56"/>
      <c r="F273" s="56"/>
      <c r="G273" s="56"/>
      <c r="H273" s="56"/>
      <c r="I273" s="56"/>
      <c r="J273" s="56"/>
      <c r="K273" s="56"/>
      <c r="L273" s="56"/>
      <c r="M273" s="56"/>
      <c r="N273" s="56"/>
      <c r="O273" s="56"/>
    </row>
    <row r="274" ht="15.75" customHeight="1">
      <c r="A274" s="56"/>
      <c r="B274" s="56"/>
      <c r="C274" s="56"/>
      <c r="D274" s="56"/>
      <c r="E274" s="56"/>
      <c r="F274" s="56"/>
      <c r="G274" s="56"/>
      <c r="H274" s="56"/>
      <c r="I274" s="56"/>
      <c r="J274" s="56"/>
      <c r="K274" s="56"/>
      <c r="L274" s="56"/>
      <c r="M274" s="56"/>
      <c r="N274" s="56"/>
      <c r="O274" s="56"/>
    </row>
    <row r="275" ht="15.75" customHeight="1">
      <c r="A275" s="56"/>
      <c r="B275" s="56"/>
      <c r="C275" s="56"/>
      <c r="D275" s="56"/>
      <c r="E275" s="56"/>
      <c r="F275" s="56"/>
      <c r="G275" s="56"/>
      <c r="H275" s="56"/>
      <c r="I275" s="56"/>
      <c r="J275" s="56"/>
      <c r="K275" s="56"/>
      <c r="L275" s="56"/>
      <c r="M275" s="56"/>
      <c r="N275" s="56"/>
      <c r="O275" s="56"/>
    </row>
    <row r="276" ht="15.75" customHeight="1">
      <c r="A276" s="56"/>
      <c r="B276" s="56"/>
      <c r="C276" s="56"/>
      <c r="D276" s="56"/>
      <c r="E276" s="56"/>
      <c r="F276" s="56"/>
      <c r="G276" s="56"/>
      <c r="H276" s="56"/>
      <c r="I276" s="56"/>
      <c r="J276" s="56"/>
      <c r="K276" s="56"/>
      <c r="L276" s="56"/>
      <c r="M276" s="56"/>
      <c r="N276" s="56"/>
      <c r="O276" s="56"/>
    </row>
    <row r="277" ht="15.75" customHeight="1">
      <c r="A277" s="56"/>
      <c r="B277" s="56"/>
      <c r="C277" s="56"/>
      <c r="D277" s="56"/>
      <c r="E277" s="56"/>
      <c r="F277" s="56"/>
      <c r="G277" s="56"/>
      <c r="H277" s="56"/>
      <c r="I277" s="56"/>
      <c r="J277" s="56"/>
      <c r="K277" s="56"/>
      <c r="L277" s="56"/>
      <c r="M277" s="56"/>
      <c r="N277" s="56"/>
      <c r="O277" s="56"/>
    </row>
    <row r="278" ht="15.75" customHeight="1">
      <c r="A278" s="56"/>
      <c r="B278" s="56"/>
      <c r="C278" s="56"/>
      <c r="D278" s="56"/>
      <c r="E278" s="56"/>
      <c r="F278" s="56"/>
      <c r="G278" s="56"/>
      <c r="H278" s="56"/>
      <c r="I278" s="56"/>
      <c r="J278" s="56"/>
      <c r="K278" s="56"/>
      <c r="L278" s="56"/>
      <c r="M278" s="56"/>
      <c r="N278" s="56"/>
      <c r="O278" s="56"/>
    </row>
    <row r="279" ht="15.75" customHeight="1">
      <c r="A279" s="56"/>
      <c r="B279" s="56"/>
      <c r="C279" s="56"/>
      <c r="D279" s="56"/>
      <c r="E279" s="56"/>
      <c r="F279" s="56"/>
      <c r="G279" s="56"/>
      <c r="H279" s="56"/>
      <c r="I279" s="56"/>
      <c r="J279" s="56"/>
      <c r="K279" s="56"/>
      <c r="L279" s="56"/>
      <c r="M279" s="56"/>
      <c r="N279" s="56"/>
      <c r="O279" s="56"/>
    </row>
    <row r="280" ht="15.75" customHeight="1">
      <c r="A280" s="56"/>
      <c r="B280" s="56"/>
      <c r="C280" s="56"/>
      <c r="D280" s="56"/>
      <c r="E280" s="56"/>
      <c r="F280" s="56"/>
      <c r="G280" s="56"/>
      <c r="H280" s="56"/>
      <c r="I280" s="56"/>
      <c r="J280" s="56"/>
      <c r="K280" s="56"/>
      <c r="L280" s="56"/>
      <c r="M280" s="56"/>
      <c r="N280" s="56"/>
      <c r="O280" s="56"/>
    </row>
    <row r="281" ht="15.75" customHeight="1">
      <c r="A281" s="56"/>
      <c r="B281" s="56"/>
      <c r="C281" s="56"/>
      <c r="D281" s="56"/>
      <c r="E281" s="56"/>
      <c r="F281" s="56"/>
      <c r="G281" s="56"/>
      <c r="H281" s="56"/>
      <c r="I281" s="56"/>
      <c r="J281" s="56"/>
      <c r="K281" s="56"/>
      <c r="L281" s="56"/>
      <c r="M281" s="56"/>
      <c r="N281" s="56"/>
      <c r="O281" s="56"/>
    </row>
    <row r="282" ht="15.75" customHeight="1">
      <c r="A282" s="56"/>
      <c r="B282" s="56"/>
      <c r="C282" s="56"/>
      <c r="D282" s="56"/>
      <c r="E282" s="56"/>
      <c r="F282" s="56"/>
      <c r="G282" s="56"/>
      <c r="H282" s="56"/>
      <c r="I282" s="56"/>
      <c r="J282" s="56"/>
      <c r="K282" s="56"/>
      <c r="L282" s="56"/>
      <c r="M282" s="56"/>
      <c r="N282" s="56"/>
      <c r="O282" s="56"/>
    </row>
    <row r="283" ht="15.75" customHeight="1">
      <c r="A283" s="56"/>
      <c r="B283" s="56"/>
      <c r="C283" s="56"/>
      <c r="D283" s="56"/>
      <c r="E283" s="56"/>
      <c r="F283" s="56"/>
      <c r="G283" s="56"/>
      <c r="H283" s="56"/>
      <c r="I283" s="56"/>
      <c r="J283" s="56"/>
      <c r="K283" s="56"/>
      <c r="L283" s="56"/>
      <c r="M283" s="56"/>
      <c r="N283" s="56"/>
      <c r="O283" s="56"/>
    </row>
    <row r="284" ht="15.75" customHeight="1">
      <c r="A284" s="56"/>
      <c r="B284" s="56"/>
      <c r="C284" s="56"/>
      <c r="D284" s="56"/>
      <c r="E284" s="56"/>
      <c r="F284" s="56"/>
      <c r="G284" s="56"/>
      <c r="H284" s="56"/>
      <c r="I284" s="56"/>
      <c r="J284" s="56"/>
      <c r="K284" s="56"/>
      <c r="L284" s="56"/>
      <c r="M284" s="56"/>
      <c r="N284" s="56"/>
      <c r="O284" s="56"/>
    </row>
    <row r="285" ht="15.75" customHeight="1">
      <c r="A285" s="56"/>
      <c r="B285" s="56"/>
      <c r="C285" s="56"/>
      <c r="D285" s="56"/>
      <c r="E285" s="56"/>
      <c r="F285" s="56"/>
      <c r="G285" s="56"/>
      <c r="H285" s="56"/>
      <c r="I285" s="56"/>
      <c r="J285" s="56"/>
      <c r="K285" s="56"/>
      <c r="L285" s="56"/>
      <c r="M285" s="56"/>
      <c r="N285" s="56"/>
      <c r="O285" s="56"/>
    </row>
    <row r="286" ht="15.75" customHeight="1">
      <c r="A286" s="56"/>
      <c r="B286" s="56"/>
      <c r="C286" s="56"/>
      <c r="D286" s="56"/>
      <c r="E286" s="56"/>
      <c r="F286" s="56"/>
      <c r="G286" s="56"/>
      <c r="H286" s="56"/>
      <c r="I286" s="56"/>
      <c r="J286" s="56"/>
      <c r="K286" s="56"/>
      <c r="L286" s="56"/>
      <c r="M286" s="56"/>
      <c r="N286" s="56"/>
      <c r="O286" s="56"/>
    </row>
    <row r="287" ht="15.75" customHeight="1">
      <c r="A287" s="56"/>
      <c r="B287" s="56"/>
      <c r="C287" s="56"/>
      <c r="D287" s="56"/>
      <c r="E287" s="56"/>
      <c r="F287" s="56"/>
      <c r="G287" s="56"/>
      <c r="H287" s="56"/>
      <c r="I287" s="56"/>
      <c r="J287" s="56"/>
      <c r="K287" s="56"/>
      <c r="L287" s="56"/>
      <c r="M287" s="56"/>
      <c r="N287" s="56"/>
      <c r="O287" s="56"/>
    </row>
    <row r="288" ht="15.75" customHeight="1">
      <c r="A288" s="56"/>
      <c r="B288" s="56"/>
      <c r="C288" s="56"/>
      <c r="D288" s="56"/>
      <c r="E288" s="56"/>
      <c r="F288" s="56"/>
      <c r="G288" s="56"/>
      <c r="H288" s="56"/>
      <c r="I288" s="56"/>
      <c r="J288" s="56"/>
      <c r="K288" s="56"/>
      <c r="L288" s="56"/>
      <c r="M288" s="56"/>
      <c r="N288" s="56"/>
      <c r="O288" s="56"/>
    </row>
    <row r="289" ht="15.75" customHeight="1">
      <c r="A289" s="56"/>
      <c r="B289" s="56"/>
      <c r="C289" s="56"/>
      <c r="D289" s="56"/>
      <c r="E289" s="56"/>
      <c r="F289" s="56"/>
      <c r="G289" s="56"/>
      <c r="H289" s="56"/>
      <c r="I289" s="56"/>
      <c r="J289" s="56"/>
      <c r="K289" s="56"/>
      <c r="L289" s="56"/>
      <c r="M289" s="56"/>
      <c r="N289" s="56"/>
      <c r="O289" s="56"/>
    </row>
    <row r="290" ht="15.75" customHeight="1">
      <c r="A290" s="56"/>
      <c r="B290" s="56"/>
      <c r="C290" s="56"/>
      <c r="D290" s="56"/>
      <c r="E290" s="56"/>
      <c r="F290" s="56"/>
      <c r="G290" s="56"/>
      <c r="H290" s="56"/>
      <c r="I290" s="56"/>
      <c r="J290" s="56"/>
      <c r="K290" s="56"/>
      <c r="L290" s="56"/>
      <c r="M290" s="56"/>
      <c r="N290" s="56"/>
      <c r="O290" s="56"/>
    </row>
    <row r="291" ht="15.75" customHeight="1">
      <c r="A291" s="56"/>
      <c r="B291" s="56"/>
      <c r="C291" s="56"/>
      <c r="D291" s="56"/>
      <c r="E291" s="56"/>
      <c r="F291" s="56"/>
      <c r="G291" s="56"/>
      <c r="H291" s="56"/>
      <c r="I291" s="56"/>
      <c r="J291" s="56"/>
      <c r="K291" s="56"/>
      <c r="L291" s="56"/>
      <c r="M291" s="56"/>
      <c r="N291" s="56"/>
      <c r="O291" s="56"/>
    </row>
    <row r="292" ht="15.75" customHeight="1">
      <c r="A292" s="56"/>
      <c r="B292" s="56"/>
      <c r="C292" s="56"/>
      <c r="D292" s="56"/>
      <c r="E292" s="56"/>
      <c r="F292" s="56"/>
      <c r="G292" s="56"/>
      <c r="H292" s="56"/>
      <c r="I292" s="56"/>
      <c r="J292" s="56"/>
      <c r="K292" s="56"/>
      <c r="L292" s="56"/>
      <c r="M292" s="56"/>
      <c r="N292" s="56"/>
      <c r="O292" s="56"/>
    </row>
    <row r="293" ht="15.75" customHeight="1">
      <c r="A293" s="56"/>
      <c r="B293" s="56"/>
      <c r="C293" s="56"/>
      <c r="D293" s="56"/>
      <c r="E293" s="56"/>
      <c r="F293" s="56"/>
      <c r="G293" s="56"/>
      <c r="H293" s="56"/>
      <c r="I293" s="56"/>
      <c r="J293" s="56"/>
      <c r="K293" s="56"/>
      <c r="L293" s="56"/>
      <c r="M293" s="56"/>
      <c r="N293" s="56"/>
      <c r="O293" s="56"/>
    </row>
    <row r="294" ht="15.75" customHeight="1">
      <c r="A294" s="56"/>
      <c r="B294" s="56"/>
      <c r="C294" s="56"/>
      <c r="D294" s="56"/>
      <c r="E294" s="56"/>
      <c r="F294" s="56"/>
      <c r="G294" s="56"/>
      <c r="H294" s="56"/>
      <c r="I294" s="56"/>
      <c r="J294" s="56"/>
      <c r="K294" s="56"/>
      <c r="L294" s="56"/>
      <c r="M294" s="56"/>
      <c r="N294" s="56"/>
      <c r="O294" s="56"/>
    </row>
    <row r="295" ht="15.75" customHeight="1">
      <c r="A295" s="56"/>
      <c r="B295" s="56"/>
      <c r="C295" s="56"/>
      <c r="D295" s="56"/>
      <c r="E295" s="56"/>
      <c r="F295" s="56"/>
      <c r="G295" s="56"/>
      <c r="H295" s="56"/>
      <c r="I295" s="56"/>
      <c r="J295" s="56"/>
      <c r="K295" s="56"/>
      <c r="L295" s="56"/>
      <c r="M295" s="56"/>
      <c r="N295" s="56"/>
      <c r="O295" s="56"/>
    </row>
    <row r="296" ht="15.75" customHeight="1">
      <c r="A296" s="56"/>
      <c r="B296" s="56"/>
      <c r="C296" s="56"/>
      <c r="D296" s="56"/>
      <c r="E296" s="56"/>
      <c r="F296" s="56"/>
      <c r="G296" s="56"/>
      <c r="H296" s="56"/>
      <c r="I296" s="56"/>
      <c r="J296" s="56"/>
      <c r="K296" s="56"/>
      <c r="L296" s="56"/>
      <c r="M296" s="56"/>
      <c r="N296" s="56"/>
      <c r="O296" s="56"/>
    </row>
    <row r="297" ht="15.75" customHeight="1">
      <c r="A297" s="56"/>
      <c r="B297" s="56"/>
      <c r="C297" s="56"/>
      <c r="D297" s="56"/>
      <c r="E297" s="56"/>
      <c r="F297" s="56"/>
      <c r="G297" s="56"/>
      <c r="H297" s="56"/>
      <c r="I297" s="56"/>
      <c r="J297" s="56"/>
      <c r="K297" s="56"/>
      <c r="L297" s="56"/>
      <c r="M297" s="56"/>
      <c r="N297" s="56"/>
      <c r="O297" s="56"/>
    </row>
    <row r="298" ht="15.75" customHeight="1">
      <c r="A298" s="56"/>
      <c r="B298" s="56"/>
      <c r="C298" s="56"/>
      <c r="D298" s="56"/>
      <c r="E298" s="56"/>
      <c r="F298" s="56"/>
      <c r="G298" s="56"/>
      <c r="H298" s="56"/>
      <c r="I298" s="56"/>
      <c r="J298" s="56"/>
      <c r="K298" s="56"/>
      <c r="L298" s="56"/>
      <c r="M298" s="56"/>
      <c r="N298" s="56"/>
      <c r="O298" s="56"/>
    </row>
    <row r="299" ht="15.75" customHeight="1">
      <c r="A299" s="56"/>
      <c r="B299" s="56"/>
      <c r="C299" s="56"/>
      <c r="D299" s="56"/>
      <c r="E299" s="56"/>
      <c r="F299" s="56"/>
      <c r="G299" s="56"/>
      <c r="H299" s="56"/>
      <c r="I299" s="56"/>
      <c r="J299" s="56"/>
      <c r="K299" s="56"/>
      <c r="L299" s="56"/>
      <c r="M299" s="56"/>
      <c r="N299" s="56"/>
      <c r="O299" s="56"/>
    </row>
    <row r="300" ht="15.75" customHeight="1">
      <c r="A300" s="56"/>
      <c r="B300" s="56"/>
      <c r="C300" s="56"/>
      <c r="D300" s="56"/>
      <c r="E300" s="56"/>
      <c r="F300" s="56"/>
      <c r="G300" s="56"/>
      <c r="H300" s="56"/>
      <c r="I300" s="56"/>
      <c r="J300" s="56"/>
      <c r="K300" s="56"/>
      <c r="L300" s="56"/>
      <c r="M300" s="56"/>
      <c r="N300" s="56"/>
      <c r="O300" s="56"/>
    </row>
    <row r="301" ht="15.75" customHeight="1">
      <c r="A301" s="56"/>
      <c r="B301" s="56"/>
      <c r="C301" s="56"/>
      <c r="D301" s="56"/>
      <c r="E301" s="56"/>
      <c r="F301" s="56"/>
      <c r="G301" s="56"/>
      <c r="H301" s="56"/>
      <c r="I301" s="56"/>
      <c r="J301" s="56"/>
      <c r="K301" s="56"/>
      <c r="L301" s="56"/>
      <c r="M301" s="56"/>
      <c r="N301" s="56"/>
      <c r="O301" s="56"/>
    </row>
    <row r="302" ht="15.75" customHeight="1">
      <c r="A302" s="56"/>
      <c r="B302" s="56"/>
      <c r="C302" s="56"/>
      <c r="D302" s="56"/>
      <c r="E302" s="56"/>
      <c r="F302" s="56"/>
      <c r="G302" s="56"/>
      <c r="H302" s="56"/>
      <c r="I302" s="56"/>
      <c r="J302" s="56"/>
      <c r="K302" s="56"/>
      <c r="L302" s="56"/>
      <c r="M302" s="56"/>
      <c r="N302" s="56"/>
      <c r="O302" s="56"/>
    </row>
    <row r="303" ht="15.75" customHeight="1">
      <c r="A303" s="56"/>
      <c r="B303" s="56"/>
      <c r="C303" s="56"/>
      <c r="D303" s="56"/>
      <c r="E303" s="56"/>
      <c r="F303" s="56"/>
      <c r="G303" s="56"/>
      <c r="H303" s="56"/>
      <c r="I303" s="56"/>
      <c r="J303" s="56"/>
      <c r="K303" s="56"/>
      <c r="L303" s="56"/>
      <c r="M303" s="56"/>
      <c r="N303" s="56"/>
      <c r="O303" s="56"/>
    </row>
    <row r="304" ht="15.75" customHeight="1">
      <c r="A304" s="56"/>
      <c r="B304" s="56"/>
      <c r="C304" s="56"/>
      <c r="D304" s="56"/>
      <c r="E304" s="56"/>
      <c r="F304" s="56"/>
      <c r="G304" s="56"/>
      <c r="H304" s="56"/>
      <c r="I304" s="56"/>
      <c r="J304" s="56"/>
      <c r="K304" s="56"/>
      <c r="L304" s="56"/>
      <c r="M304" s="56"/>
      <c r="N304" s="56"/>
      <c r="O304" s="56"/>
    </row>
    <row r="305" ht="15.75" customHeight="1">
      <c r="A305" s="56"/>
      <c r="B305" s="56"/>
      <c r="C305" s="56"/>
      <c r="D305" s="56"/>
      <c r="E305" s="56"/>
      <c r="F305" s="56"/>
      <c r="G305" s="56"/>
      <c r="H305" s="56"/>
      <c r="I305" s="56"/>
      <c r="J305" s="56"/>
      <c r="K305" s="56"/>
      <c r="L305" s="56"/>
      <c r="M305" s="56"/>
      <c r="N305" s="56"/>
      <c r="O305" s="56"/>
    </row>
    <row r="306" ht="15.75" customHeight="1">
      <c r="A306" s="56"/>
      <c r="B306" s="56"/>
      <c r="C306" s="56"/>
      <c r="D306" s="56"/>
      <c r="E306" s="56"/>
      <c r="F306" s="56"/>
      <c r="G306" s="56"/>
      <c r="H306" s="56"/>
      <c r="I306" s="56"/>
      <c r="J306" s="56"/>
      <c r="K306" s="56"/>
      <c r="L306" s="56"/>
      <c r="M306" s="56"/>
      <c r="N306" s="56"/>
      <c r="O306" s="56"/>
    </row>
    <row r="307" ht="15.75" customHeight="1">
      <c r="A307" s="56"/>
      <c r="B307" s="56"/>
      <c r="C307" s="56"/>
      <c r="D307" s="56"/>
      <c r="E307" s="56"/>
      <c r="F307" s="56"/>
      <c r="G307" s="56"/>
      <c r="H307" s="56"/>
      <c r="I307" s="56"/>
      <c r="J307" s="56"/>
      <c r="K307" s="56"/>
      <c r="L307" s="56"/>
      <c r="M307" s="56"/>
      <c r="N307" s="56"/>
      <c r="O307" s="56"/>
    </row>
    <row r="308" ht="15.75" customHeight="1">
      <c r="A308" s="56"/>
      <c r="B308" s="56"/>
      <c r="C308" s="56"/>
      <c r="D308" s="56"/>
      <c r="E308" s="56"/>
      <c r="F308" s="56"/>
      <c r="G308" s="56"/>
      <c r="H308" s="56"/>
      <c r="I308" s="56"/>
      <c r="J308" s="56"/>
      <c r="K308" s="56"/>
      <c r="L308" s="56"/>
      <c r="M308" s="56"/>
      <c r="N308" s="56"/>
      <c r="O308" s="56"/>
    </row>
    <row r="309" ht="15.75" customHeight="1">
      <c r="A309" s="56"/>
      <c r="B309" s="56"/>
      <c r="C309" s="56"/>
      <c r="D309" s="56"/>
      <c r="E309" s="56"/>
      <c r="F309" s="56"/>
      <c r="G309" s="56"/>
      <c r="H309" s="56"/>
      <c r="I309" s="56"/>
      <c r="J309" s="56"/>
      <c r="K309" s="56"/>
      <c r="L309" s="56"/>
      <c r="M309" s="56"/>
      <c r="N309" s="56"/>
      <c r="O309" s="56"/>
    </row>
    <row r="310" ht="15.75" customHeight="1">
      <c r="A310" s="56"/>
      <c r="B310" s="56"/>
      <c r="C310" s="56"/>
      <c r="D310" s="56"/>
      <c r="E310" s="56"/>
      <c r="F310" s="56"/>
      <c r="G310" s="56"/>
      <c r="H310" s="56"/>
      <c r="I310" s="56"/>
      <c r="J310" s="56"/>
      <c r="K310" s="56"/>
      <c r="L310" s="56"/>
      <c r="M310" s="56"/>
      <c r="N310" s="56"/>
      <c r="O310" s="56"/>
    </row>
    <row r="311" ht="15.75" customHeight="1">
      <c r="A311" s="56"/>
      <c r="B311" s="56"/>
      <c r="C311" s="56"/>
      <c r="D311" s="56"/>
      <c r="E311" s="56"/>
      <c r="F311" s="56"/>
      <c r="G311" s="56"/>
      <c r="H311" s="56"/>
      <c r="I311" s="56"/>
      <c r="J311" s="56"/>
      <c r="K311" s="56"/>
      <c r="L311" s="56"/>
      <c r="M311" s="56"/>
      <c r="N311" s="56"/>
      <c r="O311" s="56"/>
    </row>
    <row r="312" ht="15.75" customHeight="1">
      <c r="A312" s="56"/>
      <c r="B312" s="56"/>
      <c r="C312" s="56"/>
      <c r="D312" s="56"/>
      <c r="E312" s="56"/>
      <c r="F312" s="56"/>
      <c r="G312" s="56"/>
      <c r="H312" s="56"/>
      <c r="I312" s="56"/>
      <c r="J312" s="56"/>
      <c r="K312" s="56"/>
      <c r="L312" s="56"/>
      <c r="M312" s="56"/>
      <c r="N312" s="56"/>
      <c r="O312" s="56"/>
    </row>
    <row r="313" ht="15.75" customHeight="1">
      <c r="A313" s="56"/>
      <c r="B313" s="56"/>
      <c r="C313" s="56"/>
      <c r="D313" s="56"/>
      <c r="E313" s="56"/>
      <c r="F313" s="56"/>
      <c r="G313" s="56"/>
      <c r="H313" s="56"/>
      <c r="I313" s="56"/>
      <c r="J313" s="56"/>
      <c r="K313" s="56"/>
      <c r="L313" s="56"/>
      <c r="M313" s="56"/>
      <c r="N313" s="56"/>
      <c r="O313" s="56"/>
    </row>
    <row r="314" ht="15.75" customHeight="1">
      <c r="A314" s="56"/>
      <c r="B314" s="56"/>
      <c r="C314" s="56"/>
      <c r="D314" s="56"/>
      <c r="E314" s="56"/>
      <c r="F314" s="56"/>
      <c r="G314" s="56"/>
      <c r="H314" s="56"/>
      <c r="I314" s="56"/>
      <c r="J314" s="56"/>
      <c r="K314" s="56"/>
      <c r="L314" s="56"/>
      <c r="M314" s="56"/>
      <c r="N314" s="56"/>
      <c r="O314" s="56"/>
    </row>
    <row r="315" ht="15.75" customHeight="1">
      <c r="A315" s="56"/>
      <c r="B315" s="56"/>
      <c r="C315" s="56"/>
      <c r="D315" s="56"/>
      <c r="E315" s="56"/>
      <c r="F315" s="56"/>
      <c r="G315" s="56"/>
      <c r="H315" s="56"/>
      <c r="I315" s="56"/>
      <c r="J315" s="56"/>
      <c r="K315" s="56"/>
      <c r="L315" s="56"/>
      <c r="M315" s="56"/>
      <c r="N315" s="56"/>
      <c r="O315" s="56"/>
    </row>
    <row r="316" ht="15.75" customHeight="1">
      <c r="A316" s="56"/>
      <c r="B316" s="56"/>
      <c r="C316" s="56"/>
      <c r="D316" s="56"/>
      <c r="E316" s="56"/>
      <c r="F316" s="56"/>
      <c r="G316" s="56"/>
      <c r="H316" s="56"/>
      <c r="I316" s="56"/>
      <c r="J316" s="56"/>
      <c r="K316" s="56"/>
      <c r="L316" s="56"/>
      <c r="M316" s="56"/>
      <c r="N316" s="56"/>
      <c r="O316" s="56"/>
    </row>
    <row r="317" ht="15.75" customHeight="1">
      <c r="A317" s="56"/>
      <c r="B317" s="56"/>
      <c r="C317" s="56"/>
      <c r="D317" s="56"/>
      <c r="E317" s="56"/>
      <c r="F317" s="56"/>
      <c r="G317" s="56"/>
      <c r="H317" s="56"/>
      <c r="I317" s="56"/>
      <c r="J317" s="56"/>
      <c r="K317" s="56"/>
      <c r="L317" s="56"/>
      <c r="M317" s="56"/>
      <c r="N317" s="56"/>
      <c r="O317" s="56"/>
    </row>
    <row r="318" ht="15.75" customHeight="1">
      <c r="A318" s="56"/>
      <c r="B318" s="56"/>
      <c r="C318" s="56"/>
      <c r="D318" s="56"/>
      <c r="E318" s="56"/>
      <c r="F318" s="56"/>
      <c r="G318" s="56"/>
      <c r="H318" s="56"/>
      <c r="I318" s="56"/>
      <c r="J318" s="56"/>
      <c r="K318" s="56"/>
      <c r="L318" s="56"/>
      <c r="M318" s="56"/>
      <c r="N318" s="56"/>
      <c r="O318" s="56"/>
    </row>
    <row r="319" ht="15.75" customHeight="1">
      <c r="A319" s="56"/>
      <c r="B319" s="56"/>
      <c r="C319" s="56"/>
      <c r="D319" s="56"/>
      <c r="E319" s="56"/>
      <c r="F319" s="56"/>
      <c r="G319" s="56"/>
      <c r="H319" s="56"/>
      <c r="I319" s="56"/>
      <c r="J319" s="56"/>
      <c r="K319" s="56"/>
      <c r="L319" s="56"/>
      <c r="M319" s="56"/>
      <c r="N319" s="56"/>
      <c r="O319" s="56"/>
    </row>
    <row r="320" ht="15.75" customHeight="1">
      <c r="A320" s="56"/>
      <c r="B320" s="56"/>
      <c r="C320" s="56"/>
      <c r="D320" s="56"/>
      <c r="E320" s="56"/>
      <c r="F320" s="56"/>
      <c r="G320" s="56"/>
      <c r="H320" s="56"/>
      <c r="I320" s="56"/>
      <c r="J320" s="56"/>
      <c r="K320" s="56"/>
      <c r="L320" s="56"/>
      <c r="M320" s="56"/>
      <c r="N320" s="56"/>
      <c r="O320" s="56"/>
    </row>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mergeCells count="47">
    <mergeCell ref="F8:F11"/>
    <mergeCell ref="G8:G11"/>
    <mergeCell ref="B8:B12"/>
    <mergeCell ref="C8:C12"/>
    <mergeCell ref="A95:B95"/>
    <mergeCell ref="E95:E96"/>
    <mergeCell ref="F95:F96"/>
    <mergeCell ref="G95:G96"/>
    <mergeCell ref="A96:C97"/>
    <mergeCell ref="C105:D105"/>
    <mergeCell ref="I105:J105"/>
    <mergeCell ref="H106:J106"/>
    <mergeCell ref="H107:J107"/>
    <mergeCell ref="B102:E102"/>
    <mergeCell ref="F102:G102"/>
    <mergeCell ref="I102:J102"/>
    <mergeCell ref="B103:B105"/>
    <mergeCell ref="C103:D103"/>
    <mergeCell ref="F103:G105"/>
    <mergeCell ref="C104:D104"/>
    <mergeCell ref="D8:D11"/>
    <mergeCell ref="E8:E11"/>
    <mergeCell ref="H8:H11"/>
    <mergeCell ref="I8:I11"/>
    <mergeCell ref="A1:K1"/>
    <mergeCell ref="A2:K2"/>
    <mergeCell ref="C3:D3"/>
    <mergeCell ref="C4:D4"/>
    <mergeCell ref="C5:D5"/>
    <mergeCell ref="C6:D6"/>
    <mergeCell ref="A8:A12"/>
    <mergeCell ref="J9:K11"/>
    <mergeCell ref="H95:H96"/>
    <mergeCell ref="I95:I96"/>
    <mergeCell ref="J95:J96"/>
    <mergeCell ref="K95:K96"/>
    <mergeCell ref="J97:J98"/>
    <mergeCell ref="K97:K98"/>
    <mergeCell ref="D95:D96"/>
    <mergeCell ref="D97:D98"/>
    <mergeCell ref="E97:E98"/>
    <mergeCell ref="F97:F98"/>
    <mergeCell ref="G97:G98"/>
    <mergeCell ref="H97:H98"/>
    <mergeCell ref="I97:I98"/>
    <mergeCell ref="I103:J103"/>
    <mergeCell ref="I104:J104"/>
  </mergeCells>
  <printOptions/>
  <pageMargins bottom="0.75" footer="0.0" header="0.0" left="0.7" right="0.7" top="0.75"/>
  <pageSetup orientation="landscape"/>
  <drawing r:id="rId2"/>
  <legacyDrawing r:id="rId3"/>
  <tableParts count="3">
    <tablePart r:id="rId7"/>
    <tablePart r:id="rId8"/>
    <tablePart r:id="rId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sheetViews>
  <sheetFormatPr customHeight="1" defaultColWidth="14.43" defaultRowHeight="15.0"/>
  <cols>
    <col customWidth="1" min="1" max="1" width="13.71"/>
    <col customWidth="1" min="2" max="2" width="12.86"/>
    <col customWidth="1" min="3" max="3" width="16.29"/>
    <col customWidth="1" min="4" max="4" width="42.43"/>
    <col customWidth="1" min="5" max="5" width="13.43"/>
    <col customWidth="1" min="6" max="8" width="6.57"/>
    <col customWidth="1" min="9" max="22" width="8.71"/>
  </cols>
  <sheetData>
    <row r="1">
      <c r="B1" s="143" t="s">
        <v>147</v>
      </c>
      <c r="G1" s="56"/>
      <c r="H1" s="56"/>
      <c r="I1" s="56"/>
      <c r="J1" s="56"/>
      <c r="K1" s="56"/>
      <c r="L1" s="56"/>
      <c r="M1" s="56"/>
      <c r="N1" s="56"/>
      <c r="O1" s="56"/>
      <c r="P1" s="56"/>
      <c r="Q1" s="56"/>
      <c r="R1" s="56"/>
      <c r="S1" s="56"/>
      <c r="T1" s="56"/>
      <c r="U1" s="56"/>
      <c r="V1" s="56"/>
    </row>
    <row r="2">
      <c r="B2" s="56"/>
      <c r="C2" s="56"/>
      <c r="D2" s="144" t="s">
        <v>148</v>
      </c>
      <c r="E2" s="17"/>
      <c r="F2" s="56"/>
      <c r="G2" s="56"/>
      <c r="I2" s="56"/>
      <c r="J2" s="56"/>
      <c r="K2" s="56"/>
      <c r="L2" s="56"/>
      <c r="M2" s="56"/>
      <c r="N2" s="56"/>
      <c r="O2" s="56"/>
      <c r="P2" s="56"/>
      <c r="Q2" s="56"/>
      <c r="R2" s="56"/>
      <c r="S2" s="56"/>
      <c r="T2" s="56"/>
      <c r="U2" s="56"/>
      <c r="V2" s="56"/>
    </row>
    <row r="3" ht="13.5" customHeight="1">
      <c r="B3" s="56"/>
      <c r="C3" s="56"/>
      <c r="D3" s="144"/>
      <c r="E3" s="17"/>
      <c r="F3" s="56"/>
      <c r="G3" s="56"/>
      <c r="I3" s="56"/>
      <c r="J3" s="56"/>
      <c r="K3" s="56"/>
      <c r="L3" s="56"/>
      <c r="M3" s="56"/>
      <c r="N3" s="56"/>
      <c r="O3" s="56"/>
      <c r="P3" s="56"/>
      <c r="Q3" s="56"/>
      <c r="R3" s="56"/>
      <c r="S3" s="56"/>
      <c r="T3" s="56"/>
      <c r="U3" s="56"/>
      <c r="V3" s="56"/>
    </row>
    <row r="4">
      <c r="B4" s="56"/>
      <c r="C4" s="57" t="s">
        <v>1</v>
      </c>
      <c r="D4" s="145" t="str">
        <f>'CO_Attainment for Unit Tests'!C3</f>
        <v>Data Structures Using _C</v>
      </c>
      <c r="E4" s="7"/>
      <c r="F4" s="56"/>
      <c r="G4" s="56"/>
      <c r="H4" s="56"/>
      <c r="I4" s="56"/>
      <c r="J4" s="56"/>
      <c r="K4" s="56"/>
      <c r="L4" s="56"/>
      <c r="M4" s="56"/>
      <c r="N4" s="56"/>
      <c r="O4" s="56"/>
      <c r="P4" s="56"/>
      <c r="Q4" s="56"/>
      <c r="R4" s="56"/>
      <c r="S4" s="56"/>
      <c r="T4" s="56"/>
      <c r="U4" s="56"/>
      <c r="V4" s="56"/>
    </row>
    <row r="5">
      <c r="B5" s="56"/>
      <c r="C5" s="57" t="s">
        <v>3</v>
      </c>
      <c r="D5" s="145">
        <f>'CO_Attainment for Unit Tests'!C4</f>
        <v>22317</v>
      </c>
      <c r="E5" s="7"/>
      <c r="F5" s="56"/>
      <c r="G5" s="56"/>
      <c r="H5" s="56"/>
      <c r="I5" s="56"/>
      <c r="J5" s="56"/>
      <c r="K5" s="56"/>
      <c r="L5" s="56"/>
      <c r="M5" s="56"/>
      <c r="N5" s="56"/>
      <c r="O5" s="56"/>
      <c r="P5" s="56"/>
      <c r="Q5" s="56"/>
      <c r="R5" s="56"/>
      <c r="S5" s="56"/>
      <c r="T5" s="56"/>
      <c r="U5" s="56"/>
      <c r="V5" s="56"/>
    </row>
    <row r="6">
      <c r="B6" s="56"/>
      <c r="C6" s="57" t="s">
        <v>54</v>
      </c>
      <c r="D6" s="145" t="str">
        <f>'CO_Attainment for Unit Tests'!C5</f>
        <v>3rd SEM(CO3I SCHEME)</v>
      </c>
      <c r="E6" s="7"/>
      <c r="F6" s="56"/>
      <c r="G6" s="56"/>
      <c r="H6" s="56"/>
      <c r="I6" s="56"/>
      <c r="J6" s="56"/>
      <c r="K6" s="56"/>
      <c r="L6" s="56"/>
      <c r="M6" s="56"/>
      <c r="N6" s="56"/>
      <c r="O6" s="56"/>
      <c r="P6" s="56"/>
      <c r="Q6" s="56"/>
      <c r="R6" s="56"/>
      <c r="S6" s="56"/>
      <c r="T6" s="56"/>
      <c r="U6" s="56"/>
      <c r="V6" s="56"/>
    </row>
    <row r="7">
      <c r="B7" s="56"/>
      <c r="C7" s="57" t="s">
        <v>6</v>
      </c>
      <c r="D7" s="145" t="str">
        <f>'CO_Attainment for Unit Tests'!C6</f>
        <v>2023-24</v>
      </c>
      <c r="E7" s="7"/>
      <c r="F7" s="56"/>
      <c r="G7" s="56"/>
      <c r="H7" s="56"/>
      <c r="I7" s="56"/>
      <c r="J7" s="56"/>
      <c r="K7" s="56"/>
      <c r="L7" s="56"/>
      <c r="M7" s="56"/>
      <c r="N7" s="56"/>
      <c r="O7" s="56"/>
      <c r="P7" s="56"/>
      <c r="Q7" s="56"/>
      <c r="R7" s="56"/>
      <c r="S7" s="56"/>
      <c r="T7" s="56"/>
      <c r="U7" s="56"/>
      <c r="V7" s="56"/>
    </row>
    <row r="8">
      <c r="E8" s="17"/>
    </row>
    <row r="9" ht="15.75" customHeight="1">
      <c r="B9" s="146" t="s">
        <v>21</v>
      </c>
      <c r="C9" s="147" t="s">
        <v>56</v>
      </c>
      <c r="D9" s="62" t="s">
        <v>57</v>
      </c>
      <c r="E9" s="147" t="s">
        <v>149</v>
      </c>
      <c r="J9" s="148"/>
    </row>
    <row r="10">
      <c r="B10" s="70"/>
      <c r="C10" s="70"/>
      <c r="D10" s="70"/>
      <c r="E10" s="70"/>
      <c r="J10" s="149"/>
    </row>
    <row r="11">
      <c r="B11" s="70"/>
      <c r="C11" s="70"/>
      <c r="D11" s="70"/>
      <c r="E11" s="70"/>
    </row>
    <row r="12" ht="27.75" customHeight="1">
      <c r="B12" s="70"/>
      <c r="C12" s="70"/>
      <c r="D12" s="70"/>
      <c r="E12" s="74"/>
    </row>
    <row r="13">
      <c r="B13" s="74"/>
      <c r="C13" s="74"/>
      <c r="D13" s="74"/>
      <c r="E13" s="150">
        <v>70.0</v>
      </c>
    </row>
    <row r="14">
      <c r="B14" s="83">
        <v>1.0</v>
      </c>
      <c r="C14" s="83">
        <f>'CO_Attainment for Unit Tests'!B13</f>
        <v>2201180002</v>
      </c>
      <c r="D14" s="151" t="str">
        <f>'CO_Attainment for Unit Tests'!C13</f>
        <v>GARAD ANJALI NITIN</v>
      </c>
      <c r="E14" s="86">
        <v>29.0</v>
      </c>
      <c r="I14" s="82"/>
    </row>
    <row r="15" ht="15.0" customHeight="1">
      <c r="B15" s="83">
        <v>2.0</v>
      </c>
      <c r="C15" s="83">
        <f>'CO_Attainment for Unit Tests'!B14</f>
        <v>2201180003</v>
      </c>
      <c r="D15" s="151" t="str">
        <f>'CO_Attainment for Unit Tests'!C14</f>
        <v>WALANDE GAURI DAYANAND</v>
      </c>
      <c r="E15" s="86">
        <v>47.0</v>
      </c>
      <c r="I15" s="82"/>
    </row>
    <row r="16">
      <c r="B16" s="83">
        <v>3.0</v>
      </c>
      <c r="C16" s="83">
        <f>'CO_Attainment for Unit Tests'!B15</f>
        <v>2201180004</v>
      </c>
      <c r="D16" s="151" t="str">
        <f>'CO_Attainment for Unit Tests'!C15</f>
        <v>ZUNJURE SARTHAK BALAJI</v>
      </c>
      <c r="E16" s="86">
        <v>54.0</v>
      </c>
      <c r="I16" s="82"/>
    </row>
    <row r="17">
      <c r="B17" s="83">
        <v>4.0</v>
      </c>
      <c r="C17" s="83">
        <f>'CO_Attainment for Unit Tests'!B16</f>
        <v>2201180005</v>
      </c>
      <c r="D17" s="151" t="str">
        <f>'CO_Attainment for Unit Tests'!C16</f>
        <v>BHANDE GAYATRI DAMODAR</v>
      </c>
      <c r="E17" s="86">
        <v>63.0</v>
      </c>
      <c r="I17" s="82"/>
    </row>
    <row r="18">
      <c r="B18" s="83">
        <v>5.0</v>
      </c>
      <c r="C18" s="83">
        <f>'CO_Attainment for Unit Tests'!B17</f>
        <v>2201180006</v>
      </c>
      <c r="D18" s="151" t="str">
        <f>'CO_Attainment for Unit Tests'!C17</f>
        <v>MUNDHE GAYATRI PARMESHWAR</v>
      </c>
      <c r="E18" s="86">
        <v>51.0</v>
      </c>
      <c r="I18" s="82"/>
    </row>
    <row r="19">
      <c r="B19" s="83">
        <v>6.0</v>
      </c>
      <c r="C19" s="83">
        <f>'CO_Attainment for Unit Tests'!B18</f>
        <v>2201180009</v>
      </c>
      <c r="D19" s="151" t="str">
        <f>'CO_Attainment for Unit Tests'!C18</f>
        <v>YADAV RADHA SAMADHAN</v>
      </c>
      <c r="E19" s="86">
        <v>40.0</v>
      </c>
      <c r="I19" s="82"/>
    </row>
    <row r="20">
      <c r="B20" s="83">
        <v>7.0</v>
      </c>
      <c r="C20" s="83">
        <f>'CO_Attainment for Unit Tests'!B19</f>
        <v>2201180010</v>
      </c>
      <c r="D20" s="151" t="str">
        <f>'CO_Attainment for Unit Tests'!C19</f>
        <v>DESHMANE MANSI SIDDHESHWAR</v>
      </c>
      <c r="E20" s="86">
        <v>53.0</v>
      </c>
      <c r="I20" s="82"/>
    </row>
    <row r="21" ht="15.75" customHeight="1">
      <c r="B21" s="83">
        <v>8.0</v>
      </c>
      <c r="C21" s="83">
        <f>'CO_Attainment for Unit Tests'!B20</f>
        <v>2201180011</v>
      </c>
      <c r="D21" s="151" t="str">
        <f>'CO_Attainment for Unit Tests'!C20</f>
        <v>GAWALGADADE POOJA ARVIND</v>
      </c>
      <c r="E21" s="86">
        <v>30.0</v>
      </c>
      <c r="I21" s="82"/>
    </row>
    <row r="22" ht="15.75" customHeight="1">
      <c r="B22" s="83">
        <v>9.0</v>
      </c>
      <c r="C22" s="83">
        <f>'CO_Attainment for Unit Tests'!B21</f>
        <v>2201180014</v>
      </c>
      <c r="D22" s="151" t="str">
        <f>'CO_Attainment for Unit Tests'!C21</f>
        <v>JAIN TANISHA SHAILESH</v>
      </c>
      <c r="E22" s="86">
        <v>46.0</v>
      </c>
      <c r="I22" s="82"/>
    </row>
    <row r="23" ht="15.75" customHeight="1">
      <c r="B23" s="83">
        <v>10.0</v>
      </c>
      <c r="C23" s="83">
        <f>'CO_Attainment for Unit Tests'!B22</f>
        <v>2201180050</v>
      </c>
      <c r="D23" s="151" t="str">
        <f>'CO_Attainment for Unit Tests'!C22</f>
        <v>MAINDARGE SIDDHI PRASAD</v>
      </c>
      <c r="E23" s="86">
        <v>48.0</v>
      </c>
      <c r="I23" s="82"/>
    </row>
    <row r="24" ht="15.75" customHeight="1">
      <c r="B24" s="83">
        <v>11.0</v>
      </c>
      <c r="C24" s="83">
        <f>'CO_Attainment for Unit Tests'!B23</f>
        <v>2201180051</v>
      </c>
      <c r="D24" s="151" t="str">
        <f>'CO_Attainment for Unit Tests'!C23</f>
        <v>BHOSALE VAISHNAVI DAYANAND</v>
      </c>
      <c r="E24" s="86">
        <v>51.0</v>
      </c>
      <c r="I24" s="82"/>
    </row>
    <row r="25" ht="15.75" customHeight="1">
      <c r="B25" s="83">
        <v>12.0</v>
      </c>
      <c r="C25" s="83">
        <f>'CO_Attainment for Unit Tests'!B24</f>
        <v>2201180052</v>
      </c>
      <c r="D25" s="151" t="str">
        <f>'CO_Attainment for Unit Tests'!C24</f>
        <v>ATTAR SANIYA VAJIR</v>
      </c>
      <c r="E25" s="86">
        <v>66.0</v>
      </c>
      <c r="I25" s="82"/>
    </row>
    <row r="26" ht="15.75" customHeight="1">
      <c r="B26" s="83">
        <v>13.0</v>
      </c>
      <c r="C26" s="83">
        <f>'CO_Attainment for Unit Tests'!B25</f>
        <v>2201180053</v>
      </c>
      <c r="D26" s="151" t="str">
        <f>'CO_Attainment for Unit Tests'!C25</f>
        <v>NALWADE SNEHA NETAJI</v>
      </c>
      <c r="E26" s="86">
        <v>58.0</v>
      </c>
      <c r="I26" s="82"/>
    </row>
    <row r="27" ht="15.75" customHeight="1">
      <c r="B27" s="83">
        <v>14.0</v>
      </c>
      <c r="C27" s="83">
        <f>'CO_Attainment for Unit Tests'!B26</f>
        <v>2201180055</v>
      </c>
      <c r="D27" s="151" t="str">
        <f>'CO_Attainment for Unit Tests'!C26</f>
        <v>AADHE PANKAJ RAM</v>
      </c>
      <c r="E27" s="86">
        <v>59.0</v>
      </c>
      <c r="I27" s="82"/>
    </row>
    <row r="28" ht="15.0" customHeight="1">
      <c r="B28" s="83">
        <v>15.0</v>
      </c>
      <c r="C28" s="83">
        <f>'CO_Attainment for Unit Tests'!B27</f>
        <v>2201180056</v>
      </c>
      <c r="D28" s="151" t="str">
        <f>'CO_Attainment for Unit Tests'!C27</f>
        <v>BUDGE VISHAKHA VENKAT</v>
      </c>
      <c r="E28" s="86">
        <v>51.0</v>
      </c>
      <c r="I28" s="82"/>
    </row>
    <row r="29" ht="15.75" customHeight="1">
      <c r="B29" s="83">
        <v>16.0</v>
      </c>
      <c r="C29" s="83">
        <f>'CO_Attainment for Unit Tests'!B28</f>
        <v>2201180058</v>
      </c>
      <c r="D29" s="151" t="str">
        <f>'CO_Attainment for Unit Tests'!C28</f>
        <v>PAWAR PRATIKSHA VITTHAL</v>
      </c>
      <c r="E29" s="86">
        <v>58.0</v>
      </c>
      <c r="I29" s="82"/>
    </row>
    <row r="30" ht="15.75" customHeight="1">
      <c r="B30" s="83">
        <v>17.0</v>
      </c>
      <c r="C30" s="83">
        <f>'CO_Attainment for Unit Tests'!B29</f>
        <v>2201180059</v>
      </c>
      <c r="D30" s="151" t="str">
        <f>'CO_Attainment for Unit Tests'!C29</f>
        <v>WAGHMARE RAU HANMANT</v>
      </c>
      <c r="E30" s="86">
        <v>50.0</v>
      </c>
      <c r="I30" s="82"/>
    </row>
    <row r="31" ht="15.75" customHeight="1">
      <c r="B31" s="83">
        <v>18.0</v>
      </c>
      <c r="C31" s="83">
        <f>'CO_Attainment for Unit Tests'!B30</f>
        <v>2201180060</v>
      </c>
      <c r="D31" s="151" t="str">
        <f>'CO_Attainment for Unit Tests'!C30</f>
        <v>MAHAJAN SHRUTI DILIP</v>
      </c>
      <c r="E31" s="86">
        <v>55.0</v>
      </c>
      <c r="I31" s="82"/>
    </row>
    <row r="32" ht="15.75" customHeight="1">
      <c r="B32" s="83">
        <v>19.0</v>
      </c>
      <c r="C32" s="83">
        <f>'CO_Attainment for Unit Tests'!B31</f>
        <v>2201180061</v>
      </c>
      <c r="D32" s="151" t="str">
        <f>'CO_Attainment for Unit Tests'!C31</f>
        <v>CHANDANE GAYATRI PRASHANT</v>
      </c>
      <c r="E32" s="86">
        <v>54.0</v>
      </c>
      <c r="I32" s="82"/>
    </row>
    <row r="33" ht="15.75" customHeight="1">
      <c r="B33" s="83">
        <v>20.0</v>
      </c>
      <c r="C33" s="83">
        <f>'CO_Attainment for Unit Tests'!B32</f>
        <v>2201180062</v>
      </c>
      <c r="D33" s="151" t="str">
        <f>'CO_Attainment for Unit Tests'!C32</f>
        <v>JOSHI SHRAVANI SHRIKANT</v>
      </c>
      <c r="E33" s="86">
        <v>56.0</v>
      </c>
      <c r="I33" s="82"/>
    </row>
    <row r="34" ht="15.75" customHeight="1">
      <c r="B34" s="83">
        <v>21.0</v>
      </c>
      <c r="C34" s="83">
        <f>'CO_Attainment for Unit Tests'!B33</f>
        <v>2201180063</v>
      </c>
      <c r="D34" s="151" t="str">
        <f>'CO_Attainment for Unit Tests'!C33</f>
        <v>MANE ANUSHKA BALASAHEB</v>
      </c>
      <c r="E34" s="86">
        <v>45.0</v>
      </c>
      <c r="I34" s="82"/>
    </row>
    <row r="35" ht="15.75" customHeight="1">
      <c r="B35" s="83">
        <v>22.0</v>
      </c>
      <c r="C35" s="83">
        <f>'CO_Attainment for Unit Tests'!B34</f>
        <v>2201180064</v>
      </c>
      <c r="D35" s="151" t="str">
        <f>'CO_Attainment for Unit Tests'!C34</f>
        <v>GADEKAR MAHESH BALAJI</v>
      </c>
      <c r="E35" s="86">
        <v>62.0</v>
      </c>
      <c r="I35" s="82"/>
    </row>
    <row r="36" ht="15.75" customHeight="1">
      <c r="B36" s="83">
        <v>23.0</v>
      </c>
      <c r="C36" s="83">
        <f>'CO_Attainment for Unit Tests'!B35</f>
        <v>2201180065</v>
      </c>
      <c r="D36" s="151" t="str">
        <f>'CO_Attainment for Unit Tests'!C35</f>
        <v>DESHMUKH SWANANDI UDAYRAO</v>
      </c>
      <c r="E36" s="86">
        <v>56.0</v>
      </c>
      <c r="I36" s="82"/>
    </row>
    <row r="37" ht="15.75" customHeight="1">
      <c r="B37" s="83">
        <v>24.0</v>
      </c>
      <c r="C37" s="83">
        <f>'CO_Attainment for Unit Tests'!B36</f>
        <v>2201180148</v>
      </c>
      <c r="D37" s="151" t="str">
        <f>'CO_Attainment for Unit Tests'!C36</f>
        <v>LAGDIVE SHIVAM NITIN</v>
      </c>
      <c r="E37" s="86">
        <v>56.0</v>
      </c>
      <c r="I37" s="82"/>
    </row>
    <row r="38" ht="15.75" customHeight="1">
      <c r="B38" s="83">
        <v>25.0</v>
      </c>
      <c r="C38" s="83">
        <f>'CO_Attainment for Unit Tests'!B37</f>
        <v>2201180227</v>
      </c>
      <c r="D38" s="151" t="str">
        <f>'CO_Attainment for Unit Tests'!C37</f>
        <v>SARPHALE POOJA SADASHIV</v>
      </c>
      <c r="E38" s="86">
        <v>48.0</v>
      </c>
      <c r="I38" s="82"/>
    </row>
    <row r="39" ht="15.75" customHeight="1">
      <c r="B39" s="83">
        <v>26.0</v>
      </c>
      <c r="C39" s="83">
        <f>'CO_Attainment for Unit Tests'!B38</f>
        <v>2201180228</v>
      </c>
      <c r="D39" s="151" t="str">
        <f>'CO_Attainment for Unit Tests'!C38</f>
        <v>WAGHMARE ABHISHEK SOMNATH</v>
      </c>
      <c r="E39" s="86">
        <v>56.0</v>
      </c>
      <c r="I39" s="82"/>
    </row>
    <row r="40" ht="15.75" customHeight="1">
      <c r="B40" s="83">
        <v>27.0</v>
      </c>
      <c r="C40" s="83">
        <f>'CO_Attainment for Unit Tests'!B39</f>
        <v>2201180229</v>
      </c>
      <c r="D40" s="151" t="str">
        <f>'CO_Attainment for Unit Tests'!C39</f>
        <v>KAMBALE ROHINI RUPESH</v>
      </c>
      <c r="E40" s="86">
        <v>40.0</v>
      </c>
      <c r="I40" s="82"/>
    </row>
    <row r="41" ht="15.75" customHeight="1">
      <c r="B41" s="83">
        <v>28.0</v>
      </c>
      <c r="C41" s="83">
        <f>'CO_Attainment for Unit Tests'!B40</f>
        <v>2201180230</v>
      </c>
      <c r="D41" s="151" t="str">
        <f>'CO_Attainment for Unit Tests'!C40</f>
        <v>ROCHKARI SANSKRUTI SUDHIR</v>
      </c>
      <c r="E41" s="86">
        <v>35.0</v>
      </c>
      <c r="I41" s="82"/>
    </row>
    <row r="42" ht="15.75" customHeight="1">
      <c r="B42" s="83">
        <v>29.0</v>
      </c>
      <c r="C42" s="83">
        <f>'CO_Attainment for Unit Tests'!B41</f>
        <v>2201180232</v>
      </c>
      <c r="D42" s="151" t="str">
        <f>'CO_Attainment for Unit Tests'!C41</f>
        <v>NIMBALKAR APURVA BHUJANG</v>
      </c>
      <c r="E42" s="86">
        <v>68.0</v>
      </c>
      <c r="I42" s="82"/>
    </row>
    <row r="43" ht="15.75" customHeight="1">
      <c r="B43" s="83">
        <v>30.0</v>
      </c>
      <c r="C43" s="83">
        <f>'CO_Attainment for Unit Tests'!B42</f>
        <v>2201180233</v>
      </c>
      <c r="D43" s="151" t="str">
        <f>'CO_Attainment for Unit Tests'!C42</f>
        <v>KSHIRSAGAR SAMARTH DATTATRAY</v>
      </c>
      <c r="E43" s="86">
        <v>59.0</v>
      </c>
      <c r="I43" s="82"/>
    </row>
    <row r="44" ht="15.75" customHeight="1">
      <c r="B44" s="83">
        <v>31.0</v>
      </c>
      <c r="C44" s="83">
        <f>'CO_Attainment for Unit Tests'!B43</f>
        <v>2201180234</v>
      </c>
      <c r="D44" s="151" t="str">
        <f>'CO_Attainment for Unit Tests'!C43</f>
        <v>MASIHA SILVIYA SANTOSH</v>
      </c>
      <c r="E44" s="86">
        <v>63.0</v>
      </c>
      <c r="I44" s="82"/>
    </row>
    <row r="45" ht="15.75" customHeight="1">
      <c r="B45" s="83">
        <v>32.0</v>
      </c>
      <c r="C45" s="83">
        <f>'CO_Attainment for Unit Tests'!B44</f>
        <v>2201180235</v>
      </c>
      <c r="D45" s="151" t="str">
        <f>'CO_Attainment for Unit Tests'!C44</f>
        <v>KAWADE PRIYA SHANKAR</v>
      </c>
      <c r="E45" s="86">
        <v>59.0</v>
      </c>
      <c r="I45" s="82"/>
    </row>
    <row r="46" ht="15.0" customHeight="1">
      <c r="B46" s="83">
        <v>33.0</v>
      </c>
      <c r="C46" s="83">
        <f>'CO_Attainment for Unit Tests'!B45</f>
        <v>2201180237</v>
      </c>
      <c r="D46" s="151" t="str">
        <f>'CO_Attainment for Unit Tests'!C45</f>
        <v>PATIL PRANITA PRAVIN</v>
      </c>
      <c r="E46" s="86">
        <v>58.0</v>
      </c>
      <c r="I46" s="82"/>
    </row>
    <row r="47" ht="15.75" customHeight="1">
      <c r="B47" s="83">
        <v>34.0</v>
      </c>
      <c r="C47" s="83">
        <f>'CO_Attainment for Unit Tests'!B46</f>
        <v>2201180238</v>
      </c>
      <c r="D47" s="151" t="str">
        <f>'CO_Attainment for Unit Tests'!C46</f>
        <v>GAVALI ROHAN DNYANDEO</v>
      </c>
      <c r="E47" s="86">
        <v>11.0</v>
      </c>
      <c r="I47" s="82"/>
    </row>
    <row r="48" ht="15.75" customHeight="1">
      <c r="B48" s="83">
        <v>35.0</v>
      </c>
      <c r="C48" s="83">
        <f>'CO_Attainment for Unit Tests'!B47</f>
        <v>2201180241</v>
      </c>
      <c r="D48" s="151" t="str">
        <f>'CO_Attainment for Unit Tests'!C47</f>
        <v>GAIKWAD VASUDHA SANDIPAN</v>
      </c>
      <c r="E48" s="86">
        <v>47.0</v>
      </c>
      <c r="I48" s="82"/>
    </row>
    <row r="49" ht="15.75" customHeight="1">
      <c r="B49" s="83">
        <v>36.0</v>
      </c>
      <c r="C49" s="83">
        <f>'CO_Attainment for Unit Tests'!B48</f>
        <v>2201180242</v>
      </c>
      <c r="D49" s="151" t="str">
        <f>'CO_Attainment for Unit Tests'!C48</f>
        <v>GORE SANKET NARENDRA</v>
      </c>
      <c r="E49" s="86">
        <v>34.0</v>
      </c>
      <c r="I49" s="82"/>
    </row>
    <row r="50" ht="15.75" customHeight="1">
      <c r="B50" s="83">
        <v>37.0</v>
      </c>
      <c r="C50" s="83">
        <f>'CO_Attainment for Unit Tests'!B49</f>
        <v>2201180243</v>
      </c>
      <c r="D50" s="151" t="str">
        <f>'CO_Attainment for Unit Tests'!C49</f>
        <v>HINGANE SAKSHI SATISH</v>
      </c>
      <c r="E50" s="86">
        <v>48.0</v>
      </c>
      <c r="I50" s="82"/>
    </row>
    <row r="51" ht="15.75" customHeight="1">
      <c r="B51" s="83">
        <v>38.0</v>
      </c>
      <c r="C51" s="83">
        <f>'CO_Attainment for Unit Tests'!B50</f>
        <v>2201180280</v>
      </c>
      <c r="D51" s="151" t="str">
        <f>'CO_Attainment for Unit Tests'!C50</f>
        <v>JADHAV SHREYAS YADAVRAO</v>
      </c>
      <c r="E51" s="86">
        <v>57.0</v>
      </c>
      <c r="I51" s="82"/>
    </row>
    <row r="52" ht="15.75" customHeight="1">
      <c r="B52" s="83">
        <v>39.0</v>
      </c>
      <c r="C52" s="83">
        <f>'CO_Attainment for Unit Tests'!B51</f>
        <v>2201180282</v>
      </c>
      <c r="D52" s="151" t="str">
        <f>'CO_Attainment for Unit Tests'!C51</f>
        <v>WAKALE KOMAL SANTOSH</v>
      </c>
      <c r="E52" s="86">
        <v>45.0</v>
      </c>
      <c r="I52" s="82"/>
    </row>
    <row r="53" ht="15.75" customHeight="1">
      <c r="B53" s="83">
        <v>40.0</v>
      </c>
      <c r="C53" s="83">
        <f>'CO_Attainment for Unit Tests'!B52</f>
        <v>2201180283</v>
      </c>
      <c r="D53" s="151" t="str">
        <f>'CO_Attainment for Unit Tests'!C52</f>
        <v>KALE PRANITA NAMDEV</v>
      </c>
      <c r="E53" s="86">
        <v>55.0</v>
      </c>
      <c r="I53" s="82"/>
    </row>
    <row r="54" ht="15.75" customHeight="1">
      <c r="B54" s="83">
        <v>41.0</v>
      </c>
      <c r="C54" s="83">
        <f>'CO_Attainment for Unit Tests'!B53</f>
        <v>2201180401</v>
      </c>
      <c r="D54" s="151" t="str">
        <f>'CO_Attainment for Unit Tests'!C53</f>
        <v>KHARKE MAHESH HANUMANT</v>
      </c>
      <c r="E54" s="86">
        <v>39.0</v>
      </c>
      <c r="I54" s="82"/>
    </row>
    <row r="55" ht="15.75" customHeight="1">
      <c r="B55" s="83">
        <v>42.0</v>
      </c>
      <c r="C55" s="83">
        <f>'CO_Attainment for Unit Tests'!B54</f>
        <v>2201180404</v>
      </c>
      <c r="D55" s="151" t="str">
        <f>'CO_Attainment for Unit Tests'!C54</f>
        <v>PARVE SHRIRAM SUDHIR</v>
      </c>
      <c r="E55" s="86">
        <v>37.0</v>
      </c>
      <c r="I55" s="82"/>
    </row>
    <row r="56" ht="15.75" customHeight="1">
      <c r="B56" s="83">
        <v>43.0</v>
      </c>
      <c r="C56" s="83">
        <f>'CO_Attainment for Unit Tests'!B55</f>
        <v>2201180405</v>
      </c>
      <c r="D56" s="151" t="str">
        <f>'CO_Attainment for Unit Tests'!C55</f>
        <v>KOLNURE SURAJ RAJENDRA</v>
      </c>
      <c r="E56" s="86">
        <v>29.0</v>
      </c>
      <c r="I56" s="82"/>
    </row>
    <row r="57" ht="15.75" customHeight="1">
      <c r="B57" s="83">
        <v>44.0</v>
      </c>
      <c r="C57" s="83">
        <f>'CO_Attainment for Unit Tests'!B56</f>
        <v>2201180406</v>
      </c>
      <c r="D57" s="151" t="str">
        <f>'CO_Attainment for Unit Tests'!C56</f>
        <v>KANDALE ADITYA VILAS</v>
      </c>
      <c r="E57" s="86">
        <v>42.0</v>
      </c>
      <c r="I57" s="82"/>
    </row>
    <row r="58" ht="15.75" customHeight="1">
      <c r="B58" s="83">
        <v>45.0</v>
      </c>
      <c r="C58" s="83">
        <f>'CO_Attainment for Unit Tests'!B57</f>
        <v>2201180407</v>
      </c>
      <c r="D58" s="151" t="str">
        <f>'CO_Attainment for Unit Tests'!C57</f>
        <v>BARATE VARSHARANI DADASAHEB</v>
      </c>
      <c r="E58" s="86">
        <v>56.0</v>
      </c>
      <c r="I58" s="82"/>
    </row>
    <row r="59" ht="15.0" customHeight="1">
      <c r="B59" s="83">
        <v>46.0</v>
      </c>
      <c r="C59" s="83">
        <f>'CO_Attainment for Unit Tests'!B58</f>
        <v>2201180408</v>
      </c>
      <c r="D59" s="151" t="str">
        <f>'CO_Attainment for Unit Tests'!C58</f>
        <v>BARATE AADITI DADASAHEB</v>
      </c>
      <c r="E59" s="86">
        <v>62.0</v>
      </c>
      <c r="I59" s="82"/>
    </row>
    <row r="60" ht="15.75" customHeight="1">
      <c r="B60" s="83">
        <v>47.0</v>
      </c>
      <c r="C60" s="83">
        <f>'CO_Attainment for Unit Tests'!B59</f>
        <v>2201180410</v>
      </c>
      <c r="D60" s="151" t="str">
        <f>'CO_Attainment for Unit Tests'!C59</f>
        <v>THORAVE SANIKA AMBADAS</v>
      </c>
      <c r="E60" s="86">
        <v>56.0</v>
      </c>
      <c r="I60" s="82"/>
    </row>
    <row r="61" ht="15.75" customHeight="1">
      <c r="B61" s="83">
        <v>48.0</v>
      </c>
      <c r="C61" s="83">
        <f>'CO_Attainment for Unit Tests'!B60</f>
        <v>2201180411</v>
      </c>
      <c r="D61" s="151" t="str">
        <f>'CO_Attainment for Unit Tests'!C60</f>
        <v>KULKARNI AAKANKSHA KAMLESH</v>
      </c>
      <c r="E61" s="86">
        <v>57.0</v>
      </c>
      <c r="I61" s="82"/>
    </row>
    <row r="62" ht="15.75" customHeight="1">
      <c r="B62" s="83">
        <v>49.0</v>
      </c>
      <c r="C62" s="83">
        <f>'CO_Attainment for Unit Tests'!B61</f>
        <v>2201180412</v>
      </c>
      <c r="D62" s="151" t="str">
        <f>'CO_Attainment for Unit Tests'!C61</f>
        <v>GAIKWAD GAYATRI SURESH</v>
      </c>
      <c r="E62" s="86">
        <v>42.0</v>
      </c>
      <c r="I62" s="82"/>
    </row>
    <row r="63" ht="15.75" customHeight="1">
      <c r="B63" s="83">
        <v>50.0</v>
      </c>
      <c r="C63" s="83">
        <f>'CO_Attainment for Unit Tests'!B62</f>
        <v>2201180413</v>
      </c>
      <c r="D63" s="151" t="str">
        <f>'CO_Attainment for Unit Tests'!C62</f>
        <v>SAROLKAR SAKSHI SHAMSUNDAR</v>
      </c>
      <c r="E63" s="86">
        <v>59.0</v>
      </c>
      <c r="I63" s="82"/>
    </row>
    <row r="64" ht="15.75" customHeight="1">
      <c r="B64" s="83">
        <v>51.0</v>
      </c>
      <c r="C64" s="83">
        <f>'CO_Attainment for Unit Tests'!B63</f>
        <v>2201180414</v>
      </c>
      <c r="D64" s="151" t="str">
        <f>'CO_Attainment for Unit Tests'!C63</f>
        <v>JAGTAP SANKET NARAYAN</v>
      </c>
      <c r="E64" s="86">
        <v>61.0</v>
      </c>
      <c r="I64" s="82"/>
    </row>
    <row r="65" ht="15.75" customHeight="1">
      <c r="B65" s="83">
        <v>52.0</v>
      </c>
      <c r="C65" s="83">
        <f>'CO_Attainment for Unit Tests'!B64</f>
        <v>2201180415</v>
      </c>
      <c r="D65" s="151" t="str">
        <f>'CO_Attainment for Unit Tests'!C64</f>
        <v>DHAPPADHULE VAISHNAVI SACHIN</v>
      </c>
      <c r="E65" s="86">
        <v>37.0</v>
      </c>
      <c r="I65" s="82"/>
    </row>
    <row r="66" ht="15.75" customHeight="1">
      <c r="B66" s="83">
        <v>53.0</v>
      </c>
      <c r="C66" s="83">
        <f>'CO_Attainment for Unit Tests'!B65</f>
        <v>2201180416</v>
      </c>
      <c r="D66" s="151" t="str">
        <f>'CO_Attainment for Unit Tests'!C65</f>
        <v>WAGHMARE AMAR BABAN</v>
      </c>
      <c r="E66" s="86">
        <v>29.0</v>
      </c>
      <c r="I66" s="82"/>
    </row>
    <row r="67" ht="15.75" customHeight="1">
      <c r="B67" s="83">
        <v>54.0</v>
      </c>
      <c r="C67" s="83">
        <f>'CO_Attainment for Unit Tests'!B66</f>
        <v>2201180417</v>
      </c>
      <c r="D67" s="151" t="str">
        <f>'CO_Attainment for Unit Tests'!C66</f>
        <v>DHEPE VAISHNAVI REVANNATH</v>
      </c>
      <c r="E67" s="86">
        <v>59.0</v>
      </c>
      <c r="I67" s="82"/>
    </row>
    <row r="68" ht="15.75" customHeight="1">
      <c r="B68" s="83">
        <v>55.0</v>
      </c>
      <c r="C68" s="83">
        <f>'CO_Attainment for Unit Tests'!B67</f>
        <v>2201180418</v>
      </c>
      <c r="D68" s="151" t="str">
        <f>'CO_Attainment for Unit Tests'!C67</f>
        <v>BAGADE GUNMANJIRI PURUSHOTTAM</v>
      </c>
      <c r="E68" s="86">
        <v>52.0</v>
      </c>
      <c r="I68" s="82"/>
    </row>
    <row r="69" ht="15.75" customHeight="1">
      <c r="B69" s="83">
        <v>56.0</v>
      </c>
      <c r="C69" s="83">
        <f>'CO_Attainment for Unit Tests'!B68</f>
        <v>2201180419</v>
      </c>
      <c r="D69" s="151" t="str">
        <f>'CO_Attainment for Unit Tests'!C68</f>
        <v>MULE SNEHA SANJIVAN</v>
      </c>
      <c r="E69" s="86">
        <v>56.0</v>
      </c>
      <c r="I69" s="82"/>
    </row>
    <row r="70" ht="15.75" customHeight="1">
      <c r="B70" s="83">
        <v>57.0</v>
      </c>
      <c r="C70" s="83">
        <f>'CO_Attainment for Unit Tests'!B69</f>
        <v>23510250259</v>
      </c>
      <c r="D70" s="151" t="str">
        <f>'CO_Attainment for Unit Tests'!C69</f>
        <v>BANSODE VINAYAK BABRUWAN</v>
      </c>
      <c r="E70" s="86"/>
      <c r="I70" s="152"/>
    </row>
    <row r="71" ht="15.75" customHeight="1">
      <c r="B71" s="83">
        <v>58.0</v>
      </c>
      <c r="C71" s="83">
        <f>'CO_Attainment for Unit Tests'!B70</f>
        <v>23510250260</v>
      </c>
      <c r="D71" s="151" t="str">
        <f>'CO_Attainment for Unit Tests'!C70</f>
        <v>ISHWARI ASHOK HAWALE</v>
      </c>
      <c r="E71" s="86"/>
      <c r="I71" s="152"/>
    </row>
    <row r="72" ht="15.75" customHeight="1">
      <c r="B72" s="83">
        <v>59.0</v>
      </c>
      <c r="C72" s="83">
        <f>'CO_Attainment for Unit Tests'!B71</f>
        <v>23510250261</v>
      </c>
      <c r="D72" s="151" t="str">
        <f>'CO_Attainment for Unit Tests'!C71</f>
        <v>JADHAV SANJYOT SHYAM</v>
      </c>
      <c r="E72" s="86">
        <v>49.0</v>
      </c>
      <c r="I72" s="82"/>
    </row>
    <row r="73" ht="15.75" customHeight="1">
      <c r="B73" s="83">
        <v>60.0</v>
      </c>
      <c r="C73" s="83">
        <f>'CO_Attainment for Unit Tests'!B72</f>
        <v>23510250262</v>
      </c>
      <c r="D73" s="151" t="str">
        <f>'CO_Attainment for Unit Tests'!C72</f>
        <v>KANLOD SHUBHAM GANPAT</v>
      </c>
      <c r="E73" s="86">
        <v>54.0</v>
      </c>
      <c r="I73" s="82"/>
    </row>
    <row r="74" ht="15.75" customHeight="1">
      <c r="B74" s="83">
        <v>61.0</v>
      </c>
      <c r="C74" s="83">
        <f>'CO_Attainment for Unit Tests'!B73</f>
        <v>23510250263</v>
      </c>
      <c r="D74" s="151" t="str">
        <f>'CO_Attainment for Unit Tests'!C73</f>
        <v>PHULARI VISHVJEET UMESH</v>
      </c>
      <c r="E74" s="86">
        <v>42.0</v>
      </c>
      <c r="I74" s="82"/>
    </row>
    <row r="75" ht="15.75" customHeight="1">
      <c r="B75" s="83">
        <v>62.0</v>
      </c>
      <c r="C75" s="83">
        <f>'CO_Attainment for Unit Tests'!B74</f>
        <v>23510250264</v>
      </c>
      <c r="D75" s="151" t="str">
        <f>'CO_Attainment for Unit Tests'!C74</f>
        <v>VHOTTE SHRUTIKA VAIJNATH</v>
      </c>
      <c r="E75" s="86"/>
      <c r="I75" s="152"/>
    </row>
    <row r="76" ht="15.75" customHeight="1">
      <c r="B76" s="83">
        <v>63.0</v>
      </c>
      <c r="C76" s="83" t="str">
        <f>'CO_Attainment for Unit Tests'!B75</f>
        <v/>
      </c>
      <c r="D76" s="151" t="str">
        <f>'CO_Attainment for Unit Tests'!C75</f>
        <v/>
      </c>
      <c r="E76" s="86"/>
    </row>
    <row r="77" ht="15.75" customHeight="1">
      <c r="B77" s="83">
        <v>64.0</v>
      </c>
      <c r="C77" s="83" t="str">
        <f>'CO_Attainment for Unit Tests'!B76</f>
        <v/>
      </c>
      <c r="D77" s="151" t="str">
        <f>'CO_Attainment for Unit Tests'!C76</f>
        <v/>
      </c>
      <c r="E77" s="86"/>
    </row>
    <row r="78" ht="15.75" customHeight="1">
      <c r="B78" s="83">
        <v>65.0</v>
      </c>
      <c r="C78" s="83" t="str">
        <f>'CO_Attainment for Unit Tests'!B77</f>
        <v/>
      </c>
      <c r="D78" s="151" t="str">
        <f>'CO_Attainment for Unit Tests'!C77</f>
        <v/>
      </c>
      <c r="E78" s="86"/>
    </row>
    <row r="79" ht="15.75" customHeight="1">
      <c r="B79" s="83">
        <v>66.0</v>
      </c>
      <c r="C79" s="83" t="str">
        <f>'CO_Attainment for Unit Tests'!B78</f>
        <v/>
      </c>
      <c r="D79" s="151" t="str">
        <f>'CO_Attainment for Unit Tests'!C78</f>
        <v/>
      </c>
      <c r="E79" s="86"/>
    </row>
    <row r="80" ht="15.75" customHeight="1">
      <c r="B80" s="83">
        <v>67.0</v>
      </c>
      <c r="C80" s="83" t="str">
        <f>'CO_Attainment for Unit Tests'!B78</f>
        <v/>
      </c>
      <c r="D80" s="151" t="str">
        <f>'CO_Attainment for Unit Tests'!C75</f>
        <v/>
      </c>
      <c r="E80" s="86"/>
    </row>
    <row r="81" ht="15.75" customHeight="1">
      <c r="B81" s="83">
        <v>68.0</v>
      </c>
      <c r="C81" s="83" t="str">
        <f>'CO_Attainment for Unit Tests'!B79</f>
        <v/>
      </c>
      <c r="D81" s="151" t="str">
        <f>'CO_Attainment for Unit Tests'!C76</f>
        <v/>
      </c>
      <c r="E81" s="86"/>
    </row>
    <row r="82" ht="15.75" customHeight="1">
      <c r="B82" s="83">
        <v>69.0</v>
      </c>
      <c r="C82" s="83" t="str">
        <f>'CO_Attainment for Unit Tests'!B80</f>
        <v/>
      </c>
      <c r="D82" s="151" t="str">
        <f>'CO_Attainment for Unit Tests'!C77</f>
        <v/>
      </c>
      <c r="E82" s="86"/>
    </row>
    <row r="83" ht="15.75" customHeight="1">
      <c r="B83" s="83">
        <v>70.0</v>
      </c>
      <c r="C83" s="83" t="str">
        <f>'CO_Attainment for Unit Tests'!B81</f>
        <v/>
      </c>
      <c r="D83" s="151" t="str">
        <f>'CO_Attainment for Unit Tests'!C78</f>
        <v/>
      </c>
      <c r="E83" s="86"/>
    </row>
    <row r="84" ht="15.75" customHeight="1">
      <c r="B84" s="83">
        <v>71.0</v>
      </c>
      <c r="C84" s="83" t="str">
        <f>'CO_Attainment for Unit Tests'!B82</f>
        <v/>
      </c>
      <c r="D84" s="151" t="str">
        <f>'CO_Attainment for Unit Tests'!C82</f>
        <v/>
      </c>
      <c r="E84" s="153"/>
    </row>
    <row r="85" ht="15.75" customHeight="1">
      <c r="B85" s="83">
        <v>72.0</v>
      </c>
      <c r="C85" s="83" t="str">
        <f>'CO_Attainment for Unit Tests'!B83</f>
        <v/>
      </c>
      <c r="D85" s="151" t="str">
        <f>'CO_Attainment for Unit Tests'!C83</f>
        <v/>
      </c>
      <c r="E85" s="108"/>
    </row>
    <row r="86" ht="15.75" customHeight="1">
      <c r="B86" s="83">
        <v>73.0</v>
      </c>
      <c r="C86" s="83" t="str">
        <f>'CO_Attainment for Unit Tests'!B84</f>
        <v/>
      </c>
      <c r="D86" s="151" t="str">
        <f>'CO_Attainment for Unit Tests'!C84</f>
        <v/>
      </c>
      <c r="E86" s="108"/>
    </row>
    <row r="87" ht="15.75" customHeight="1">
      <c r="B87" s="83">
        <v>74.0</v>
      </c>
      <c r="C87" s="83" t="str">
        <f>'CO_Attainment for Unit Tests'!B85</f>
        <v/>
      </c>
      <c r="D87" s="151" t="str">
        <f>'CO_Attainment for Unit Tests'!C85</f>
        <v/>
      </c>
      <c r="E87" s="108"/>
    </row>
    <row r="88" ht="15.0" customHeight="1">
      <c r="B88" s="83">
        <v>75.0</v>
      </c>
      <c r="C88" s="83" t="str">
        <f>'CO_Attainment for Unit Tests'!B86</f>
        <v/>
      </c>
      <c r="D88" s="151" t="str">
        <f>'CO_Attainment for Unit Tests'!C86</f>
        <v/>
      </c>
      <c r="E88" s="108"/>
    </row>
    <row r="89" ht="15.75" customHeight="1">
      <c r="B89" s="83">
        <v>76.0</v>
      </c>
      <c r="C89" s="83" t="str">
        <f>'CO_Attainment for Unit Tests'!B87</f>
        <v/>
      </c>
      <c r="D89" s="151" t="str">
        <f>'CO_Attainment for Unit Tests'!C87</f>
        <v/>
      </c>
      <c r="E89" s="108"/>
    </row>
    <row r="90" ht="15.75" customHeight="1">
      <c r="B90" s="83">
        <v>77.0</v>
      </c>
      <c r="C90" s="83" t="str">
        <f>'CO_Attainment for Unit Tests'!B88</f>
        <v/>
      </c>
      <c r="D90" s="151" t="str">
        <f>'CO_Attainment for Unit Tests'!C88</f>
        <v/>
      </c>
      <c r="E90" s="108"/>
    </row>
    <row r="91" ht="15.75" customHeight="1">
      <c r="B91" s="83">
        <v>78.0</v>
      </c>
      <c r="C91" s="83" t="str">
        <f>'CO_Attainment for Unit Tests'!B89</f>
        <v/>
      </c>
      <c r="D91" s="151" t="str">
        <f>'CO_Attainment for Unit Tests'!C89</f>
        <v/>
      </c>
      <c r="E91" s="108"/>
    </row>
    <row r="92" ht="15.75" customHeight="1">
      <c r="B92" s="83">
        <v>79.0</v>
      </c>
      <c r="C92" s="83" t="str">
        <f>'CO_Attainment for Unit Tests'!B90</f>
        <v/>
      </c>
      <c r="D92" s="151" t="str">
        <f>'CO_Attainment for Unit Tests'!C90</f>
        <v/>
      </c>
      <c r="E92" s="108"/>
    </row>
    <row r="93" ht="15.75" customHeight="1">
      <c r="B93" s="83">
        <v>80.0</v>
      </c>
      <c r="C93" s="83" t="str">
        <f>'CO_Attainment for Unit Tests'!B91</f>
        <v/>
      </c>
      <c r="D93" s="151" t="str">
        <f>'CO_Attainment for Unit Tests'!C91</f>
        <v/>
      </c>
      <c r="E93" s="108"/>
    </row>
    <row r="94" ht="24.75" customHeight="1">
      <c r="B94" s="83">
        <v>81.0</v>
      </c>
      <c r="C94" s="83" t="str">
        <f>'CO_Attainment for Unit Tests'!B92</f>
        <v/>
      </c>
      <c r="D94" s="151" t="str">
        <f>'CO_Attainment for Unit Tests'!C92</f>
        <v/>
      </c>
      <c r="E94" s="108"/>
    </row>
    <row r="95" ht="15.75" customHeight="1">
      <c r="B95" s="83">
        <v>82.0</v>
      </c>
      <c r="C95" s="83" t="str">
        <f>'CO_Attainment for Unit Tests'!B93</f>
        <v/>
      </c>
      <c r="D95" s="151" t="str">
        <f>'CO_Attainment for Unit Tests'!C93</f>
        <v/>
      </c>
      <c r="E95" s="108"/>
    </row>
    <row r="96" ht="15.75" customHeight="1">
      <c r="B96" s="83">
        <v>83.0</v>
      </c>
      <c r="C96" s="83" t="str">
        <f>'CO_Attainment for Unit Tests'!B94</f>
        <v/>
      </c>
      <c r="D96" s="151" t="str">
        <f>'CO_Attainment for Unit Tests'!C94</f>
        <v/>
      </c>
      <c r="E96" s="108"/>
    </row>
    <row r="97" ht="33.0" customHeight="1">
      <c r="B97" s="18"/>
      <c r="C97" s="18"/>
      <c r="D97" s="154" t="s">
        <v>150</v>
      </c>
      <c r="E97" s="155">
        <f>D98*E13/100</f>
        <v>32.879</v>
      </c>
    </row>
    <row r="98" ht="15.75" customHeight="1">
      <c r="D98" s="156">
        <v>46.97</v>
      </c>
      <c r="E98" s="30"/>
    </row>
    <row r="99" ht="15.0" customHeight="1">
      <c r="D99" s="157" t="s">
        <v>136</v>
      </c>
      <c r="E99" s="158">
        <f>COUNTIF(E14:E96,"&gt;=" &amp;E97)</f>
        <v>54</v>
      </c>
    </row>
    <row r="100" ht="15.75" customHeight="1">
      <c r="B100" s="18" t="s">
        <v>151</v>
      </c>
      <c r="D100" s="159"/>
      <c r="E100" s="160"/>
    </row>
    <row r="101" ht="15.75" customHeight="1">
      <c r="D101" s="159"/>
      <c r="E101" s="160"/>
    </row>
    <row r="102" ht="15.75" customHeight="1">
      <c r="E102" s="17"/>
    </row>
    <row r="103" ht="33.75" customHeight="1">
      <c r="A103" s="116" t="s">
        <v>137</v>
      </c>
      <c r="B103" s="24"/>
      <c r="C103" s="24"/>
      <c r="D103" s="25"/>
      <c r="E103" s="161" t="s">
        <v>138</v>
      </c>
      <c r="F103" s="118"/>
      <c r="G103" s="162" t="s">
        <v>139</v>
      </c>
      <c r="H103" s="163"/>
      <c r="I103" s="163"/>
    </row>
    <row r="104" ht="15.0" customHeight="1">
      <c r="A104" s="120" t="s">
        <v>140</v>
      </c>
      <c r="B104" s="164">
        <v>0.5</v>
      </c>
      <c r="C104" s="165" t="s">
        <v>152</v>
      </c>
      <c r="D104" s="166"/>
      <c r="E104" s="167">
        <f>COUNTA(D14:D96)-COUNTIFS(D14:D96,0)</f>
        <v>62</v>
      </c>
      <c r="F104" s="168">
        <f t="shared" ref="F104:F106" si="1">B104*$E$104</f>
        <v>31</v>
      </c>
      <c r="G104" s="169">
        <v>1.0</v>
      </c>
      <c r="H104" s="163"/>
      <c r="I104" s="163"/>
    </row>
    <row r="105" ht="15.75" customHeight="1">
      <c r="A105" s="127"/>
      <c r="B105" s="170">
        <v>0.6</v>
      </c>
      <c r="C105" s="171" t="s">
        <v>152</v>
      </c>
      <c r="D105" s="130"/>
      <c r="E105" s="26"/>
      <c r="F105" s="172">
        <f t="shared" si="1"/>
        <v>37.2</v>
      </c>
      <c r="G105" s="173">
        <v>2.0</v>
      </c>
      <c r="H105" s="163"/>
      <c r="I105" s="163"/>
    </row>
    <row r="106" ht="15.75" customHeight="1">
      <c r="A106" s="131"/>
      <c r="B106" s="174">
        <v>0.7</v>
      </c>
      <c r="C106" s="175" t="s">
        <v>153</v>
      </c>
      <c r="D106" s="135"/>
      <c r="E106" s="30"/>
      <c r="F106" s="176">
        <f t="shared" si="1"/>
        <v>43.4</v>
      </c>
      <c r="G106" s="177">
        <v>3.0</v>
      </c>
      <c r="H106" s="163"/>
      <c r="I106" s="163"/>
    </row>
    <row r="107" ht="15.75" customHeight="1">
      <c r="A107" s="163"/>
      <c r="B107" s="163"/>
      <c r="C107" s="163"/>
      <c r="D107" s="163"/>
      <c r="E107" s="178"/>
      <c r="F107" s="163"/>
      <c r="G107" s="163"/>
      <c r="H107" s="163"/>
      <c r="I107" s="163"/>
    </row>
    <row r="108" ht="15.75" customHeight="1">
      <c r="A108" s="163"/>
      <c r="B108" s="163"/>
      <c r="C108" s="163"/>
      <c r="D108" s="163"/>
      <c r="E108" s="178"/>
      <c r="F108" s="163"/>
      <c r="G108" s="163"/>
      <c r="H108" s="163"/>
      <c r="I108" s="163"/>
    </row>
    <row r="109" ht="71.25" customHeight="1">
      <c r="A109" s="179" t="s">
        <v>154</v>
      </c>
      <c r="B109" s="180"/>
      <c r="C109" s="139" t="s">
        <v>9</v>
      </c>
      <c r="D109" s="139" t="s">
        <v>11</v>
      </c>
      <c r="E109" s="139" t="s">
        <v>13</v>
      </c>
      <c r="F109" s="139" t="s">
        <v>15</v>
      </c>
      <c r="G109" s="139" t="s">
        <v>143</v>
      </c>
      <c r="H109" s="140" t="s">
        <v>144</v>
      </c>
      <c r="I109" s="163"/>
    </row>
    <row r="110" ht="39.0" customHeight="1">
      <c r="A110" s="181" t="s">
        <v>155</v>
      </c>
      <c r="B110" s="182"/>
      <c r="C110" s="142">
        <f>IF(E99&gt;=$F106,3,IF(E99&gt;=$F105,2,IF(E99&gt;=$F104,1,0)))</f>
        <v>3</v>
      </c>
      <c r="D110" s="142">
        <f t="shared" ref="D110:H110" si="2">$C110</f>
        <v>3</v>
      </c>
      <c r="E110" s="142">
        <f t="shared" si="2"/>
        <v>3</v>
      </c>
      <c r="F110" s="142">
        <f t="shared" si="2"/>
        <v>3</v>
      </c>
      <c r="G110" s="142">
        <f t="shared" si="2"/>
        <v>3</v>
      </c>
      <c r="H110" s="142">
        <f t="shared" si="2"/>
        <v>3</v>
      </c>
      <c r="I110" s="163"/>
    </row>
    <row r="111" ht="15.75" customHeight="1">
      <c r="A111" s="163" t="s">
        <v>156</v>
      </c>
      <c r="B111" s="163"/>
      <c r="C111" s="163"/>
      <c r="D111" s="163"/>
      <c r="E111" s="178"/>
      <c r="F111" s="163"/>
      <c r="G111" s="163"/>
      <c r="H111" s="163"/>
      <c r="I111" s="163"/>
    </row>
    <row r="112" ht="15.75" customHeight="1">
      <c r="A112" s="163"/>
      <c r="B112" s="163"/>
      <c r="C112" s="163"/>
      <c r="D112" s="163"/>
      <c r="E112" s="178"/>
      <c r="F112" s="163"/>
      <c r="G112" s="163"/>
      <c r="H112" s="163"/>
      <c r="I112" s="163"/>
    </row>
    <row r="113" ht="15.75" customHeight="1">
      <c r="E113" s="17"/>
    </row>
    <row r="114" ht="15.75" customHeight="1">
      <c r="E114" s="17"/>
    </row>
    <row r="115" ht="15.75" customHeight="1">
      <c r="E115" s="17"/>
    </row>
    <row r="116" ht="15.75" customHeight="1">
      <c r="E116" s="17"/>
    </row>
    <row r="117" ht="15.75" customHeight="1">
      <c r="E117" s="17"/>
    </row>
    <row r="118" ht="15.75" customHeight="1">
      <c r="E118" s="17"/>
    </row>
    <row r="119" ht="15.75" customHeight="1">
      <c r="E119" s="17"/>
    </row>
    <row r="120" ht="15.75" customHeight="1">
      <c r="E120" s="17"/>
    </row>
    <row r="121" ht="15.75" customHeight="1">
      <c r="E121" s="17"/>
    </row>
    <row r="122" ht="15.75" customHeight="1">
      <c r="E122" s="17"/>
    </row>
    <row r="123" ht="15.75" customHeight="1">
      <c r="E123" s="17"/>
    </row>
    <row r="124" ht="15.75" customHeight="1">
      <c r="E124" s="17"/>
    </row>
    <row r="125" ht="15.75" customHeight="1">
      <c r="E125" s="17"/>
    </row>
    <row r="126" ht="15.75" customHeight="1">
      <c r="E126" s="17"/>
    </row>
    <row r="127" ht="15.75" customHeight="1">
      <c r="E127" s="17"/>
    </row>
    <row r="128" ht="15.75" customHeight="1">
      <c r="E128" s="17"/>
    </row>
    <row r="129" ht="15.75" customHeight="1">
      <c r="E129" s="17"/>
    </row>
    <row r="130" ht="15.75" customHeight="1">
      <c r="E130" s="17"/>
    </row>
    <row r="131" ht="15.75" customHeight="1">
      <c r="E131" s="17"/>
    </row>
    <row r="132" ht="15.75" customHeight="1">
      <c r="E132" s="17"/>
    </row>
    <row r="133" ht="15.75" customHeight="1">
      <c r="E133" s="17"/>
    </row>
    <row r="134" ht="15.75" customHeight="1">
      <c r="E134" s="17"/>
    </row>
    <row r="135" ht="15.75" customHeight="1">
      <c r="E135" s="17"/>
    </row>
    <row r="136" ht="15.75" customHeight="1">
      <c r="E136" s="17"/>
    </row>
    <row r="137" ht="15.75" customHeight="1">
      <c r="E137" s="17"/>
    </row>
    <row r="138" ht="15.75" customHeight="1">
      <c r="E138" s="17"/>
    </row>
    <row r="139" ht="15.75" customHeight="1">
      <c r="E139" s="17"/>
    </row>
    <row r="140" ht="15.75" customHeight="1">
      <c r="E140" s="17"/>
    </row>
    <row r="141" ht="15.75" customHeight="1">
      <c r="E141" s="17"/>
    </row>
    <row r="142" ht="15.75" customHeight="1">
      <c r="E142" s="17"/>
    </row>
    <row r="143" ht="15.75" customHeight="1">
      <c r="E143" s="17"/>
    </row>
    <row r="144" ht="15.75" customHeight="1">
      <c r="E144" s="17"/>
    </row>
    <row r="145" ht="15.75" customHeight="1">
      <c r="E145" s="17"/>
    </row>
    <row r="146" ht="15.75" customHeight="1">
      <c r="E146" s="17"/>
    </row>
    <row r="147" ht="15.75" customHeight="1">
      <c r="E147" s="17"/>
    </row>
    <row r="148" ht="15.75" customHeight="1">
      <c r="E148" s="17"/>
    </row>
    <row r="149" ht="15.75" customHeight="1">
      <c r="E149" s="17"/>
    </row>
    <row r="150" ht="15.75" customHeight="1">
      <c r="E150" s="17"/>
    </row>
    <row r="151" ht="15.75" customHeight="1">
      <c r="E151" s="17"/>
    </row>
    <row r="152" ht="15.75" customHeight="1">
      <c r="E152" s="17"/>
    </row>
    <row r="153" ht="15.75" customHeight="1">
      <c r="E153" s="17"/>
    </row>
    <row r="154" ht="15.75" customHeight="1">
      <c r="E154" s="17"/>
    </row>
    <row r="155" ht="15.75" customHeight="1">
      <c r="E155" s="17"/>
    </row>
    <row r="156" ht="15.75" customHeight="1">
      <c r="E156" s="17"/>
    </row>
    <row r="157" ht="15.75" customHeight="1">
      <c r="E157" s="17"/>
    </row>
    <row r="158" ht="15.75" customHeight="1">
      <c r="E158" s="17"/>
    </row>
    <row r="159" ht="15.75" customHeight="1">
      <c r="E159" s="17"/>
    </row>
    <row r="160" ht="15.75" customHeight="1">
      <c r="E160" s="17"/>
    </row>
    <row r="161" ht="15.75" customHeight="1">
      <c r="E161" s="17"/>
    </row>
    <row r="162" ht="15.75" customHeight="1">
      <c r="E162" s="17"/>
    </row>
    <row r="163" ht="15.75" customHeight="1">
      <c r="E163" s="17"/>
    </row>
    <row r="164" ht="15.75" customHeight="1">
      <c r="E164" s="17"/>
    </row>
    <row r="165" ht="15.75" customHeight="1">
      <c r="E165" s="17"/>
    </row>
    <row r="166" ht="15.75" customHeight="1">
      <c r="E166" s="17"/>
    </row>
    <row r="167" ht="15.75" customHeight="1">
      <c r="E167" s="17"/>
    </row>
    <row r="168" ht="15.75" customHeight="1">
      <c r="E168" s="17"/>
    </row>
    <row r="169" ht="15.75" customHeight="1">
      <c r="E169" s="17"/>
    </row>
    <row r="170" ht="15.75" customHeight="1">
      <c r="E170" s="17"/>
    </row>
    <row r="171" ht="15.75" customHeight="1">
      <c r="E171" s="17"/>
    </row>
    <row r="172" ht="15.75" customHeight="1">
      <c r="E172" s="17"/>
    </row>
    <row r="173" ht="15.75" customHeight="1">
      <c r="E173" s="17"/>
    </row>
    <row r="174" ht="15.75" customHeight="1">
      <c r="E174" s="17"/>
    </row>
    <row r="175" ht="15.75" customHeight="1">
      <c r="E175" s="17"/>
    </row>
    <row r="176" ht="15.75" customHeight="1">
      <c r="E176" s="17"/>
    </row>
    <row r="177" ht="15.75" customHeight="1">
      <c r="E177" s="17"/>
    </row>
    <row r="178" ht="15.75" customHeight="1">
      <c r="E178" s="17"/>
    </row>
    <row r="179" ht="15.75" customHeight="1">
      <c r="E179" s="17"/>
    </row>
    <row r="180" ht="15.75" customHeight="1">
      <c r="E180" s="17"/>
    </row>
    <row r="181" ht="15.75" customHeight="1">
      <c r="E181" s="17"/>
    </row>
    <row r="182" ht="15.75" customHeight="1">
      <c r="E182" s="17"/>
    </row>
    <row r="183" ht="15.75" customHeight="1">
      <c r="E183" s="17"/>
    </row>
    <row r="184" ht="15.75" customHeight="1">
      <c r="E184" s="17"/>
    </row>
    <row r="185" ht="15.75" customHeight="1">
      <c r="E185" s="17"/>
    </row>
    <row r="186" ht="15.75" customHeight="1">
      <c r="E186" s="17"/>
    </row>
    <row r="187" ht="15.75" customHeight="1">
      <c r="E187" s="17"/>
    </row>
    <row r="188" ht="15.75" customHeight="1">
      <c r="E188" s="17"/>
    </row>
    <row r="189" ht="15.75" customHeight="1">
      <c r="E189" s="17"/>
    </row>
    <row r="190" ht="15.75" customHeight="1">
      <c r="E190" s="17"/>
    </row>
    <row r="191" ht="15.75" customHeight="1">
      <c r="E191" s="17"/>
    </row>
    <row r="192" ht="15.75" customHeight="1">
      <c r="E192" s="17"/>
    </row>
    <row r="193" ht="15.75" customHeight="1">
      <c r="E193" s="17"/>
    </row>
    <row r="194" ht="15.75" customHeight="1">
      <c r="E194" s="17"/>
    </row>
    <row r="195" ht="15.75" customHeight="1">
      <c r="E195" s="17"/>
    </row>
    <row r="196" ht="15.75" customHeight="1">
      <c r="E196" s="17"/>
    </row>
    <row r="197" ht="15.75" customHeight="1">
      <c r="E197" s="17"/>
    </row>
    <row r="198" ht="15.75" customHeight="1">
      <c r="E198" s="17"/>
    </row>
    <row r="199" ht="15.75" customHeight="1">
      <c r="E199" s="17"/>
    </row>
    <row r="200" ht="15.75" customHeight="1">
      <c r="E200" s="17"/>
    </row>
    <row r="201" ht="15.75" customHeight="1">
      <c r="E201" s="17"/>
    </row>
    <row r="202" ht="15.75" customHeight="1">
      <c r="E202" s="17"/>
    </row>
    <row r="203" ht="15.75" customHeight="1">
      <c r="E203" s="17"/>
    </row>
    <row r="204" ht="15.75" customHeight="1">
      <c r="E204" s="17"/>
    </row>
    <row r="205" ht="15.75" customHeight="1">
      <c r="E205" s="17"/>
    </row>
    <row r="206" ht="15.75" customHeight="1">
      <c r="E206" s="17"/>
    </row>
    <row r="207" ht="15.75" customHeight="1">
      <c r="E207" s="17"/>
    </row>
    <row r="208" ht="15.75" customHeight="1">
      <c r="E208" s="17"/>
    </row>
    <row r="209" ht="15.75" customHeight="1">
      <c r="E209" s="17"/>
    </row>
    <row r="210" ht="15.75" customHeight="1">
      <c r="E210" s="17"/>
    </row>
    <row r="211" ht="15.75" customHeight="1">
      <c r="E211" s="17"/>
    </row>
    <row r="212" ht="15.75" customHeight="1">
      <c r="E212" s="17"/>
    </row>
    <row r="213" ht="15.75" customHeight="1">
      <c r="E213" s="17"/>
    </row>
    <row r="214" ht="15.75" customHeight="1">
      <c r="E214" s="17"/>
    </row>
    <row r="215" ht="15.75" customHeight="1">
      <c r="E215" s="17"/>
    </row>
    <row r="216" ht="15.75" customHeight="1">
      <c r="E216" s="17"/>
    </row>
    <row r="217" ht="15.75" customHeight="1">
      <c r="E217" s="17"/>
    </row>
    <row r="218" ht="15.75" customHeight="1">
      <c r="E218" s="17"/>
    </row>
    <row r="219" ht="15.75" customHeight="1">
      <c r="E219" s="17"/>
    </row>
    <row r="220" ht="15.75" customHeight="1">
      <c r="E220" s="17"/>
    </row>
    <row r="221" ht="15.75" customHeight="1">
      <c r="E221" s="17"/>
    </row>
    <row r="222" ht="15.75" customHeight="1">
      <c r="E222" s="17"/>
    </row>
    <row r="223" ht="15.75" customHeight="1">
      <c r="E223" s="17"/>
    </row>
    <row r="224" ht="15.75" customHeight="1">
      <c r="E224" s="17"/>
    </row>
    <row r="225" ht="15.75" customHeight="1">
      <c r="E225" s="17"/>
    </row>
    <row r="226" ht="15.75" customHeight="1">
      <c r="E226" s="17"/>
    </row>
    <row r="227" ht="15.75" customHeight="1">
      <c r="E227" s="17"/>
    </row>
    <row r="228" ht="15.75" customHeight="1">
      <c r="E228" s="17"/>
    </row>
    <row r="229" ht="15.75" customHeight="1">
      <c r="E229" s="17"/>
    </row>
    <row r="230" ht="15.75" customHeight="1">
      <c r="E230" s="17"/>
    </row>
    <row r="231" ht="15.75" customHeight="1">
      <c r="E231" s="17"/>
    </row>
    <row r="232" ht="15.75" customHeight="1">
      <c r="E232" s="17"/>
    </row>
    <row r="233" ht="15.75" customHeight="1">
      <c r="E233" s="17"/>
    </row>
    <row r="234" ht="15.75" customHeight="1">
      <c r="E234" s="17"/>
    </row>
    <row r="235" ht="15.75" customHeight="1">
      <c r="E235" s="17"/>
    </row>
    <row r="236" ht="15.75" customHeight="1">
      <c r="E236" s="17"/>
    </row>
    <row r="237" ht="15.75" customHeight="1">
      <c r="E237" s="17"/>
    </row>
    <row r="238" ht="15.75" customHeight="1">
      <c r="E238" s="17"/>
    </row>
    <row r="239" ht="15.75" customHeight="1">
      <c r="E239" s="17"/>
    </row>
    <row r="240" ht="15.75" customHeight="1">
      <c r="E240" s="17"/>
    </row>
    <row r="241" ht="15.75" customHeight="1">
      <c r="E241" s="17"/>
    </row>
    <row r="242" ht="15.75" customHeight="1">
      <c r="E242" s="17"/>
    </row>
    <row r="243" ht="15.75" customHeight="1">
      <c r="E243" s="17"/>
    </row>
    <row r="244" ht="15.75" customHeight="1">
      <c r="E244" s="17"/>
    </row>
    <row r="245" ht="15.75" customHeight="1">
      <c r="E245" s="17"/>
    </row>
    <row r="246" ht="15.75" customHeight="1">
      <c r="E246" s="17"/>
    </row>
    <row r="247" ht="15.75" customHeight="1">
      <c r="E247" s="17"/>
    </row>
    <row r="248" ht="15.75" customHeight="1">
      <c r="E248" s="17"/>
    </row>
    <row r="249" ht="15.75" customHeight="1">
      <c r="E249" s="17"/>
    </row>
    <row r="250" ht="15.75" customHeight="1">
      <c r="E250" s="17"/>
    </row>
    <row r="251" ht="15.75" customHeight="1">
      <c r="E251" s="17"/>
    </row>
    <row r="252" ht="15.75" customHeight="1">
      <c r="E252" s="17"/>
    </row>
    <row r="253" ht="15.75" customHeight="1">
      <c r="E253" s="17"/>
    </row>
    <row r="254" ht="15.75" customHeight="1">
      <c r="E254" s="17"/>
    </row>
    <row r="255" ht="15.75" customHeight="1">
      <c r="E255" s="17"/>
    </row>
    <row r="256" ht="15.75" customHeight="1">
      <c r="E256" s="17"/>
    </row>
    <row r="257" ht="15.75" customHeight="1">
      <c r="E257" s="17"/>
    </row>
    <row r="258" ht="15.75" customHeight="1">
      <c r="E258" s="17"/>
    </row>
    <row r="259" ht="15.75" customHeight="1">
      <c r="E259" s="17"/>
    </row>
    <row r="260" ht="15.75" customHeight="1">
      <c r="E260" s="17"/>
    </row>
    <row r="261" ht="15.75" customHeight="1">
      <c r="E261" s="17"/>
    </row>
    <row r="262" ht="15.75" customHeight="1">
      <c r="E262" s="17"/>
    </row>
    <row r="263" ht="15.75" customHeight="1">
      <c r="E263" s="17"/>
    </row>
    <row r="264" ht="15.75" customHeight="1">
      <c r="E264" s="17"/>
    </row>
    <row r="265" ht="15.75" customHeight="1">
      <c r="E265" s="17"/>
    </row>
    <row r="266" ht="15.75" customHeight="1">
      <c r="E266" s="17"/>
    </row>
    <row r="267" ht="15.75" customHeight="1">
      <c r="E267" s="17"/>
    </row>
    <row r="268" ht="15.75" customHeight="1">
      <c r="E268" s="17"/>
    </row>
    <row r="269" ht="15.75" customHeight="1">
      <c r="E269" s="17"/>
    </row>
    <row r="270" ht="15.75" customHeight="1">
      <c r="E270" s="17"/>
    </row>
    <row r="271" ht="15.75" customHeight="1">
      <c r="E271" s="17"/>
    </row>
    <row r="272" ht="15.75" customHeight="1">
      <c r="E272" s="17"/>
    </row>
    <row r="273" ht="15.75" customHeight="1">
      <c r="E273" s="17"/>
    </row>
    <row r="274" ht="15.75" customHeight="1">
      <c r="E274" s="17"/>
    </row>
    <row r="275" ht="15.75" customHeight="1">
      <c r="E275" s="17"/>
    </row>
    <row r="276" ht="15.75" customHeight="1">
      <c r="E276" s="17"/>
    </row>
    <row r="277" ht="15.75" customHeight="1">
      <c r="E277" s="17"/>
    </row>
    <row r="278" ht="15.75" customHeight="1">
      <c r="E278" s="17"/>
    </row>
    <row r="279" ht="15.75" customHeight="1">
      <c r="E279" s="17"/>
    </row>
    <row r="280" ht="15.75" customHeight="1">
      <c r="E280" s="17"/>
    </row>
    <row r="281" ht="15.75" customHeight="1">
      <c r="E281" s="17"/>
    </row>
    <row r="282" ht="15.75" customHeight="1">
      <c r="E282" s="17"/>
    </row>
    <row r="283" ht="15.75" customHeight="1">
      <c r="E283" s="17"/>
    </row>
    <row r="284" ht="15.75" customHeight="1">
      <c r="E284" s="17"/>
    </row>
    <row r="285" ht="15.75" customHeight="1">
      <c r="E285" s="17"/>
    </row>
    <row r="286" ht="15.75" customHeight="1">
      <c r="E286" s="17"/>
    </row>
    <row r="287" ht="15.75" customHeight="1">
      <c r="E287" s="17"/>
    </row>
    <row r="288" ht="15.75" customHeight="1">
      <c r="E288" s="17"/>
    </row>
    <row r="289" ht="15.75" customHeight="1">
      <c r="E289" s="17"/>
    </row>
    <row r="290" ht="15.75" customHeight="1">
      <c r="E290" s="17"/>
    </row>
    <row r="291" ht="15.75" customHeight="1">
      <c r="E291" s="17"/>
    </row>
    <row r="292" ht="15.75" customHeight="1">
      <c r="E292" s="17"/>
    </row>
    <row r="293" ht="15.75" customHeight="1">
      <c r="E293" s="17"/>
    </row>
    <row r="294" ht="15.75" customHeight="1">
      <c r="E294" s="17"/>
    </row>
    <row r="295" ht="15.75" customHeight="1">
      <c r="E295" s="17"/>
    </row>
    <row r="296" ht="15.75" customHeight="1">
      <c r="E296" s="17"/>
    </row>
    <row r="297" ht="15.75" customHeight="1">
      <c r="E297" s="17"/>
    </row>
    <row r="298" ht="15.75" customHeight="1">
      <c r="E298" s="17"/>
    </row>
    <row r="299" ht="15.75" customHeight="1">
      <c r="E299" s="17"/>
    </row>
    <row r="300" ht="15.75" customHeight="1">
      <c r="E300" s="17"/>
    </row>
    <row r="301" ht="15.75" customHeight="1">
      <c r="E301" s="17"/>
    </row>
    <row r="302" ht="15.75" customHeight="1">
      <c r="E302" s="17"/>
    </row>
    <row r="303" ht="15.75" customHeight="1">
      <c r="E303" s="17"/>
    </row>
    <row r="304" ht="15.75" customHeight="1">
      <c r="E304" s="17"/>
    </row>
    <row r="305" ht="15.75" customHeight="1">
      <c r="E305" s="17"/>
    </row>
    <row r="306" ht="15.75" customHeight="1">
      <c r="E306" s="17"/>
    </row>
    <row r="307" ht="15.75" customHeight="1">
      <c r="E307" s="17"/>
    </row>
    <row r="308" ht="15.75" customHeight="1">
      <c r="E308" s="17"/>
    </row>
    <row r="309" ht="15.75" customHeight="1">
      <c r="E309" s="17"/>
    </row>
    <row r="310" ht="15.75" customHeight="1">
      <c r="E310" s="17"/>
    </row>
    <row r="311" ht="15.75" customHeight="1">
      <c r="E311" s="17"/>
    </row>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8">
    <mergeCell ref="B1:F1"/>
    <mergeCell ref="D4:E4"/>
    <mergeCell ref="D5:E5"/>
    <mergeCell ref="D6:E6"/>
    <mergeCell ref="D7:E7"/>
    <mergeCell ref="B9:B13"/>
    <mergeCell ref="C9:C13"/>
    <mergeCell ref="C105:D105"/>
    <mergeCell ref="C106:D106"/>
    <mergeCell ref="A109:B109"/>
    <mergeCell ref="A110:B110"/>
    <mergeCell ref="D9:D13"/>
    <mergeCell ref="E9:E12"/>
    <mergeCell ref="E97:E98"/>
    <mergeCell ref="A103:D103"/>
    <mergeCell ref="A104:A106"/>
    <mergeCell ref="C104:D104"/>
    <mergeCell ref="E104:E106"/>
  </mergeCells>
  <printOptions/>
  <pageMargins bottom="0.75" footer="0.0" header="0.0" left="0.7" right="0.7" top="0.75"/>
  <pageSetup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sheetViews>
  <sheetFormatPr customHeight="1" defaultColWidth="14.43" defaultRowHeight="15.0"/>
  <cols>
    <col customWidth="1" min="1" max="1" width="8.71"/>
    <col customWidth="1" min="2" max="2" width="10.43"/>
    <col customWidth="1" min="3" max="3" width="16.0"/>
    <col customWidth="1" min="4" max="4" width="43.14"/>
    <col customWidth="1" min="5" max="5" width="15.57"/>
    <col customWidth="1" min="6" max="6" width="21.29"/>
    <col customWidth="1" min="7" max="7" width="14.71"/>
    <col customWidth="1" min="8" max="8" width="8.71"/>
  </cols>
  <sheetData>
    <row r="1">
      <c r="D1" s="183" t="s">
        <v>157</v>
      </c>
      <c r="E1" s="183"/>
      <c r="F1" s="183"/>
      <c r="G1" s="183"/>
      <c r="H1" s="56"/>
    </row>
    <row r="2">
      <c r="B2" s="56"/>
      <c r="C2" s="56"/>
      <c r="E2" s="144" t="s">
        <v>158</v>
      </c>
      <c r="F2" s="56"/>
      <c r="G2" s="56"/>
    </row>
    <row r="3">
      <c r="B3" s="56"/>
      <c r="C3" s="56"/>
      <c r="D3" s="144"/>
      <c r="E3" s="17"/>
      <c r="F3" s="56"/>
      <c r="G3" s="56"/>
    </row>
    <row r="4">
      <c r="B4" s="56"/>
      <c r="C4" s="57" t="s">
        <v>1</v>
      </c>
      <c r="D4" s="58" t="str">
        <f>'CO_Attainment for Unit Tests'!C3</f>
        <v>Data Structures Using _C</v>
      </c>
      <c r="E4" s="59"/>
      <c r="F4" s="56"/>
      <c r="G4" s="56"/>
      <c r="H4" s="56"/>
    </row>
    <row r="5">
      <c r="B5" s="56"/>
      <c r="C5" s="57" t="s">
        <v>3</v>
      </c>
      <c r="D5" s="58">
        <f>'CO_Attainment for Unit Tests'!C4</f>
        <v>22317</v>
      </c>
      <c r="E5" s="59"/>
      <c r="F5" s="56"/>
      <c r="G5" s="56"/>
      <c r="H5" s="56"/>
    </row>
    <row r="6">
      <c r="B6" s="56"/>
      <c r="C6" s="57" t="s">
        <v>54</v>
      </c>
      <c r="D6" s="58" t="str">
        <f>'CO_Attainment for Unit Tests'!C5</f>
        <v>3rd SEM(CO3I SCHEME)</v>
      </c>
      <c r="E6" s="59"/>
      <c r="F6" s="56"/>
      <c r="G6" s="56"/>
      <c r="H6" s="56"/>
    </row>
    <row r="7">
      <c r="B7" s="56"/>
      <c r="C7" s="57" t="s">
        <v>159</v>
      </c>
      <c r="D7" s="58" t="str">
        <f>'CO_Attainment for Unit Tests'!C6</f>
        <v>2023-24</v>
      </c>
      <c r="E7" s="59"/>
      <c r="F7" s="56"/>
      <c r="G7" s="56"/>
      <c r="H7" s="56"/>
    </row>
    <row r="9" ht="15.75" customHeight="1">
      <c r="B9" s="146" t="s">
        <v>21</v>
      </c>
      <c r="C9" s="147" t="s">
        <v>56</v>
      </c>
      <c r="D9" s="184" t="s">
        <v>57</v>
      </c>
      <c r="E9" s="185" t="s">
        <v>160</v>
      </c>
      <c r="F9" s="186" t="s">
        <v>161</v>
      </c>
      <c r="G9" s="186" t="s">
        <v>162</v>
      </c>
    </row>
    <row r="10" ht="15.75" customHeight="1">
      <c r="B10" s="70"/>
      <c r="C10" s="70"/>
      <c r="D10" s="70"/>
      <c r="E10" s="70"/>
      <c r="F10" s="70"/>
      <c r="G10" s="70"/>
    </row>
    <row r="11" ht="15.75" customHeight="1">
      <c r="B11" s="70"/>
      <c r="C11" s="70"/>
      <c r="D11" s="70"/>
      <c r="E11" s="70"/>
      <c r="F11" s="70"/>
      <c r="G11" s="70"/>
    </row>
    <row r="12" ht="54.75" customHeight="1">
      <c r="B12" s="70"/>
      <c r="C12" s="70"/>
      <c r="D12" s="70"/>
      <c r="E12" s="74"/>
      <c r="F12" s="74"/>
      <c r="G12" s="74"/>
    </row>
    <row r="13" ht="20.25" customHeight="1">
      <c r="B13" s="74"/>
      <c r="C13" s="74"/>
      <c r="D13" s="74"/>
      <c r="E13" s="150">
        <v>10.0</v>
      </c>
      <c r="F13" s="150">
        <v>25.0</v>
      </c>
      <c r="G13" s="150">
        <v>25.0</v>
      </c>
    </row>
    <row r="14">
      <c r="B14" s="83">
        <v>1.0</v>
      </c>
      <c r="C14" s="84">
        <f>'CO_Attainment for Unit Tests'!B13</f>
        <v>2201180002</v>
      </c>
      <c r="D14" s="85" t="str">
        <f>'CO_Attainment for Unit Tests'!C13</f>
        <v>GARAD ANJALI NITIN</v>
      </c>
      <c r="E14" s="86"/>
      <c r="F14" s="86">
        <v>13.0</v>
      </c>
      <c r="G14" s="86">
        <v>19.0</v>
      </c>
    </row>
    <row r="15">
      <c r="B15" s="83">
        <v>2.0</v>
      </c>
      <c r="C15" s="84">
        <f>'CO_Attainment for Unit Tests'!B14</f>
        <v>2201180003</v>
      </c>
      <c r="D15" s="85" t="str">
        <f>'CO_Attainment for Unit Tests'!C14</f>
        <v>WALANDE GAURI DAYANAND</v>
      </c>
      <c r="E15" s="86"/>
      <c r="F15" s="86">
        <v>22.0</v>
      </c>
      <c r="G15" s="86">
        <v>21.0</v>
      </c>
    </row>
    <row r="16">
      <c r="B16" s="83">
        <v>3.0</v>
      </c>
      <c r="C16" s="84">
        <f>'CO_Attainment for Unit Tests'!B15</f>
        <v>2201180004</v>
      </c>
      <c r="D16" s="85" t="str">
        <f>'CO_Attainment for Unit Tests'!C15</f>
        <v>ZUNJURE SARTHAK BALAJI</v>
      </c>
      <c r="E16" s="86"/>
      <c r="F16" s="86">
        <v>22.0</v>
      </c>
      <c r="G16" s="86">
        <v>22.0</v>
      </c>
    </row>
    <row r="17">
      <c r="B17" s="83">
        <v>4.0</v>
      </c>
      <c r="C17" s="84">
        <f>'CO_Attainment for Unit Tests'!B16</f>
        <v>2201180005</v>
      </c>
      <c r="D17" s="85" t="str">
        <f>'CO_Attainment for Unit Tests'!C16</f>
        <v>BHANDE GAYATRI DAMODAR</v>
      </c>
      <c r="E17" s="86"/>
      <c r="F17" s="86">
        <v>24.0</v>
      </c>
      <c r="G17" s="86">
        <v>24.0</v>
      </c>
    </row>
    <row r="18">
      <c r="B18" s="83">
        <v>5.0</v>
      </c>
      <c r="C18" s="84">
        <f>'CO_Attainment for Unit Tests'!B17</f>
        <v>2201180006</v>
      </c>
      <c r="D18" s="85" t="str">
        <f>'CO_Attainment for Unit Tests'!C17</f>
        <v>MUNDHE GAYATRI PARMESHWAR</v>
      </c>
      <c r="E18" s="86"/>
      <c r="F18" s="86">
        <v>24.0</v>
      </c>
      <c r="G18" s="86">
        <v>24.0</v>
      </c>
    </row>
    <row r="19">
      <c r="B19" s="83">
        <v>6.0</v>
      </c>
      <c r="C19" s="84">
        <f>'CO_Attainment for Unit Tests'!B18</f>
        <v>2201180009</v>
      </c>
      <c r="D19" s="85" t="str">
        <f>'CO_Attainment for Unit Tests'!C18</f>
        <v>YADAV RADHA SAMADHAN</v>
      </c>
      <c r="E19" s="86"/>
      <c r="F19" s="86">
        <v>22.0</v>
      </c>
      <c r="G19" s="86">
        <v>21.0</v>
      </c>
    </row>
    <row r="20">
      <c r="B20" s="83">
        <v>7.0</v>
      </c>
      <c r="C20" s="84">
        <f>'CO_Attainment for Unit Tests'!B19</f>
        <v>2201180010</v>
      </c>
      <c r="D20" s="85" t="str">
        <f>'CO_Attainment for Unit Tests'!C19</f>
        <v>DESHMANE MANSI SIDDHESHWAR</v>
      </c>
      <c r="E20" s="86"/>
      <c r="F20" s="86">
        <v>23.0</v>
      </c>
      <c r="G20" s="86">
        <v>21.0</v>
      </c>
    </row>
    <row r="21" ht="15.75" customHeight="1">
      <c r="B21" s="83">
        <v>8.0</v>
      </c>
      <c r="C21" s="84">
        <f>'CO_Attainment for Unit Tests'!B20</f>
        <v>2201180011</v>
      </c>
      <c r="D21" s="85" t="str">
        <f>'CO_Attainment for Unit Tests'!C20</f>
        <v>GAWALGADADE POOJA ARVIND</v>
      </c>
      <c r="E21" s="86"/>
      <c r="F21" s="86">
        <v>22.0</v>
      </c>
      <c r="G21" s="86">
        <v>20.0</v>
      </c>
    </row>
    <row r="22" ht="15.75" customHeight="1">
      <c r="B22" s="83">
        <v>9.0</v>
      </c>
      <c r="C22" s="84">
        <f>'CO_Attainment for Unit Tests'!B21</f>
        <v>2201180014</v>
      </c>
      <c r="D22" s="85" t="str">
        <f>'CO_Attainment for Unit Tests'!C21</f>
        <v>JAIN TANISHA SHAILESH</v>
      </c>
      <c r="E22" s="86"/>
      <c r="F22" s="86">
        <v>19.0</v>
      </c>
      <c r="G22" s="86">
        <v>21.0</v>
      </c>
    </row>
    <row r="23" ht="15.75" customHeight="1">
      <c r="B23" s="83">
        <v>10.0</v>
      </c>
      <c r="C23" s="84">
        <f>'CO_Attainment for Unit Tests'!B22</f>
        <v>2201180050</v>
      </c>
      <c r="D23" s="85" t="str">
        <f>'CO_Attainment for Unit Tests'!C22</f>
        <v>MAINDARGE SIDDHI PRASAD</v>
      </c>
      <c r="E23" s="86"/>
      <c r="F23" s="86">
        <v>23.0</v>
      </c>
      <c r="G23" s="86">
        <v>23.0</v>
      </c>
    </row>
    <row r="24" ht="15.75" customHeight="1">
      <c r="B24" s="83">
        <v>11.0</v>
      </c>
      <c r="C24" s="84">
        <f>'CO_Attainment for Unit Tests'!B23</f>
        <v>2201180051</v>
      </c>
      <c r="D24" s="85" t="str">
        <f>'CO_Attainment for Unit Tests'!C23</f>
        <v>BHOSALE VAISHNAVI DAYANAND</v>
      </c>
      <c r="E24" s="86"/>
      <c r="F24" s="86">
        <v>22.0</v>
      </c>
      <c r="G24" s="86">
        <v>23.0</v>
      </c>
    </row>
    <row r="25" ht="15.75" customHeight="1">
      <c r="B25" s="83">
        <v>12.0</v>
      </c>
      <c r="C25" s="84">
        <f>'CO_Attainment for Unit Tests'!B24</f>
        <v>2201180052</v>
      </c>
      <c r="D25" s="85" t="str">
        <f>'CO_Attainment for Unit Tests'!C24</f>
        <v>ATTAR SANIYA VAJIR</v>
      </c>
      <c r="E25" s="86"/>
      <c r="F25" s="86">
        <v>23.0</v>
      </c>
      <c r="G25" s="86">
        <v>23.0</v>
      </c>
    </row>
    <row r="26" ht="15.75" customHeight="1">
      <c r="B26" s="83">
        <v>13.0</v>
      </c>
      <c r="C26" s="84">
        <f>'CO_Attainment for Unit Tests'!B25</f>
        <v>2201180053</v>
      </c>
      <c r="D26" s="85" t="str">
        <f>'CO_Attainment for Unit Tests'!C25</f>
        <v>NALWADE SNEHA NETAJI</v>
      </c>
      <c r="E26" s="86"/>
      <c r="F26" s="86">
        <v>24.0</v>
      </c>
      <c r="G26" s="86">
        <v>24.0</v>
      </c>
    </row>
    <row r="27" ht="15.75" customHeight="1">
      <c r="B27" s="83">
        <v>14.0</v>
      </c>
      <c r="C27" s="84">
        <f>'CO_Attainment for Unit Tests'!B26</f>
        <v>2201180055</v>
      </c>
      <c r="D27" s="85" t="str">
        <f>'CO_Attainment for Unit Tests'!C26</f>
        <v>AADHE PANKAJ RAM</v>
      </c>
      <c r="E27" s="86"/>
      <c r="F27" s="86">
        <v>21.0</v>
      </c>
      <c r="G27" s="86">
        <v>23.0</v>
      </c>
    </row>
    <row r="28" ht="15.75" customHeight="1">
      <c r="B28" s="83">
        <v>15.0</v>
      </c>
      <c r="C28" s="84">
        <f>'CO_Attainment for Unit Tests'!B27</f>
        <v>2201180056</v>
      </c>
      <c r="D28" s="85" t="str">
        <f>'CO_Attainment for Unit Tests'!C27</f>
        <v>BUDGE VISHAKHA VENKAT</v>
      </c>
      <c r="E28" s="86"/>
      <c r="F28" s="86">
        <v>22.0</v>
      </c>
      <c r="G28" s="86">
        <v>22.0</v>
      </c>
    </row>
    <row r="29" ht="15.75" customHeight="1">
      <c r="B29" s="83">
        <v>16.0</v>
      </c>
      <c r="C29" s="84">
        <f>'CO_Attainment for Unit Tests'!B28</f>
        <v>2201180058</v>
      </c>
      <c r="D29" s="85" t="str">
        <f>'CO_Attainment for Unit Tests'!C28</f>
        <v>PAWAR PRATIKSHA VITTHAL</v>
      </c>
      <c r="E29" s="86"/>
      <c r="F29" s="86">
        <v>23.0</v>
      </c>
      <c r="G29" s="86">
        <v>22.0</v>
      </c>
    </row>
    <row r="30" ht="15.75" customHeight="1">
      <c r="B30" s="83">
        <v>17.0</v>
      </c>
      <c r="C30" s="84">
        <f>'CO_Attainment for Unit Tests'!B29</f>
        <v>2201180059</v>
      </c>
      <c r="D30" s="85" t="str">
        <f>'CO_Attainment for Unit Tests'!C29</f>
        <v>WAGHMARE RAU HANMANT</v>
      </c>
      <c r="E30" s="86"/>
      <c r="F30" s="86">
        <v>23.0</v>
      </c>
      <c r="G30" s="86">
        <v>21.0</v>
      </c>
    </row>
    <row r="31" ht="15.75" customHeight="1">
      <c r="B31" s="83">
        <v>18.0</v>
      </c>
      <c r="C31" s="84">
        <f>'CO_Attainment for Unit Tests'!B30</f>
        <v>2201180060</v>
      </c>
      <c r="D31" s="85" t="str">
        <f>'CO_Attainment for Unit Tests'!C30</f>
        <v>MAHAJAN SHRUTI DILIP</v>
      </c>
      <c r="E31" s="86"/>
      <c r="F31" s="86">
        <v>22.0</v>
      </c>
      <c r="G31" s="86">
        <v>23.0</v>
      </c>
    </row>
    <row r="32" ht="15.75" customHeight="1">
      <c r="B32" s="83">
        <v>19.0</v>
      </c>
      <c r="C32" s="84">
        <f>'CO_Attainment for Unit Tests'!B31</f>
        <v>2201180061</v>
      </c>
      <c r="D32" s="85" t="str">
        <f>'CO_Attainment for Unit Tests'!C31</f>
        <v>CHANDANE GAYATRI PRASHANT</v>
      </c>
      <c r="E32" s="86"/>
      <c r="F32" s="86">
        <v>20.0</v>
      </c>
      <c r="G32" s="86">
        <v>22.0</v>
      </c>
    </row>
    <row r="33" ht="15.75" customHeight="1">
      <c r="B33" s="83">
        <v>20.0</v>
      </c>
      <c r="C33" s="84">
        <f>'CO_Attainment for Unit Tests'!B32</f>
        <v>2201180062</v>
      </c>
      <c r="D33" s="85" t="str">
        <f>'CO_Attainment for Unit Tests'!C32</f>
        <v>JOSHI SHRAVANI SHRIKANT</v>
      </c>
      <c r="E33" s="86"/>
      <c r="F33" s="86">
        <v>23.0</v>
      </c>
      <c r="G33" s="86">
        <v>24.0</v>
      </c>
    </row>
    <row r="34" ht="15.75" customHeight="1">
      <c r="B34" s="83">
        <v>21.0</v>
      </c>
      <c r="C34" s="84">
        <f>'CO_Attainment for Unit Tests'!B33</f>
        <v>2201180063</v>
      </c>
      <c r="D34" s="85" t="str">
        <f>'CO_Attainment for Unit Tests'!C33</f>
        <v>MANE ANUSHKA BALASAHEB</v>
      </c>
      <c r="E34" s="86"/>
      <c r="F34" s="86">
        <v>22.0</v>
      </c>
      <c r="G34" s="86">
        <v>24.0</v>
      </c>
    </row>
    <row r="35" ht="15.75" customHeight="1">
      <c r="B35" s="83">
        <v>22.0</v>
      </c>
      <c r="C35" s="84">
        <f>'CO_Attainment for Unit Tests'!B34</f>
        <v>2201180064</v>
      </c>
      <c r="D35" s="85" t="str">
        <f>'CO_Attainment for Unit Tests'!C34</f>
        <v>GADEKAR MAHESH BALAJI</v>
      </c>
      <c r="E35" s="86"/>
      <c r="F35" s="86">
        <v>22.0</v>
      </c>
      <c r="G35" s="86">
        <v>22.0</v>
      </c>
    </row>
    <row r="36" ht="15.75" customHeight="1">
      <c r="B36" s="83">
        <v>23.0</v>
      </c>
      <c r="C36" s="84">
        <f>'CO_Attainment for Unit Tests'!B35</f>
        <v>2201180065</v>
      </c>
      <c r="D36" s="85" t="str">
        <f>'CO_Attainment for Unit Tests'!C35</f>
        <v>DESHMUKH SWANANDI UDAYRAO</v>
      </c>
      <c r="E36" s="86"/>
      <c r="F36" s="86">
        <v>23.0</v>
      </c>
      <c r="G36" s="86">
        <v>24.0</v>
      </c>
    </row>
    <row r="37" ht="15.75" customHeight="1">
      <c r="B37" s="83">
        <v>24.0</v>
      </c>
      <c r="C37" s="84">
        <f>'CO_Attainment for Unit Tests'!B36</f>
        <v>2201180148</v>
      </c>
      <c r="D37" s="85" t="str">
        <f>'CO_Attainment for Unit Tests'!C36</f>
        <v>LAGDIVE SHIVAM NITIN</v>
      </c>
      <c r="E37" s="86"/>
      <c r="F37" s="86">
        <v>22.0</v>
      </c>
      <c r="G37" s="86">
        <v>23.0</v>
      </c>
    </row>
    <row r="38" ht="15.75" customHeight="1">
      <c r="B38" s="83">
        <v>25.0</v>
      </c>
      <c r="C38" s="84">
        <f>'CO_Attainment for Unit Tests'!B37</f>
        <v>2201180227</v>
      </c>
      <c r="D38" s="85" t="str">
        <f>'CO_Attainment for Unit Tests'!C37</f>
        <v>SARPHALE POOJA SADASHIV</v>
      </c>
      <c r="E38" s="86"/>
      <c r="F38" s="86">
        <v>23.0</v>
      </c>
      <c r="G38" s="86">
        <v>23.0</v>
      </c>
    </row>
    <row r="39" ht="15.75" customHeight="1">
      <c r="B39" s="83">
        <v>26.0</v>
      </c>
      <c r="C39" s="84">
        <f>'CO_Attainment for Unit Tests'!B38</f>
        <v>2201180228</v>
      </c>
      <c r="D39" s="85" t="str">
        <f>'CO_Attainment for Unit Tests'!C38</f>
        <v>WAGHMARE ABHISHEK SOMNATH</v>
      </c>
      <c r="E39" s="86"/>
      <c r="F39" s="86">
        <v>22.0</v>
      </c>
      <c r="G39" s="86">
        <v>23.0</v>
      </c>
    </row>
    <row r="40" ht="15.75" customHeight="1">
      <c r="B40" s="83">
        <v>27.0</v>
      </c>
      <c r="C40" s="84">
        <f>'CO_Attainment for Unit Tests'!B39</f>
        <v>2201180229</v>
      </c>
      <c r="D40" s="85" t="str">
        <f>'CO_Attainment for Unit Tests'!C39</f>
        <v>KAMBALE ROHINI RUPESH</v>
      </c>
      <c r="E40" s="86"/>
      <c r="F40" s="86">
        <v>22.0</v>
      </c>
      <c r="G40" s="86">
        <v>21.0</v>
      </c>
    </row>
    <row r="41" ht="15.75" customHeight="1">
      <c r="B41" s="83">
        <v>28.0</v>
      </c>
      <c r="C41" s="84">
        <f>'CO_Attainment for Unit Tests'!B40</f>
        <v>2201180230</v>
      </c>
      <c r="D41" s="85" t="str">
        <f>'CO_Attainment for Unit Tests'!C40</f>
        <v>ROCHKARI SANSKRUTI SUDHIR</v>
      </c>
      <c r="E41" s="86"/>
      <c r="F41" s="86">
        <v>16.0</v>
      </c>
      <c r="G41" s="86">
        <v>20.0</v>
      </c>
    </row>
    <row r="42" ht="15.75" customHeight="1">
      <c r="B42" s="83">
        <v>29.0</v>
      </c>
      <c r="C42" s="84">
        <f>'CO_Attainment for Unit Tests'!B41</f>
        <v>2201180232</v>
      </c>
      <c r="D42" s="85" t="str">
        <f>'CO_Attainment for Unit Tests'!C41</f>
        <v>NIMBALKAR APURVA BHUJANG</v>
      </c>
      <c r="E42" s="86"/>
      <c r="F42" s="86">
        <v>24.0</v>
      </c>
      <c r="G42" s="86">
        <v>24.0</v>
      </c>
    </row>
    <row r="43" ht="15.75" customHeight="1">
      <c r="B43" s="83">
        <v>30.0</v>
      </c>
      <c r="C43" s="84">
        <f>'CO_Attainment for Unit Tests'!B42</f>
        <v>2201180233</v>
      </c>
      <c r="D43" s="85" t="str">
        <f>'CO_Attainment for Unit Tests'!C42</f>
        <v>KSHIRSAGAR SAMARTH DATTATRAY</v>
      </c>
      <c r="E43" s="86"/>
      <c r="F43" s="86">
        <v>23.0</v>
      </c>
      <c r="G43" s="86">
        <v>22.0</v>
      </c>
    </row>
    <row r="44" ht="15.75" customHeight="1">
      <c r="B44" s="83">
        <v>31.0</v>
      </c>
      <c r="C44" s="84">
        <f>'CO_Attainment for Unit Tests'!B43</f>
        <v>2201180234</v>
      </c>
      <c r="D44" s="85" t="str">
        <f>'CO_Attainment for Unit Tests'!C43</f>
        <v>MASIHA SILVIYA SANTOSH</v>
      </c>
      <c r="E44" s="86"/>
      <c r="F44" s="86">
        <v>23.0</v>
      </c>
      <c r="G44" s="86">
        <v>23.0</v>
      </c>
    </row>
    <row r="45" ht="15.75" customHeight="1">
      <c r="B45" s="83">
        <v>32.0</v>
      </c>
      <c r="C45" s="84">
        <f>'CO_Attainment for Unit Tests'!B44</f>
        <v>2201180235</v>
      </c>
      <c r="D45" s="85" t="str">
        <f>'CO_Attainment for Unit Tests'!C44</f>
        <v>KAWADE PRIYA SHANKAR</v>
      </c>
      <c r="E45" s="86"/>
      <c r="F45" s="86">
        <v>23.0</v>
      </c>
      <c r="G45" s="86">
        <v>23.0</v>
      </c>
    </row>
    <row r="46" ht="15.75" customHeight="1">
      <c r="B46" s="83">
        <v>33.0</v>
      </c>
      <c r="C46" s="84">
        <f>'CO_Attainment for Unit Tests'!B45</f>
        <v>2201180237</v>
      </c>
      <c r="D46" s="85" t="str">
        <f>'CO_Attainment for Unit Tests'!C45</f>
        <v>PATIL PRANITA PRAVIN</v>
      </c>
      <c r="E46" s="86"/>
      <c r="F46" s="86">
        <v>23.0</v>
      </c>
      <c r="G46" s="86">
        <v>23.0</v>
      </c>
    </row>
    <row r="47" ht="15.75" customHeight="1">
      <c r="B47" s="83">
        <v>34.0</v>
      </c>
      <c r="C47" s="84">
        <f>'CO_Attainment for Unit Tests'!B46</f>
        <v>2201180238</v>
      </c>
      <c r="D47" s="85" t="str">
        <f>'CO_Attainment for Unit Tests'!C46</f>
        <v>GAVALI ROHAN DNYANDEO</v>
      </c>
      <c r="E47" s="86"/>
      <c r="F47" s="86">
        <v>18.0</v>
      </c>
      <c r="G47" s="86">
        <v>20.0</v>
      </c>
    </row>
    <row r="48" ht="15.75" customHeight="1">
      <c r="B48" s="83">
        <v>35.0</v>
      </c>
      <c r="C48" s="84">
        <f>'CO_Attainment for Unit Tests'!B47</f>
        <v>2201180241</v>
      </c>
      <c r="D48" s="85" t="str">
        <f>'CO_Attainment for Unit Tests'!C47</f>
        <v>GAIKWAD VASUDHA SANDIPAN</v>
      </c>
      <c r="E48" s="86"/>
      <c r="F48" s="86">
        <v>23.0</v>
      </c>
      <c r="G48" s="86">
        <v>22.0</v>
      </c>
    </row>
    <row r="49" ht="15.75" customHeight="1">
      <c r="B49" s="83">
        <v>36.0</v>
      </c>
      <c r="C49" s="84">
        <f>'CO_Attainment for Unit Tests'!B48</f>
        <v>2201180242</v>
      </c>
      <c r="D49" s="85" t="str">
        <f>'CO_Attainment for Unit Tests'!C48</f>
        <v>GORE SANKET NARENDRA</v>
      </c>
      <c r="E49" s="86"/>
      <c r="F49" s="86">
        <v>15.0</v>
      </c>
      <c r="G49" s="86">
        <v>20.0</v>
      </c>
    </row>
    <row r="50" ht="15.75" customHeight="1">
      <c r="B50" s="83">
        <v>37.0</v>
      </c>
      <c r="C50" s="84">
        <f>'CO_Attainment for Unit Tests'!B49</f>
        <v>2201180243</v>
      </c>
      <c r="D50" s="85" t="str">
        <f>'CO_Attainment for Unit Tests'!C49</f>
        <v>HINGANE SAKSHI SATISH</v>
      </c>
      <c r="E50" s="86"/>
      <c r="F50" s="86">
        <v>23.0</v>
      </c>
      <c r="G50" s="86">
        <v>23.0</v>
      </c>
    </row>
    <row r="51" ht="15.75" customHeight="1">
      <c r="B51" s="83">
        <v>38.0</v>
      </c>
      <c r="C51" s="84">
        <f>'CO_Attainment for Unit Tests'!B50</f>
        <v>2201180280</v>
      </c>
      <c r="D51" s="85" t="str">
        <f>'CO_Attainment for Unit Tests'!C50</f>
        <v>JADHAV SHREYAS YADAVRAO</v>
      </c>
      <c r="E51" s="86"/>
      <c r="F51" s="86">
        <v>21.0</v>
      </c>
      <c r="G51" s="86">
        <v>23.0</v>
      </c>
    </row>
    <row r="52" ht="15.75" customHeight="1">
      <c r="B52" s="83">
        <v>39.0</v>
      </c>
      <c r="C52" s="84">
        <f>'CO_Attainment for Unit Tests'!B51</f>
        <v>2201180282</v>
      </c>
      <c r="D52" s="85" t="str">
        <f>'CO_Attainment for Unit Tests'!C51</f>
        <v>WAKALE KOMAL SANTOSH</v>
      </c>
      <c r="E52" s="86"/>
      <c r="F52" s="86">
        <v>21.0</v>
      </c>
      <c r="G52" s="86">
        <v>23.0</v>
      </c>
    </row>
    <row r="53" ht="15.75" customHeight="1">
      <c r="B53" s="83">
        <v>40.0</v>
      </c>
      <c r="C53" s="84">
        <f>'CO_Attainment for Unit Tests'!B52</f>
        <v>2201180283</v>
      </c>
      <c r="D53" s="85" t="str">
        <f>'CO_Attainment for Unit Tests'!C52</f>
        <v>KALE PRANITA NAMDEV</v>
      </c>
      <c r="E53" s="86"/>
      <c r="F53" s="86">
        <v>24.0</v>
      </c>
      <c r="G53" s="86">
        <v>22.0</v>
      </c>
    </row>
    <row r="54" ht="15.75" customHeight="1">
      <c r="B54" s="83">
        <v>41.0</v>
      </c>
      <c r="C54" s="84">
        <f>'CO_Attainment for Unit Tests'!B53</f>
        <v>2201180401</v>
      </c>
      <c r="D54" s="85" t="str">
        <f>'CO_Attainment for Unit Tests'!C53</f>
        <v>KHARKE MAHESH HANUMANT</v>
      </c>
      <c r="E54" s="86"/>
      <c r="F54" s="86">
        <v>19.0</v>
      </c>
      <c r="G54" s="86">
        <v>21.0</v>
      </c>
    </row>
    <row r="55" ht="15.75" customHeight="1">
      <c r="B55" s="83">
        <v>42.0</v>
      </c>
      <c r="C55" s="84">
        <f>'CO_Attainment for Unit Tests'!B54</f>
        <v>2201180404</v>
      </c>
      <c r="D55" s="85" t="str">
        <f>'CO_Attainment for Unit Tests'!C54</f>
        <v>PARVE SHRIRAM SUDHIR</v>
      </c>
      <c r="E55" s="86"/>
      <c r="F55" s="86">
        <v>21.0</v>
      </c>
      <c r="G55" s="86">
        <v>22.0</v>
      </c>
    </row>
    <row r="56" ht="15.75" customHeight="1">
      <c r="B56" s="83">
        <v>43.0</v>
      </c>
      <c r="C56" s="84">
        <f>'CO_Attainment for Unit Tests'!B55</f>
        <v>2201180405</v>
      </c>
      <c r="D56" s="85" t="str">
        <f>'CO_Attainment for Unit Tests'!C55</f>
        <v>KOLNURE SURAJ RAJENDRA</v>
      </c>
      <c r="E56" s="86"/>
      <c r="F56" s="86">
        <v>18.0</v>
      </c>
      <c r="G56" s="86">
        <v>22.0</v>
      </c>
    </row>
    <row r="57" ht="15.75" customHeight="1">
      <c r="B57" s="83">
        <v>44.0</v>
      </c>
      <c r="C57" s="84">
        <f>'CO_Attainment for Unit Tests'!B56</f>
        <v>2201180406</v>
      </c>
      <c r="D57" s="85" t="str">
        <f>'CO_Attainment for Unit Tests'!C56</f>
        <v>KANDALE ADITYA VILAS</v>
      </c>
      <c r="E57" s="86"/>
      <c r="F57" s="86">
        <v>23.0</v>
      </c>
      <c r="G57" s="86">
        <v>23.0</v>
      </c>
    </row>
    <row r="58" ht="15.75" customHeight="1">
      <c r="B58" s="83">
        <v>45.0</v>
      </c>
      <c r="C58" s="84">
        <f>'CO_Attainment for Unit Tests'!B57</f>
        <v>2201180407</v>
      </c>
      <c r="D58" s="85" t="str">
        <f>'CO_Attainment for Unit Tests'!C57</f>
        <v>BARATE VARSHARANI DADASAHEB</v>
      </c>
      <c r="E58" s="86"/>
      <c r="F58" s="86">
        <v>24.0</v>
      </c>
      <c r="G58" s="86">
        <v>24.0</v>
      </c>
    </row>
    <row r="59" ht="15.75" customHeight="1">
      <c r="B59" s="83">
        <v>46.0</v>
      </c>
      <c r="C59" s="84">
        <f>'CO_Attainment for Unit Tests'!B58</f>
        <v>2201180408</v>
      </c>
      <c r="D59" s="85" t="str">
        <f>'CO_Attainment for Unit Tests'!C58</f>
        <v>BARATE AADITI DADASAHEB</v>
      </c>
      <c r="E59" s="86"/>
      <c r="F59" s="86">
        <v>23.0</v>
      </c>
      <c r="G59" s="86">
        <v>24.0</v>
      </c>
    </row>
    <row r="60" ht="15.75" customHeight="1">
      <c r="B60" s="83">
        <v>47.0</v>
      </c>
      <c r="C60" s="84">
        <f>'CO_Attainment for Unit Tests'!B59</f>
        <v>2201180410</v>
      </c>
      <c r="D60" s="85" t="str">
        <f>'CO_Attainment for Unit Tests'!C59</f>
        <v>THORAVE SANIKA AMBADAS</v>
      </c>
      <c r="E60" s="86"/>
      <c r="F60" s="86">
        <v>24.0</v>
      </c>
      <c r="G60" s="86">
        <v>23.0</v>
      </c>
    </row>
    <row r="61" ht="15.75" customHeight="1">
      <c r="B61" s="83">
        <v>48.0</v>
      </c>
      <c r="C61" s="84">
        <f>'CO_Attainment for Unit Tests'!B60</f>
        <v>2201180411</v>
      </c>
      <c r="D61" s="85" t="str">
        <f>'CO_Attainment for Unit Tests'!C60</f>
        <v>KULKARNI AAKANKSHA KAMLESH</v>
      </c>
      <c r="E61" s="86"/>
      <c r="F61" s="86">
        <v>24.0</v>
      </c>
      <c r="G61" s="86">
        <v>24.0</v>
      </c>
    </row>
    <row r="62" ht="15.75" customHeight="1">
      <c r="B62" s="83">
        <v>49.0</v>
      </c>
      <c r="C62" s="84">
        <f>'CO_Attainment for Unit Tests'!B61</f>
        <v>2201180412</v>
      </c>
      <c r="D62" s="85" t="str">
        <f>'CO_Attainment for Unit Tests'!C61</f>
        <v>GAIKWAD GAYATRI SURESH</v>
      </c>
      <c r="E62" s="86"/>
      <c r="F62" s="86">
        <v>22.0</v>
      </c>
      <c r="G62" s="86">
        <v>23.0</v>
      </c>
    </row>
    <row r="63" ht="15.75" customHeight="1">
      <c r="B63" s="83">
        <v>50.0</v>
      </c>
      <c r="C63" s="84">
        <f>'CO_Attainment for Unit Tests'!B62</f>
        <v>2201180413</v>
      </c>
      <c r="D63" s="85" t="str">
        <f>'CO_Attainment for Unit Tests'!C62</f>
        <v>SAROLKAR SAKSHI SHAMSUNDAR</v>
      </c>
      <c r="E63" s="86"/>
      <c r="F63" s="86">
        <v>22.0</v>
      </c>
      <c r="G63" s="86">
        <v>23.0</v>
      </c>
    </row>
    <row r="64" ht="15.75" customHeight="1">
      <c r="B64" s="83">
        <v>51.0</v>
      </c>
      <c r="C64" s="84">
        <f>'CO_Attainment for Unit Tests'!B63</f>
        <v>2201180414</v>
      </c>
      <c r="D64" s="85" t="str">
        <f>'CO_Attainment for Unit Tests'!C63</f>
        <v>JAGTAP SANKET NARAYAN</v>
      </c>
      <c r="E64" s="86"/>
      <c r="F64" s="86">
        <v>22.0</v>
      </c>
      <c r="G64" s="86">
        <v>23.0</v>
      </c>
    </row>
    <row r="65" ht="15.75" customHeight="1">
      <c r="B65" s="83">
        <v>52.0</v>
      </c>
      <c r="C65" s="84">
        <f>'CO_Attainment for Unit Tests'!B64</f>
        <v>2201180415</v>
      </c>
      <c r="D65" s="85" t="str">
        <f>'CO_Attainment for Unit Tests'!C64</f>
        <v>DHAPPADHULE VAISHNAVI SACHIN</v>
      </c>
      <c r="E65" s="86"/>
      <c r="F65" s="86">
        <v>22.0</v>
      </c>
      <c r="G65" s="86">
        <v>22.0</v>
      </c>
    </row>
    <row r="66" ht="15.75" customHeight="1">
      <c r="B66" s="83">
        <v>53.0</v>
      </c>
      <c r="C66" s="84">
        <f>'CO_Attainment for Unit Tests'!B65</f>
        <v>2201180416</v>
      </c>
      <c r="D66" s="85" t="str">
        <f>'CO_Attainment for Unit Tests'!C65</f>
        <v>WAGHMARE AMAR BABAN</v>
      </c>
      <c r="E66" s="86"/>
      <c r="F66" s="86">
        <v>21.0</v>
      </c>
      <c r="G66" s="86">
        <v>21.0</v>
      </c>
    </row>
    <row r="67" ht="15.75" customHeight="1">
      <c r="B67" s="83">
        <v>54.0</v>
      </c>
      <c r="C67" s="84">
        <f>'CO_Attainment for Unit Tests'!B66</f>
        <v>2201180417</v>
      </c>
      <c r="D67" s="85" t="str">
        <f>'CO_Attainment for Unit Tests'!C66</f>
        <v>DHEPE VAISHNAVI REVANNATH</v>
      </c>
      <c r="E67" s="86"/>
      <c r="F67" s="86">
        <v>24.0</v>
      </c>
      <c r="G67" s="86">
        <v>24.0</v>
      </c>
    </row>
    <row r="68" ht="15.75" customHeight="1">
      <c r="B68" s="83">
        <v>55.0</v>
      </c>
      <c r="C68" s="84">
        <f>'CO_Attainment for Unit Tests'!B67</f>
        <v>2201180418</v>
      </c>
      <c r="D68" s="85" t="str">
        <f>'CO_Attainment for Unit Tests'!C67</f>
        <v>BAGADE GUNMANJIRI PURUSHOTTAM</v>
      </c>
      <c r="E68" s="86"/>
      <c r="F68" s="86">
        <v>23.0</v>
      </c>
      <c r="G68" s="86">
        <v>23.0</v>
      </c>
    </row>
    <row r="69" ht="15.75" customHeight="1">
      <c r="B69" s="83">
        <v>56.0</v>
      </c>
      <c r="C69" s="84">
        <f>'CO_Attainment for Unit Tests'!B68</f>
        <v>2201180419</v>
      </c>
      <c r="D69" s="85" t="str">
        <f>'CO_Attainment for Unit Tests'!C68</f>
        <v>MULE SNEHA SANJIVAN</v>
      </c>
      <c r="E69" s="86"/>
      <c r="F69" s="86">
        <v>24.0</v>
      </c>
      <c r="G69" s="86">
        <v>24.0</v>
      </c>
    </row>
    <row r="70" ht="15.75" customHeight="1">
      <c r="B70" s="83">
        <v>57.0</v>
      </c>
      <c r="C70" s="84">
        <f>'CO_Attainment for Unit Tests'!B69</f>
        <v>23510250259</v>
      </c>
      <c r="D70" s="85" t="str">
        <f>'CO_Attainment for Unit Tests'!C69</f>
        <v>BANSODE VINAYAK BABRUWAN</v>
      </c>
      <c r="E70" s="86"/>
      <c r="F70" s="86"/>
      <c r="G70" s="86"/>
    </row>
    <row r="71" ht="15.75" customHeight="1">
      <c r="B71" s="83">
        <v>58.0</v>
      </c>
      <c r="C71" s="84">
        <f>'CO_Attainment for Unit Tests'!B70</f>
        <v>23510250260</v>
      </c>
      <c r="D71" s="85" t="str">
        <f>'CO_Attainment for Unit Tests'!C70</f>
        <v>ISHWARI ASHOK HAWALE</v>
      </c>
      <c r="E71" s="86"/>
      <c r="F71" s="86"/>
      <c r="G71" s="86"/>
    </row>
    <row r="72" ht="15.75" customHeight="1">
      <c r="B72" s="83">
        <v>59.0</v>
      </c>
      <c r="C72" s="84">
        <f>'CO_Attainment for Unit Tests'!B71</f>
        <v>23510250261</v>
      </c>
      <c r="D72" s="85" t="str">
        <f>'CO_Attainment for Unit Tests'!C71</f>
        <v>JADHAV SANJYOT SHYAM</v>
      </c>
      <c r="E72" s="86"/>
      <c r="F72" s="187">
        <v>22.0</v>
      </c>
      <c r="G72" s="187">
        <v>23.0</v>
      </c>
    </row>
    <row r="73" ht="15.75" customHeight="1">
      <c r="B73" s="83">
        <v>60.0</v>
      </c>
      <c r="C73" s="84">
        <f>'CO_Attainment for Unit Tests'!B72</f>
        <v>23510250262</v>
      </c>
      <c r="D73" s="85" t="str">
        <f>'CO_Attainment for Unit Tests'!C72</f>
        <v>KANLOD SHUBHAM GANPAT</v>
      </c>
      <c r="E73" s="86"/>
      <c r="F73" s="187">
        <v>15.0</v>
      </c>
      <c r="G73" s="187">
        <v>22.0</v>
      </c>
    </row>
    <row r="74" ht="15.75" customHeight="1">
      <c r="B74" s="83">
        <v>61.0</v>
      </c>
      <c r="C74" s="84">
        <f>'CO_Attainment for Unit Tests'!B73</f>
        <v>23510250263</v>
      </c>
      <c r="D74" s="85" t="str">
        <f>'CO_Attainment for Unit Tests'!C73</f>
        <v>PHULARI VISHVJEET UMESH</v>
      </c>
      <c r="E74" s="86"/>
      <c r="F74" s="187">
        <v>16.0</v>
      </c>
      <c r="G74" s="187">
        <v>23.0</v>
      </c>
    </row>
    <row r="75" ht="15.75" customHeight="1">
      <c r="B75" s="83">
        <v>62.0</v>
      </c>
      <c r="C75" s="84">
        <f>'CO_Attainment for Unit Tests'!B74</f>
        <v>23510250264</v>
      </c>
      <c r="D75" s="85" t="str">
        <f>'CO_Attainment for Unit Tests'!C74</f>
        <v>VHOTTE SHRUTIKA VAIJNATH</v>
      </c>
      <c r="E75" s="86"/>
      <c r="F75" s="86"/>
      <c r="G75" s="86"/>
    </row>
    <row r="76" ht="15.75" customHeight="1">
      <c r="B76" s="83">
        <v>63.0</v>
      </c>
      <c r="C76" s="83"/>
      <c r="D76" s="188"/>
      <c r="E76" s="86"/>
      <c r="F76" s="86"/>
      <c r="G76" s="86"/>
    </row>
    <row r="77" ht="15.75" customHeight="1">
      <c r="B77" s="83">
        <v>64.0</v>
      </c>
      <c r="C77" s="83"/>
      <c r="D77" s="188"/>
      <c r="E77" s="86"/>
      <c r="F77" s="86"/>
      <c r="G77" s="86"/>
    </row>
    <row r="78" ht="15.75" customHeight="1">
      <c r="B78" s="83">
        <v>65.0</v>
      </c>
      <c r="C78" s="83"/>
      <c r="D78" s="188"/>
      <c r="E78" s="86"/>
      <c r="F78" s="86"/>
      <c r="G78" s="86"/>
    </row>
    <row r="79" ht="15.75" customHeight="1">
      <c r="B79" s="83">
        <v>66.0</v>
      </c>
      <c r="C79" s="83"/>
      <c r="D79" s="188"/>
      <c r="E79" s="86"/>
      <c r="F79" s="86"/>
      <c r="G79" s="86"/>
    </row>
    <row r="80" ht="15.75" customHeight="1">
      <c r="B80" s="83">
        <v>67.0</v>
      </c>
      <c r="C80" s="83"/>
      <c r="D80" s="188"/>
      <c r="E80" s="86"/>
      <c r="F80" s="86"/>
      <c r="G80" s="86"/>
    </row>
    <row r="81" ht="15.75" customHeight="1">
      <c r="B81" s="83">
        <v>68.0</v>
      </c>
      <c r="C81" s="83"/>
      <c r="D81" s="188"/>
      <c r="E81" s="86"/>
      <c r="F81" s="86"/>
      <c r="G81" s="86"/>
    </row>
    <row r="82" ht="15.75" customHeight="1">
      <c r="B82" s="83">
        <v>69.0</v>
      </c>
      <c r="C82" s="83"/>
      <c r="D82" s="188"/>
      <c r="E82" s="86"/>
      <c r="F82" s="86"/>
      <c r="G82" s="86"/>
    </row>
    <row r="83" ht="15.75" customHeight="1">
      <c r="B83" s="83">
        <v>70.0</v>
      </c>
      <c r="C83" s="83"/>
      <c r="D83" s="188"/>
      <c r="E83" s="86"/>
      <c r="F83" s="86"/>
      <c r="G83" s="86"/>
    </row>
    <row r="84" ht="15.75" customHeight="1">
      <c r="B84" s="83">
        <v>71.0</v>
      </c>
      <c r="C84" s="83"/>
      <c r="D84" s="188"/>
      <c r="E84" s="83"/>
      <c r="F84" s="108"/>
      <c r="G84" s="108"/>
    </row>
    <row r="85" ht="15.75" customHeight="1">
      <c r="B85" s="83">
        <v>72.0</v>
      </c>
      <c r="C85" s="83"/>
      <c r="D85" s="188"/>
      <c r="E85" s="83"/>
      <c r="F85" s="108"/>
      <c r="G85" s="108"/>
    </row>
    <row r="86" ht="15.75" customHeight="1">
      <c r="B86" s="83">
        <v>73.0</v>
      </c>
      <c r="C86" s="83"/>
      <c r="D86" s="188"/>
      <c r="E86" s="83"/>
      <c r="F86" s="108"/>
      <c r="G86" s="108"/>
    </row>
    <row r="87" ht="15.75" customHeight="1">
      <c r="B87" s="83">
        <v>74.0</v>
      </c>
      <c r="C87" s="83"/>
      <c r="D87" s="188"/>
      <c r="E87" s="83"/>
      <c r="F87" s="108"/>
      <c r="G87" s="108"/>
    </row>
    <row r="88" ht="15.75" customHeight="1">
      <c r="B88" s="83">
        <v>75.0</v>
      </c>
      <c r="C88" s="83"/>
      <c r="D88" s="188"/>
      <c r="E88" s="83"/>
      <c r="F88" s="108"/>
      <c r="G88" s="108"/>
    </row>
    <row r="89" ht="15.75" customHeight="1">
      <c r="B89" s="83">
        <v>76.0</v>
      </c>
      <c r="C89" s="83"/>
      <c r="D89" s="188"/>
      <c r="E89" s="83"/>
      <c r="F89" s="108"/>
      <c r="G89" s="108"/>
    </row>
    <row r="90" ht="15.75" customHeight="1">
      <c r="B90" s="83">
        <v>77.0</v>
      </c>
      <c r="C90" s="83"/>
      <c r="D90" s="188"/>
      <c r="E90" s="83"/>
      <c r="F90" s="108"/>
      <c r="G90" s="108"/>
    </row>
    <row r="91" ht="15.75" customHeight="1">
      <c r="B91" s="83">
        <v>78.0</v>
      </c>
      <c r="C91" s="83"/>
      <c r="D91" s="188"/>
      <c r="E91" s="83"/>
      <c r="F91" s="108"/>
      <c r="G91" s="108"/>
    </row>
    <row r="92" ht="15.75" customHeight="1">
      <c r="B92" s="83">
        <v>79.0</v>
      </c>
      <c r="C92" s="83"/>
      <c r="D92" s="188"/>
      <c r="E92" s="83"/>
      <c r="F92" s="108"/>
      <c r="G92" s="108"/>
    </row>
    <row r="93" ht="15.75" customHeight="1">
      <c r="B93" s="83">
        <v>80.0</v>
      </c>
      <c r="C93" s="83"/>
      <c r="D93" s="188"/>
      <c r="E93" s="83"/>
      <c r="F93" s="108"/>
      <c r="G93" s="108"/>
    </row>
    <row r="94" ht="15.75" customHeight="1">
      <c r="B94" s="83">
        <v>81.0</v>
      </c>
      <c r="C94" s="83"/>
      <c r="D94" s="188"/>
      <c r="E94" s="83"/>
      <c r="F94" s="108"/>
      <c r="G94" s="108"/>
    </row>
    <row r="95" ht="15.75" customHeight="1">
      <c r="B95" s="83">
        <v>82.0</v>
      </c>
      <c r="C95" s="83"/>
      <c r="D95" s="188"/>
      <c r="E95" s="83"/>
      <c r="F95" s="108"/>
      <c r="G95" s="108"/>
    </row>
    <row r="96" ht="15.75" customHeight="1">
      <c r="B96" s="83">
        <v>83.0</v>
      </c>
      <c r="C96" s="83"/>
      <c r="D96" s="188"/>
      <c r="E96" s="83"/>
      <c r="F96" s="108"/>
      <c r="G96" s="108"/>
    </row>
    <row r="97" ht="30.75" customHeight="1">
      <c r="B97" s="18"/>
      <c r="C97" s="18"/>
      <c r="D97" s="189" t="s">
        <v>163</v>
      </c>
      <c r="E97" s="190">
        <f>ROUNDUP(D98*E13/100,1)</f>
        <v>6</v>
      </c>
      <c r="F97" s="190">
        <f>ROUNDUP(D98*F13/100,1)</f>
        <v>15</v>
      </c>
      <c r="G97" s="190">
        <f>ROUNDUP(D98*G13/100,1)</f>
        <v>15</v>
      </c>
    </row>
    <row r="98" ht="15.75" customHeight="1">
      <c r="D98" s="191">
        <v>60.0</v>
      </c>
      <c r="E98" s="30"/>
      <c r="F98" s="30"/>
      <c r="G98" s="30"/>
    </row>
    <row r="99" ht="15.75" customHeight="1">
      <c r="D99" s="157" t="s">
        <v>136</v>
      </c>
      <c r="E99" s="158">
        <f t="shared" ref="E99:G99" si="1">COUNTIF(E14:E96,"&gt;=" &amp;E97)</f>
        <v>0</v>
      </c>
      <c r="F99" s="158">
        <f t="shared" si="1"/>
        <v>58</v>
      </c>
      <c r="G99" s="158">
        <f t="shared" si="1"/>
        <v>59</v>
      </c>
    </row>
    <row r="100" ht="15.75" customHeight="1"/>
    <row r="101" ht="15.75" customHeight="1"/>
    <row r="102" ht="15.75" customHeight="1"/>
    <row r="103" ht="46.5" customHeight="1">
      <c r="A103" s="163"/>
      <c r="B103" s="116" t="s">
        <v>164</v>
      </c>
      <c r="C103" s="24"/>
      <c r="D103" s="25"/>
      <c r="E103" s="192" t="s">
        <v>138</v>
      </c>
      <c r="F103" s="118"/>
      <c r="G103" s="162" t="s">
        <v>139</v>
      </c>
      <c r="H103" s="163"/>
    </row>
    <row r="104" ht="15.75" customHeight="1">
      <c r="A104" s="163"/>
      <c r="B104" s="120" t="s">
        <v>140</v>
      </c>
      <c r="C104" s="164">
        <v>0.5</v>
      </c>
      <c r="D104" s="168" t="s">
        <v>153</v>
      </c>
      <c r="E104" s="167">
        <f>COUNTA(D14:D96)-COUNTIFS(D14:D96,0)</f>
        <v>62</v>
      </c>
      <c r="F104" s="193">
        <f>C104*$E104</f>
        <v>31</v>
      </c>
      <c r="G104" s="169">
        <v>1.0</v>
      </c>
      <c r="H104" s="163"/>
    </row>
    <row r="105" ht="15.75" customHeight="1">
      <c r="A105" s="163"/>
      <c r="B105" s="127"/>
      <c r="C105" s="170">
        <v>0.6</v>
      </c>
      <c r="D105" s="172" t="s">
        <v>153</v>
      </c>
      <c r="E105" s="26"/>
      <c r="F105" s="194">
        <f>C105*$E104</f>
        <v>37.2</v>
      </c>
      <c r="G105" s="173">
        <v>2.0</v>
      </c>
      <c r="H105" s="163"/>
    </row>
    <row r="106" ht="15.75" customHeight="1">
      <c r="A106" s="163"/>
      <c r="B106" s="131"/>
      <c r="C106" s="174">
        <v>0.7</v>
      </c>
      <c r="D106" s="176" t="s">
        <v>153</v>
      </c>
      <c r="E106" s="30"/>
      <c r="F106" s="195">
        <f>C106*$E104</f>
        <v>43.4</v>
      </c>
      <c r="G106" s="177">
        <v>3.0</v>
      </c>
      <c r="H106" s="163"/>
    </row>
    <row r="107" ht="15.75" customHeight="1">
      <c r="A107" s="163"/>
      <c r="B107" s="163"/>
      <c r="C107" s="163"/>
      <c r="D107" s="163"/>
      <c r="E107" s="163"/>
      <c r="F107" s="163"/>
      <c r="G107" s="163"/>
      <c r="H107" s="163"/>
    </row>
    <row r="108" ht="15.75" customHeight="1">
      <c r="A108" s="163"/>
      <c r="B108" s="163"/>
      <c r="C108" s="163"/>
      <c r="D108" s="163"/>
      <c r="E108" s="163"/>
      <c r="F108" s="163"/>
      <c r="G108" s="163"/>
      <c r="H108" s="163"/>
    </row>
    <row r="109" ht="33.0" customHeight="1">
      <c r="A109" s="23" t="s">
        <v>165</v>
      </c>
      <c r="B109" s="196"/>
      <c r="C109" s="197" t="s">
        <v>9</v>
      </c>
      <c r="D109" s="197" t="s">
        <v>11</v>
      </c>
      <c r="E109" s="197" t="s">
        <v>13</v>
      </c>
      <c r="F109" s="197" t="s">
        <v>15</v>
      </c>
      <c r="G109" s="197" t="s">
        <v>143</v>
      </c>
      <c r="H109" s="198" t="s">
        <v>144</v>
      </c>
    </row>
    <row r="110" ht="36.75" customHeight="1">
      <c r="A110" s="199" t="s">
        <v>166</v>
      </c>
      <c r="B110" s="180"/>
      <c r="C110" s="200">
        <f>IF(E99&gt;=$F106,3,IF(E99&gt;=$F105,2,IF(E99&gt;=$F104,1,0)))</f>
        <v>0</v>
      </c>
      <c r="D110" s="200">
        <f t="shared" ref="D110:H110" si="2">$C110</f>
        <v>0</v>
      </c>
      <c r="E110" s="200">
        <f t="shared" si="2"/>
        <v>0</v>
      </c>
      <c r="F110" s="200">
        <f t="shared" si="2"/>
        <v>0</v>
      </c>
      <c r="G110" s="200">
        <f t="shared" si="2"/>
        <v>0</v>
      </c>
      <c r="H110" s="201">
        <f t="shared" si="2"/>
        <v>0</v>
      </c>
    </row>
    <row r="111" ht="37.5" customHeight="1">
      <c r="A111" s="202" t="s">
        <v>167</v>
      </c>
      <c r="B111" s="59"/>
      <c r="C111" s="203">
        <f>IF(F99&gt;=$F106,3,IF(F99&gt;=$F105,2,IF(F99&gt;=$F104,1,0)))</f>
        <v>3</v>
      </c>
      <c r="D111" s="203">
        <f t="shared" ref="D111:H111" si="3">$C111</f>
        <v>3</v>
      </c>
      <c r="E111" s="203">
        <f t="shared" si="3"/>
        <v>3</v>
      </c>
      <c r="F111" s="203">
        <f t="shared" si="3"/>
        <v>3</v>
      </c>
      <c r="G111" s="203">
        <f t="shared" si="3"/>
        <v>3</v>
      </c>
      <c r="H111" s="204">
        <f t="shared" si="3"/>
        <v>3</v>
      </c>
    </row>
    <row r="112" ht="31.5" customHeight="1">
      <c r="A112" s="205" t="s">
        <v>168</v>
      </c>
      <c r="B112" s="182"/>
      <c r="C112" s="142">
        <f>IF(G99&gt;=$F106,3,IF(G99&gt;=$F105,2,IF(G99&gt;=$F104,1,0)))</f>
        <v>3</v>
      </c>
      <c r="D112" s="142">
        <f t="shared" ref="D112:H112" si="4">$C112</f>
        <v>3</v>
      </c>
      <c r="E112" s="142">
        <f t="shared" si="4"/>
        <v>3</v>
      </c>
      <c r="F112" s="142">
        <f t="shared" si="4"/>
        <v>3</v>
      </c>
      <c r="G112" s="142">
        <f t="shared" si="4"/>
        <v>3</v>
      </c>
      <c r="H112" s="206">
        <f t="shared" si="4"/>
        <v>3</v>
      </c>
    </row>
    <row r="113" ht="15.75" customHeight="1">
      <c r="B113" s="18"/>
    </row>
    <row r="114" ht="15.75" customHeight="1">
      <c r="C114" s="18"/>
    </row>
    <row r="115" ht="15.75" customHeight="1">
      <c r="C115" s="18"/>
    </row>
    <row r="116" ht="15.75" customHeight="1"/>
    <row r="117" ht="15.75" customHeight="1"/>
    <row r="118" ht="15.75" customHeight="1"/>
    <row r="119" ht="15.75" customHeight="1">
      <c r="G119" s="17"/>
    </row>
    <row r="120" ht="15.75" customHeight="1">
      <c r="G120" s="17"/>
    </row>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0">
    <mergeCell ref="D4:E4"/>
    <mergeCell ref="D5:E5"/>
    <mergeCell ref="D6:E6"/>
    <mergeCell ref="D7:E7"/>
    <mergeCell ref="B9:B13"/>
    <mergeCell ref="C9:C13"/>
    <mergeCell ref="D9:D13"/>
    <mergeCell ref="E97:E98"/>
    <mergeCell ref="E104:E106"/>
    <mergeCell ref="A109:B109"/>
    <mergeCell ref="A110:B110"/>
    <mergeCell ref="A111:B111"/>
    <mergeCell ref="A112:B112"/>
    <mergeCell ref="E9:E12"/>
    <mergeCell ref="F9:F12"/>
    <mergeCell ref="G9:G12"/>
    <mergeCell ref="F97:F98"/>
    <mergeCell ref="G97:G98"/>
    <mergeCell ref="B103:D103"/>
    <mergeCell ref="B104:B106"/>
  </mergeCells>
  <printOptions/>
  <pageMargins bottom="0.75" footer="0.0" header="0.0" left="0.7" right="0.7" top="0.75"/>
  <pageSetup scale="28"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sheetViews>
  <sheetFormatPr customHeight="1" defaultColWidth="14.43" defaultRowHeight="15.0"/>
  <cols>
    <col customWidth="1" min="1" max="2" width="8.71"/>
    <col customWidth="1" min="3" max="3" width="13.86"/>
    <col customWidth="1" min="4" max="4" width="43.86"/>
    <col customWidth="1" min="5" max="5" width="19.14"/>
    <col customWidth="1" min="6" max="7" width="8.71"/>
  </cols>
  <sheetData>
    <row r="1">
      <c r="C1" s="183" t="s">
        <v>169</v>
      </c>
      <c r="E1" s="183"/>
      <c r="F1" s="56"/>
    </row>
    <row r="2">
      <c r="B2" s="56"/>
      <c r="C2" s="56"/>
      <c r="E2" s="56"/>
    </row>
    <row r="3">
      <c r="B3" s="56"/>
      <c r="C3" s="56"/>
      <c r="D3" s="144"/>
      <c r="E3" s="56"/>
    </row>
    <row r="4">
      <c r="B4" s="56"/>
      <c r="C4" s="57" t="s">
        <v>1</v>
      </c>
      <c r="D4" s="207" t="str">
        <f>'CO_attain_SLA_FA-PR_SA-PR'!D4</f>
        <v>Data Structures Using _C</v>
      </c>
      <c r="E4" s="56"/>
      <c r="F4" s="56"/>
    </row>
    <row r="5">
      <c r="B5" s="56"/>
      <c r="C5" s="57" t="s">
        <v>3</v>
      </c>
      <c r="D5" s="207">
        <f>'CO_attain_SLA_FA-PR_SA-PR'!D5</f>
        <v>22317</v>
      </c>
      <c r="E5" s="56"/>
      <c r="F5" s="56"/>
    </row>
    <row r="6">
      <c r="B6" s="56"/>
      <c r="C6" s="57" t="s">
        <v>54</v>
      </c>
      <c r="D6" s="207" t="str">
        <f>'CO_attain_SLA_FA-PR_SA-PR'!D6</f>
        <v>3rd SEM(CO3I SCHEME)</v>
      </c>
      <c r="E6" s="56"/>
      <c r="F6" s="56"/>
    </row>
    <row r="7">
      <c r="B7" s="56"/>
      <c r="C7" s="57" t="s">
        <v>159</v>
      </c>
      <c r="D7" s="207" t="str">
        <f>'CO_attain_SLA_FA-PR_SA-PR'!D7</f>
        <v>2023-24</v>
      </c>
      <c r="E7" s="56"/>
      <c r="F7" s="56"/>
    </row>
    <row r="8">
      <c r="B8" s="56"/>
      <c r="C8" s="57"/>
      <c r="D8" s="208"/>
      <c r="E8" s="56"/>
      <c r="F8" s="56"/>
    </row>
    <row r="9">
      <c r="B9" s="209" t="s">
        <v>170</v>
      </c>
    </row>
    <row r="10" ht="15.75" customHeight="1">
      <c r="B10" s="210" t="s">
        <v>21</v>
      </c>
      <c r="C10" s="211" t="s">
        <v>171</v>
      </c>
      <c r="D10" s="212" t="s">
        <v>57</v>
      </c>
      <c r="E10" s="211" t="s">
        <v>172</v>
      </c>
    </row>
    <row r="11">
      <c r="B11" s="26"/>
      <c r="C11" s="26"/>
      <c r="D11" s="26"/>
      <c r="E11" s="26"/>
    </row>
    <row r="12">
      <c r="B12" s="26"/>
      <c r="C12" s="26"/>
      <c r="D12" s="26"/>
      <c r="E12" s="26"/>
    </row>
    <row r="13">
      <c r="B13" s="26"/>
      <c r="C13" s="26"/>
      <c r="D13" s="26"/>
      <c r="E13" s="213"/>
    </row>
    <row r="14">
      <c r="B14" s="30"/>
      <c r="C14" s="30"/>
      <c r="D14" s="30"/>
      <c r="E14" s="214">
        <v>5.0</v>
      </c>
    </row>
    <row r="15">
      <c r="B15" s="215">
        <v>1.0</v>
      </c>
      <c r="C15" s="215">
        <f>'CO_attainment for FA-TH ESE'!C14</f>
        <v>2201180002</v>
      </c>
      <c r="D15" s="215" t="str">
        <f>'CO_attainment for FA-TH ESE'!D14</f>
        <v>GARAD ANJALI NITIN</v>
      </c>
      <c r="E15" s="215">
        <v>0.0</v>
      </c>
    </row>
    <row r="16" hidden="1">
      <c r="B16" s="216"/>
      <c r="C16" s="216" t="str">
        <f>'CO_attainment for FA-TH ESE'!#REF!</f>
        <v>#ERROR!</v>
      </c>
      <c r="D16" s="216" t="str">
        <f>'CO_attainment for FA-TH ESE'!#REF!</f>
        <v>#ERROR!</v>
      </c>
      <c r="E16" s="217"/>
    </row>
    <row r="17">
      <c r="B17" s="216">
        <v>2.0</v>
      </c>
      <c r="C17" s="216" t="str">
        <f>'CO_attainment for FA-TH ESE'!#REF!</f>
        <v>#ERROR!</v>
      </c>
      <c r="D17" s="216" t="str">
        <f>'CO_attainment for FA-TH ESE'!#REF!</f>
        <v>#ERROR!</v>
      </c>
      <c r="E17" s="216"/>
    </row>
    <row r="18" hidden="1">
      <c r="B18" s="216"/>
      <c r="C18" s="216" t="str">
        <f>'CO_attainment for FA-TH ESE'!#REF!</f>
        <v>#ERROR!</v>
      </c>
      <c r="D18" s="216" t="str">
        <f>'CO_attainment for FA-TH ESE'!#REF!</f>
        <v>#ERROR!</v>
      </c>
      <c r="E18" s="216"/>
    </row>
    <row r="19">
      <c r="B19" s="216">
        <v>3.0</v>
      </c>
      <c r="C19" s="216" t="str">
        <f>'CO_attainment for FA-TH ESE'!#REF!</f>
        <v>#ERROR!</v>
      </c>
      <c r="D19" s="216" t="str">
        <f>'CO_attainment for FA-TH ESE'!#REF!</f>
        <v>#ERROR!</v>
      </c>
      <c r="E19" s="216"/>
    </row>
    <row r="20" hidden="1">
      <c r="B20" s="216"/>
      <c r="C20" s="216" t="str">
        <f>'CO_attainment for FA-TH ESE'!#REF!</f>
        <v>#ERROR!</v>
      </c>
      <c r="D20" s="216" t="str">
        <f>'CO_attainment for FA-TH ESE'!#REF!</f>
        <v>#ERROR!</v>
      </c>
      <c r="E20" s="217"/>
    </row>
    <row r="21" ht="15.75" hidden="1" customHeight="1">
      <c r="B21" s="216"/>
      <c r="C21" s="216" t="str">
        <f>'CO_attainment for FA-TH ESE'!#REF!</f>
        <v>#ERROR!</v>
      </c>
      <c r="D21" s="216" t="str">
        <f>'CO_attainment for FA-TH ESE'!#REF!</f>
        <v>#ERROR!</v>
      </c>
      <c r="E21" s="217"/>
    </row>
    <row r="22" ht="15.75" customHeight="1">
      <c r="B22" s="216">
        <v>4.0</v>
      </c>
      <c r="C22" s="216" t="str">
        <f>'CO_attainment for FA-TH ESE'!#REF!</f>
        <v>#ERROR!</v>
      </c>
      <c r="D22" s="216" t="str">
        <f>'CO_attainment for FA-TH ESE'!#REF!</f>
        <v>#ERROR!</v>
      </c>
      <c r="E22" s="216"/>
    </row>
    <row r="23" ht="15.75" hidden="1" customHeight="1">
      <c r="B23" s="216"/>
      <c r="C23" s="216" t="str">
        <f>'CO_attainment for FA-TH ESE'!#REF!</f>
        <v>#ERROR!</v>
      </c>
      <c r="D23" s="216" t="str">
        <f>'CO_attainment for FA-TH ESE'!#REF!</f>
        <v>#ERROR!</v>
      </c>
      <c r="E23" s="217"/>
    </row>
    <row r="24" ht="15.75" hidden="1" customHeight="1">
      <c r="B24" s="216"/>
      <c r="C24" s="216" t="str">
        <f>'CO_attainment for FA-TH ESE'!#REF!</f>
        <v>#ERROR!</v>
      </c>
      <c r="D24" s="216" t="str">
        <f>'CO_attainment for FA-TH ESE'!#REF!</f>
        <v>#ERROR!</v>
      </c>
      <c r="E24" s="217"/>
    </row>
    <row r="25" ht="15.75" hidden="1" customHeight="1">
      <c r="B25" s="216"/>
      <c r="C25" s="216" t="str">
        <f>'CO_attainment for FA-TH ESE'!#REF!</f>
        <v>#ERROR!</v>
      </c>
      <c r="D25" s="216" t="str">
        <f>'CO_attainment for FA-TH ESE'!#REF!</f>
        <v>#ERROR!</v>
      </c>
      <c r="E25" s="216"/>
    </row>
    <row r="26" ht="15.75" hidden="1" customHeight="1">
      <c r="B26" s="216"/>
      <c r="C26" s="216" t="str">
        <f>'CO_attainment for FA-TH ESE'!#REF!</f>
        <v>#ERROR!</v>
      </c>
      <c r="D26" s="216" t="str">
        <f>'CO_attainment for FA-TH ESE'!#REF!</f>
        <v>#ERROR!</v>
      </c>
      <c r="E26" s="216"/>
    </row>
    <row r="27" ht="15.75" hidden="1" customHeight="1">
      <c r="B27" s="216"/>
      <c r="C27" s="216" t="str">
        <f>'CO_attainment for FA-TH ESE'!#REF!</f>
        <v>#ERROR!</v>
      </c>
      <c r="D27" s="216" t="str">
        <f>'CO_attainment for FA-TH ESE'!#REF!</f>
        <v>#ERROR!</v>
      </c>
      <c r="E27" s="216"/>
    </row>
    <row r="28" ht="15.75" hidden="1" customHeight="1">
      <c r="B28" s="216"/>
      <c r="C28" s="216" t="str">
        <f>'CO_attainment for FA-TH ESE'!#REF!</f>
        <v>#ERROR!</v>
      </c>
      <c r="D28" s="216" t="str">
        <f>'CO_attainment for FA-TH ESE'!#REF!</f>
        <v>#ERROR!</v>
      </c>
      <c r="E28" s="216"/>
    </row>
    <row r="29" ht="15.75" hidden="1" customHeight="1">
      <c r="B29" s="216"/>
      <c r="C29" s="216" t="str">
        <f>'CO_attainment for FA-TH ESE'!#REF!</f>
        <v>#ERROR!</v>
      </c>
      <c r="D29" s="216" t="str">
        <f>'CO_attainment for FA-TH ESE'!#REF!</f>
        <v>#ERROR!</v>
      </c>
      <c r="E29" s="216"/>
    </row>
    <row r="30" ht="15.75" hidden="1" customHeight="1">
      <c r="B30" s="216"/>
      <c r="C30" s="216" t="str">
        <f>'CO_attainment for FA-TH ESE'!#REF!</f>
        <v>#ERROR!</v>
      </c>
      <c r="D30" s="216" t="str">
        <f>'CO_attainment for FA-TH ESE'!#REF!</f>
        <v>#ERROR!</v>
      </c>
      <c r="E30" s="216"/>
    </row>
    <row r="31" ht="15.75" customHeight="1">
      <c r="B31" s="216">
        <v>5.0</v>
      </c>
      <c r="C31" s="216" t="str">
        <f>'CO_attainment for FA-TH ESE'!#REF!</f>
        <v>#ERROR!</v>
      </c>
      <c r="D31" s="216" t="str">
        <f>'CO_attainment for FA-TH ESE'!#REF!</f>
        <v>#ERROR!</v>
      </c>
      <c r="E31" s="216"/>
    </row>
    <row r="32" ht="15.75" hidden="1" customHeight="1">
      <c r="B32" s="216"/>
      <c r="C32" s="216" t="str">
        <f>'CO_attainment for FA-TH ESE'!#REF!</f>
        <v>#ERROR!</v>
      </c>
      <c r="D32" s="216" t="str">
        <f>'CO_attainment for FA-TH ESE'!#REF!</f>
        <v>#ERROR!</v>
      </c>
      <c r="E32" s="216"/>
    </row>
    <row r="33" ht="15.75" hidden="1" customHeight="1">
      <c r="B33" s="216"/>
      <c r="C33" s="216" t="str">
        <f>'CO_attainment for FA-TH ESE'!#REF!</f>
        <v>#ERROR!</v>
      </c>
      <c r="D33" s="216" t="str">
        <f>'CO_attainment for FA-TH ESE'!#REF!</f>
        <v>#ERROR!</v>
      </c>
      <c r="E33" s="216"/>
    </row>
    <row r="34" ht="15.75" hidden="1" customHeight="1">
      <c r="B34" s="216"/>
      <c r="C34" s="216" t="str">
        <f>'CO_attainment for FA-TH ESE'!#REF!</f>
        <v>#ERROR!</v>
      </c>
      <c r="D34" s="216" t="str">
        <f>'CO_attainment for FA-TH ESE'!#REF!</f>
        <v>#ERROR!</v>
      </c>
      <c r="E34" s="216"/>
    </row>
    <row r="35" ht="15.75" hidden="1" customHeight="1">
      <c r="B35" s="216"/>
      <c r="C35" s="216" t="str">
        <f>'CO_attainment for FA-TH ESE'!#REF!</f>
        <v>#ERROR!</v>
      </c>
      <c r="D35" s="216" t="str">
        <f>'CO_attainment for FA-TH ESE'!#REF!</f>
        <v>#ERROR!</v>
      </c>
      <c r="E35" s="216"/>
    </row>
    <row r="36" ht="15.75" hidden="1" customHeight="1">
      <c r="B36" s="216"/>
      <c r="C36" s="216" t="str">
        <f>'CO_attainment for FA-TH ESE'!#REF!</f>
        <v>#ERROR!</v>
      </c>
      <c r="D36" s="216" t="str">
        <f>'CO_attainment for FA-TH ESE'!#REF!</f>
        <v>#ERROR!</v>
      </c>
      <c r="E36" s="216"/>
    </row>
    <row r="37" ht="15.75" hidden="1" customHeight="1">
      <c r="B37" s="216"/>
      <c r="C37" s="216" t="str">
        <f>'CO_attainment for FA-TH ESE'!#REF!</f>
        <v>#ERROR!</v>
      </c>
      <c r="D37" s="216" t="str">
        <f>'CO_attainment for FA-TH ESE'!#REF!</f>
        <v>#ERROR!</v>
      </c>
      <c r="E37" s="216"/>
    </row>
    <row r="38" ht="15.75" customHeight="1">
      <c r="B38" s="216">
        <v>6.0</v>
      </c>
      <c r="C38" s="216" t="str">
        <f>'CO_attainment for FA-TH ESE'!#REF!</f>
        <v>#ERROR!</v>
      </c>
      <c r="D38" s="216" t="str">
        <f>'CO_attainment for FA-TH ESE'!#REF!</f>
        <v>#ERROR!</v>
      </c>
      <c r="E38" s="216"/>
    </row>
    <row r="39" ht="15.75" hidden="1" customHeight="1">
      <c r="B39" s="216"/>
      <c r="C39" s="216" t="str">
        <f>'CO_attainment for FA-TH ESE'!#REF!</f>
        <v>#ERROR!</v>
      </c>
      <c r="D39" s="216" t="str">
        <f>'CO_attainment for FA-TH ESE'!#REF!</f>
        <v>#ERROR!</v>
      </c>
      <c r="E39" s="216"/>
    </row>
    <row r="40" ht="15.75" hidden="1" customHeight="1">
      <c r="B40" s="216"/>
      <c r="C40" s="216" t="str">
        <f>'CO_attainment for FA-TH ESE'!#REF!</f>
        <v>#ERROR!</v>
      </c>
      <c r="D40" s="216" t="str">
        <f>'CO_attainment for FA-TH ESE'!#REF!</f>
        <v>#ERROR!</v>
      </c>
      <c r="E40" s="216"/>
    </row>
    <row r="41" ht="15.75" hidden="1" customHeight="1">
      <c r="B41" s="216"/>
      <c r="C41" s="216" t="str">
        <f>'CO_attainment for FA-TH ESE'!#REF!</f>
        <v>#ERROR!</v>
      </c>
      <c r="D41" s="216" t="str">
        <f>'CO_attainment for FA-TH ESE'!#REF!</f>
        <v>#ERROR!</v>
      </c>
      <c r="E41" s="216"/>
    </row>
    <row r="42" ht="15.75" hidden="1" customHeight="1">
      <c r="B42" s="216"/>
      <c r="C42" s="216" t="str">
        <f>'CO_attainment for FA-TH ESE'!#REF!</f>
        <v>#ERROR!</v>
      </c>
      <c r="D42" s="216" t="str">
        <f>'CO_attainment for FA-TH ESE'!#REF!</f>
        <v>#ERROR!</v>
      </c>
      <c r="E42" s="216"/>
    </row>
    <row r="43" ht="15.75" hidden="1" customHeight="1">
      <c r="B43" s="216"/>
      <c r="C43" s="216" t="str">
        <f>'CO_attainment for FA-TH ESE'!#REF!</f>
        <v>#ERROR!</v>
      </c>
      <c r="D43" s="216" t="str">
        <f>'CO_attainment for FA-TH ESE'!#REF!</f>
        <v>#ERROR!</v>
      </c>
      <c r="E43" s="216"/>
    </row>
    <row r="44" ht="15.75" hidden="1" customHeight="1">
      <c r="B44" s="216"/>
      <c r="C44" s="216" t="str">
        <f>'CO_attainment for FA-TH ESE'!#REF!</f>
        <v>#ERROR!</v>
      </c>
      <c r="D44" s="216" t="str">
        <f>'CO_attainment for FA-TH ESE'!#REF!</f>
        <v>#ERROR!</v>
      </c>
      <c r="E44" s="216"/>
    </row>
    <row r="45" ht="15.75" hidden="1" customHeight="1">
      <c r="B45" s="216"/>
      <c r="C45" s="216" t="str">
        <f>'CO_attainment for FA-TH ESE'!#REF!</f>
        <v>#ERROR!</v>
      </c>
      <c r="D45" s="216" t="str">
        <f>'CO_attainment for FA-TH ESE'!#REF!</f>
        <v>#ERROR!</v>
      </c>
      <c r="E45" s="216"/>
    </row>
    <row r="46" ht="15.75" hidden="1" customHeight="1">
      <c r="B46" s="216"/>
      <c r="C46" s="216" t="str">
        <f>'CO_attainment for FA-TH ESE'!#REF!</f>
        <v>#ERROR!</v>
      </c>
      <c r="D46" s="216" t="str">
        <f>'CO_attainment for FA-TH ESE'!#REF!</f>
        <v>#ERROR!</v>
      </c>
      <c r="E46" s="216"/>
    </row>
    <row r="47" ht="15.75" hidden="1" customHeight="1">
      <c r="B47" s="216"/>
      <c r="C47" s="216" t="str">
        <f>'CO_attainment for FA-TH ESE'!#REF!</f>
        <v>#ERROR!</v>
      </c>
      <c r="D47" s="216" t="str">
        <f>'CO_attainment for FA-TH ESE'!#REF!</f>
        <v>#ERROR!</v>
      </c>
      <c r="E47" s="216"/>
    </row>
    <row r="48" ht="15.75" hidden="1" customHeight="1">
      <c r="B48" s="216"/>
      <c r="C48" s="216" t="str">
        <f>'CO_attainment for FA-TH ESE'!#REF!</f>
        <v>#ERROR!</v>
      </c>
      <c r="D48" s="216" t="str">
        <f>'CO_attainment for FA-TH ESE'!#REF!</f>
        <v>#ERROR!</v>
      </c>
      <c r="E48" s="216"/>
    </row>
    <row r="49" ht="15.75" hidden="1" customHeight="1">
      <c r="B49" s="216"/>
      <c r="C49" s="216" t="str">
        <f>'CO_attainment for FA-TH ESE'!#REF!</f>
        <v>#ERROR!</v>
      </c>
      <c r="D49" s="216" t="str">
        <f>'CO_attainment for FA-TH ESE'!#REF!</f>
        <v>#ERROR!</v>
      </c>
      <c r="E49" s="216"/>
    </row>
    <row r="50" ht="15.75" hidden="1" customHeight="1">
      <c r="B50" s="216"/>
      <c r="C50" s="216" t="str">
        <f>'CO_attainment for FA-TH ESE'!#REF!</f>
        <v>#ERROR!</v>
      </c>
      <c r="D50" s="216" t="str">
        <f>'CO_attainment for FA-TH ESE'!#REF!</f>
        <v>#ERROR!</v>
      </c>
      <c r="E50" s="216"/>
    </row>
    <row r="51" ht="15.75" hidden="1" customHeight="1">
      <c r="B51" s="216"/>
      <c r="C51" s="216" t="str">
        <f>'CO_attainment for FA-TH ESE'!#REF!</f>
        <v>#ERROR!</v>
      </c>
      <c r="D51" s="216" t="str">
        <f>'CO_attainment for FA-TH ESE'!#REF!</f>
        <v>#ERROR!</v>
      </c>
      <c r="E51" s="216"/>
    </row>
    <row r="52" ht="15.75" hidden="1" customHeight="1">
      <c r="B52" s="216"/>
      <c r="C52" s="216" t="str">
        <f>'CO_attainment for FA-TH ESE'!#REF!</f>
        <v>#ERROR!</v>
      </c>
      <c r="D52" s="216" t="str">
        <f>'CO_attainment for FA-TH ESE'!#REF!</f>
        <v>#ERROR!</v>
      </c>
      <c r="E52" s="216"/>
    </row>
    <row r="53" ht="15.75" hidden="1" customHeight="1">
      <c r="B53" s="216"/>
      <c r="C53" s="216" t="str">
        <f>'CO_attainment for FA-TH ESE'!#REF!</f>
        <v>#ERROR!</v>
      </c>
      <c r="D53" s="216" t="str">
        <f>'CO_attainment for FA-TH ESE'!#REF!</f>
        <v>#ERROR!</v>
      </c>
      <c r="E53" s="216"/>
    </row>
    <row r="54" ht="15.75" hidden="1" customHeight="1">
      <c r="B54" s="216"/>
      <c r="C54" s="216" t="str">
        <f>'CO_attainment for FA-TH ESE'!#REF!</f>
        <v>#ERROR!</v>
      </c>
      <c r="D54" s="216" t="str">
        <f>'CO_attainment for FA-TH ESE'!#REF!</f>
        <v>#ERROR!</v>
      </c>
      <c r="E54" s="216"/>
    </row>
    <row r="55" ht="15.75" hidden="1" customHeight="1">
      <c r="B55" s="216"/>
      <c r="C55" s="216" t="str">
        <f>'CO_attainment for FA-TH ESE'!#REF!</f>
        <v>#ERROR!</v>
      </c>
      <c r="D55" s="216" t="str">
        <f>'CO_attainment for FA-TH ESE'!#REF!</f>
        <v>#ERROR!</v>
      </c>
      <c r="E55" s="216"/>
    </row>
    <row r="56" ht="15.75" hidden="1" customHeight="1">
      <c r="B56" s="216"/>
      <c r="C56" s="216" t="str">
        <f>'CO_attainment for FA-TH ESE'!#REF!</f>
        <v>#ERROR!</v>
      </c>
      <c r="D56" s="216" t="str">
        <f>'CO_attainment for FA-TH ESE'!#REF!</f>
        <v>#ERROR!</v>
      </c>
      <c r="E56" s="216"/>
    </row>
    <row r="57" ht="15.75" hidden="1" customHeight="1">
      <c r="B57" s="216"/>
      <c r="C57" s="216" t="str">
        <f>'CO_attainment for FA-TH ESE'!#REF!</f>
        <v>#ERROR!</v>
      </c>
      <c r="D57" s="216" t="str">
        <f>'CO_attainment for FA-TH ESE'!#REF!</f>
        <v>#ERROR!</v>
      </c>
      <c r="E57" s="216"/>
    </row>
    <row r="58" ht="15.75" hidden="1" customHeight="1">
      <c r="B58" s="216"/>
      <c r="C58" s="216" t="str">
        <f>'CO_attainment for FA-TH ESE'!#REF!</f>
        <v>#ERROR!</v>
      </c>
      <c r="D58" s="216" t="str">
        <f>'CO_attainment for FA-TH ESE'!#REF!</f>
        <v>#ERROR!</v>
      </c>
      <c r="E58" s="216"/>
    </row>
    <row r="59" ht="15.75" hidden="1" customHeight="1">
      <c r="B59" s="216"/>
      <c r="C59" s="216" t="str">
        <f>'CO_attainment for FA-TH ESE'!#REF!</f>
        <v>#ERROR!</v>
      </c>
      <c r="D59" s="216" t="str">
        <f>'CO_attainment for FA-TH ESE'!#REF!</f>
        <v>#ERROR!</v>
      </c>
      <c r="E59" s="216"/>
    </row>
    <row r="60" ht="15.75" hidden="1" customHeight="1">
      <c r="B60" s="216"/>
      <c r="C60" s="216" t="str">
        <f>'CO_attainment for FA-TH ESE'!#REF!</f>
        <v>#ERROR!</v>
      </c>
      <c r="D60" s="216" t="str">
        <f>'CO_attainment for FA-TH ESE'!#REF!</f>
        <v>#ERROR!</v>
      </c>
      <c r="E60" s="216"/>
    </row>
    <row r="61" ht="15.75" hidden="1" customHeight="1">
      <c r="B61" s="216"/>
      <c r="C61" s="216" t="str">
        <f>'CO_attainment for FA-TH ESE'!#REF!</f>
        <v>#ERROR!</v>
      </c>
      <c r="D61" s="216" t="str">
        <f>'CO_attainment for FA-TH ESE'!#REF!</f>
        <v>#ERROR!</v>
      </c>
      <c r="E61" s="216"/>
    </row>
    <row r="62" ht="15.75" hidden="1" customHeight="1">
      <c r="B62" s="216"/>
      <c r="C62" s="216" t="str">
        <f>'CO_attainment for FA-TH ESE'!#REF!</f>
        <v>#ERROR!</v>
      </c>
      <c r="D62" s="216" t="str">
        <f>'CO_attainment for FA-TH ESE'!#REF!</f>
        <v>#ERROR!</v>
      </c>
      <c r="E62" s="216"/>
    </row>
    <row r="63" ht="15.75" hidden="1" customHeight="1">
      <c r="B63" s="216"/>
      <c r="C63" s="216" t="str">
        <f>'CO_attainment for FA-TH ESE'!#REF!</f>
        <v>#ERROR!</v>
      </c>
      <c r="D63" s="216" t="str">
        <f>'CO_attainment for FA-TH ESE'!#REF!</f>
        <v>#ERROR!</v>
      </c>
      <c r="E63" s="216"/>
    </row>
    <row r="64" ht="15.75" customHeight="1">
      <c r="B64" s="216">
        <v>7.0</v>
      </c>
      <c r="C64" s="216" t="str">
        <f>'CO_attainment for FA-TH ESE'!#REF!</f>
        <v>#ERROR!</v>
      </c>
      <c r="D64" s="216" t="str">
        <f>'CO_attainment for FA-TH ESE'!#REF!</f>
        <v>#ERROR!</v>
      </c>
      <c r="E64" s="216"/>
    </row>
    <row r="65" ht="15.75" hidden="1" customHeight="1">
      <c r="B65" s="216"/>
      <c r="C65" s="216" t="str">
        <f>'CO_attainment for FA-TH ESE'!#REF!</f>
        <v>#ERROR!</v>
      </c>
      <c r="D65" s="216" t="str">
        <f>'CO_attainment for FA-TH ESE'!#REF!</f>
        <v>#ERROR!</v>
      </c>
      <c r="E65" s="216"/>
    </row>
    <row r="66" ht="15.75" hidden="1" customHeight="1">
      <c r="B66" s="216"/>
      <c r="C66" s="216" t="str">
        <f>'CO_attainment for FA-TH ESE'!#REF!</f>
        <v>#ERROR!</v>
      </c>
      <c r="D66" s="216" t="str">
        <f>'CO_attainment for FA-TH ESE'!#REF!</f>
        <v>#ERROR!</v>
      </c>
      <c r="E66" s="216"/>
    </row>
    <row r="67" ht="15.75" hidden="1" customHeight="1">
      <c r="B67" s="216"/>
      <c r="C67" s="216" t="str">
        <f>'CO_attainment for FA-TH ESE'!#REF!</f>
        <v>#ERROR!</v>
      </c>
      <c r="D67" s="216" t="str">
        <f>'CO_attainment for FA-TH ESE'!#REF!</f>
        <v>#ERROR!</v>
      </c>
      <c r="E67" s="216"/>
    </row>
    <row r="68" ht="15.75" customHeight="1">
      <c r="B68" s="216">
        <v>8.0</v>
      </c>
      <c r="C68" s="216" t="str">
        <f>'CO_attainment for FA-TH ESE'!#REF!</f>
        <v>#ERROR!</v>
      </c>
      <c r="D68" s="216" t="str">
        <f>'CO_attainment for FA-TH ESE'!#REF!</f>
        <v>#ERROR!</v>
      </c>
      <c r="E68" s="216"/>
    </row>
    <row r="69" ht="15.75" hidden="1" customHeight="1">
      <c r="B69" s="216"/>
      <c r="C69" s="216" t="str">
        <f>'CO_attainment for FA-TH ESE'!#REF!</f>
        <v>#ERROR!</v>
      </c>
      <c r="D69" s="216" t="str">
        <f>'CO_attainment for FA-TH ESE'!#REF!</f>
        <v>#ERROR!</v>
      </c>
      <c r="E69" s="216"/>
    </row>
    <row r="70" ht="15.75" hidden="1" customHeight="1">
      <c r="B70" s="216"/>
      <c r="C70" s="216" t="str">
        <f>'CO_attainment for FA-TH ESE'!#REF!</f>
        <v>#ERROR!</v>
      </c>
      <c r="D70" s="216" t="str">
        <f>'CO_attainment for FA-TH ESE'!#REF!</f>
        <v>#ERROR!</v>
      </c>
      <c r="E70" s="216"/>
    </row>
    <row r="71" ht="15.75" customHeight="1">
      <c r="B71" s="216">
        <v>9.0</v>
      </c>
      <c r="C71" s="216" t="str">
        <f>'CO_attainment for FA-TH ESE'!#REF!</f>
        <v>#ERROR!</v>
      </c>
      <c r="D71" s="216" t="str">
        <f>'CO_attainment for FA-TH ESE'!#REF!</f>
        <v>#ERROR!</v>
      </c>
      <c r="E71" s="216"/>
    </row>
    <row r="72" ht="15.75" hidden="1" customHeight="1">
      <c r="B72" s="216"/>
      <c r="C72" s="216" t="str">
        <f>'CO_attainment for FA-TH ESE'!#REF!</f>
        <v>#ERROR!</v>
      </c>
      <c r="D72" s="216" t="str">
        <f>'CO_attainment for FA-TH ESE'!#REF!</f>
        <v>#ERROR!</v>
      </c>
      <c r="E72" s="216"/>
    </row>
    <row r="73" ht="15.75" customHeight="1">
      <c r="B73" s="216"/>
      <c r="C73" s="216"/>
      <c r="D73" s="216"/>
      <c r="E73" s="216"/>
    </row>
    <row r="74" ht="15.75" customHeight="1">
      <c r="B74" s="216"/>
      <c r="C74" s="216"/>
      <c r="D74" s="216"/>
      <c r="E74" s="216"/>
    </row>
    <row r="75" ht="15.75" customHeight="1">
      <c r="B75" s="216"/>
      <c r="C75" s="216"/>
      <c r="D75" s="216"/>
      <c r="E75" s="216"/>
    </row>
    <row r="76" ht="15.75" customHeight="1">
      <c r="B76" s="216"/>
      <c r="C76" s="216"/>
      <c r="D76" s="216"/>
      <c r="E76" s="216"/>
    </row>
    <row r="77" ht="15.75" customHeight="1">
      <c r="B77" s="216"/>
      <c r="C77" s="216"/>
      <c r="D77" s="216"/>
      <c r="E77" s="216"/>
    </row>
    <row r="78" ht="15.75" customHeight="1">
      <c r="B78" s="216"/>
      <c r="C78" s="216"/>
      <c r="D78" s="216"/>
      <c r="E78" s="216"/>
    </row>
    <row r="79" ht="15.75" customHeight="1">
      <c r="B79" s="216"/>
      <c r="C79" s="218"/>
      <c r="D79" s="218"/>
      <c r="E79" s="218"/>
    </row>
    <row r="80" ht="15.75" customHeight="1">
      <c r="D80" s="219" t="s">
        <v>173</v>
      </c>
      <c r="E80" s="220">
        <f>ROUNDUP(AVERAGE(E15:E79),1)</f>
        <v>0</v>
      </c>
    </row>
    <row r="81" ht="15.75" customHeight="1">
      <c r="D81" s="219" t="s">
        <v>174</v>
      </c>
      <c r="E81" s="220">
        <f>(E80/5)*100</f>
        <v>0</v>
      </c>
    </row>
    <row r="82" ht="15.75" customHeight="1">
      <c r="A82" s="18" t="s">
        <v>175</v>
      </c>
      <c r="D82" s="208"/>
      <c r="E82" s="48"/>
    </row>
    <row r="83" ht="15.75" customHeight="1">
      <c r="A83" s="18" t="s">
        <v>176</v>
      </c>
      <c r="D83" s="208"/>
      <c r="E83" s="48"/>
    </row>
    <row r="84" ht="15.75" customHeight="1"/>
    <row r="85" ht="42.75" customHeight="1">
      <c r="A85" s="221" t="s">
        <v>177</v>
      </c>
      <c r="B85" s="24"/>
      <c r="C85" s="24"/>
      <c r="D85" s="25"/>
      <c r="E85" s="222" t="s">
        <v>139</v>
      </c>
    </row>
    <row r="86" ht="15.75" customHeight="1">
      <c r="A86" s="223" t="s">
        <v>140</v>
      </c>
      <c r="B86" s="224" t="s">
        <v>178</v>
      </c>
      <c r="C86" s="225"/>
      <c r="D86" s="166"/>
      <c r="E86" s="226">
        <v>1.0</v>
      </c>
    </row>
    <row r="87" ht="15.75" customHeight="1">
      <c r="A87" s="127"/>
      <c r="B87" s="227" t="s">
        <v>179</v>
      </c>
      <c r="C87" s="228"/>
      <c r="D87" s="130"/>
      <c r="E87" s="229">
        <v>2.0</v>
      </c>
    </row>
    <row r="88" ht="15.75" customHeight="1">
      <c r="A88" s="131"/>
      <c r="B88" s="230" t="s">
        <v>180</v>
      </c>
      <c r="C88" s="231"/>
      <c r="D88" s="135"/>
      <c r="E88" s="232">
        <v>3.0</v>
      </c>
    </row>
    <row r="89" ht="15.75" customHeight="1"/>
    <row r="90" ht="30.75" customHeight="1">
      <c r="A90" s="233" t="s">
        <v>165</v>
      </c>
      <c r="B90" s="196"/>
      <c r="C90" s="234" t="s">
        <v>9</v>
      </c>
      <c r="D90" s="234" t="s">
        <v>11</v>
      </c>
      <c r="E90" s="234" t="s">
        <v>13</v>
      </c>
      <c r="F90" s="234" t="s">
        <v>143</v>
      </c>
      <c r="G90" s="235" t="s">
        <v>144</v>
      </c>
    </row>
    <row r="91" ht="30.0" customHeight="1">
      <c r="A91" s="236" t="s">
        <v>181</v>
      </c>
      <c r="B91" s="180"/>
      <c r="C91" s="237">
        <f>IF(E81&gt;=80,3,IF(E81&gt;=65,2,IF(E81&gt;=40,1,0)))</f>
        <v>0</v>
      </c>
      <c r="D91" s="237">
        <f t="shared" ref="D91:G91" si="1">$C91</f>
        <v>0</v>
      </c>
      <c r="E91" s="237">
        <f t="shared" si="1"/>
        <v>0</v>
      </c>
      <c r="F91" s="237">
        <f t="shared" si="1"/>
        <v>0</v>
      </c>
      <c r="G91" s="238">
        <f t="shared" si="1"/>
        <v>0</v>
      </c>
    </row>
    <row r="92" ht="15.0" customHeight="1">
      <c r="A92" s="18" t="s">
        <v>182</v>
      </c>
      <c r="E92" s="17"/>
    </row>
    <row r="93" ht="12.0" customHeight="1">
      <c r="B93" s="18" t="s">
        <v>183</v>
      </c>
    </row>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1">
    <mergeCell ref="B87:D87"/>
    <mergeCell ref="B88:D88"/>
    <mergeCell ref="A90:B90"/>
    <mergeCell ref="A91:B91"/>
    <mergeCell ref="B10:B14"/>
    <mergeCell ref="C10:C14"/>
    <mergeCell ref="D10:D14"/>
    <mergeCell ref="E10:E13"/>
    <mergeCell ref="A85:D85"/>
    <mergeCell ref="A86:A88"/>
    <mergeCell ref="B86:D86"/>
  </mergeCells>
  <printOptions/>
  <pageMargins bottom="0.75" footer="0.0" header="0.0" left="0.7" right="0.7" top="0.75"/>
  <pageSetup orientation="portrait"/>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3" width="8.71"/>
    <col customWidth="1" min="4" max="4" width="31.14"/>
    <col customWidth="1" min="5" max="5" width="11.43"/>
    <col customWidth="1" min="6" max="16" width="8.71"/>
  </cols>
  <sheetData>
    <row r="1">
      <c r="F1" s="239" t="s">
        <v>184</v>
      </c>
      <c r="G1" s="239"/>
      <c r="H1" s="239"/>
      <c r="I1" s="3"/>
    </row>
    <row r="4">
      <c r="B4" s="17"/>
      <c r="C4" s="19" t="s">
        <v>185</v>
      </c>
      <c r="D4" s="17"/>
      <c r="E4" s="17"/>
      <c r="F4" s="17"/>
      <c r="G4" s="17"/>
      <c r="H4" s="17"/>
      <c r="I4" s="17"/>
      <c r="J4" s="17"/>
      <c r="K4" s="17"/>
      <c r="L4" s="17"/>
      <c r="M4" s="17"/>
      <c r="N4" s="17"/>
      <c r="O4" s="17"/>
      <c r="P4" s="17"/>
    </row>
    <row r="5">
      <c r="B5" s="17"/>
      <c r="C5" s="19" t="s">
        <v>186</v>
      </c>
      <c r="D5" s="17"/>
      <c r="E5" s="17"/>
      <c r="F5" s="17"/>
      <c r="G5" s="17"/>
      <c r="H5" s="17"/>
      <c r="I5" s="17"/>
      <c r="J5" s="17"/>
      <c r="K5" s="17"/>
      <c r="L5" s="17"/>
      <c r="M5" s="17"/>
      <c r="N5" s="17"/>
      <c r="O5" s="17"/>
      <c r="P5" s="17"/>
    </row>
    <row r="6">
      <c r="B6" s="20" t="s">
        <v>21</v>
      </c>
      <c r="C6" s="21" t="s">
        <v>22</v>
      </c>
      <c r="D6" s="22"/>
      <c r="E6" s="23" t="s">
        <v>23</v>
      </c>
      <c r="F6" s="24"/>
      <c r="G6" s="24"/>
      <c r="H6" s="24"/>
      <c r="I6" s="24"/>
      <c r="J6" s="24"/>
      <c r="K6" s="24"/>
      <c r="L6" s="24"/>
      <c r="M6" s="24"/>
      <c r="N6" s="25"/>
      <c r="O6" s="23" t="s">
        <v>24</v>
      </c>
      <c r="P6" s="25"/>
    </row>
    <row r="7">
      <c r="B7" s="26"/>
      <c r="C7" s="27"/>
      <c r="D7" s="28"/>
      <c r="E7" s="29" t="s">
        <v>25</v>
      </c>
      <c r="F7" s="29" t="s">
        <v>26</v>
      </c>
      <c r="G7" s="29" t="s">
        <v>27</v>
      </c>
      <c r="H7" s="29" t="s">
        <v>28</v>
      </c>
      <c r="I7" s="29" t="s">
        <v>29</v>
      </c>
      <c r="J7" s="29" t="s">
        <v>30</v>
      </c>
      <c r="K7" s="29" t="s">
        <v>31</v>
      </c>
      <c r="L7" s="29" t="s">
        <v>187</v>
      </c>
      <c r="M7" s="29" t="s">
        <v>188</v>
      </c>
      <c r="N7" s="29" t="s">
        <v>189</v>
      </c>
      <c r="O7" s="29" t="s">
        <v>32</v>
      </c>
      <c r="P7" s="29" t="s">
        <v>33</v>
      </c>
    </row>
    <row r="8">
      <c r="B8" s="30"/>
      <c r="C8" s="31"/>
      <c r="D8" s="32"/>
      <c r="E8" s="33" t="s">
        <v>190</v>
      </c>
      <c r="F8" s="33" t="s">
        <v>191</v>
      </c>
      <c r="G8" s="33" t="s">
        <v>192</v>
      </c>
      <c r="H8" s="33" t="s">
        <v>193</v>
      </c>
      <c r="I8" s="33" t="s">
        <v>194</v>
      </c>
      <c r="J8" s="33" t="s">
        <v>195</v>
      </c>
      <c r="K8" s="33" t="s">
        <v>196</v>
      </c>
      <c r="L8" s="33" t="s">
        <v>197</v>
      </c>
      <c r="M8" s="33" t="s">
        <v>198</v>
      </c>
      <c r="N8" s="33" t="s">
        <v>199</v>
      </c>
      <c r="O8" s="240" t="s">
        <v>200</v>
      </c>
      <c r="P8" s="241" t="s">
        <v>201</v>
      </c>
    </row>
    <row r="9" ht="63.75" customHeight="1">
      <c r="B9" s="242">
        <v>1.0</v>
      </c>
      <c r="C9" s="35" t="s">
        <v>9</v>
      </c>
      <c r="D9" s="36" t="s">
        <v>202</v>
      </c>
      <c r="E9" s="243">
        <v>3.0</v>
      </c>
      <c r="F9" s="243">
        <v>3.0</v>
      </c>
      <c r="G9" s="243">
        <v>2.0</v>
      </c>
      <c r="H9" s="243">
        <v>2.0</v>
      </c>
      <c r="I9" s="243">
        <v>2.0</v>
      </c>
      <c r="J9" s="243">
        <v>2.0</v>
      </c>
      <c r="K9" s="243">
        <v>2.0</v>
      </c>
      <c r="L9" s="243">
        <v>2.0</v>
      </c>
      <c r="M9" s="243">
        <v>2.0</v>
      </c>
      <c r="N9" s="243">
        <v>3.0</v>
      </c>
      <c r="O9" s="243">
        <v>3.0</v>
      </c>
      <c r="P9" s="243">
        <v>2.0</v>
      </c>
    </row>
    <row r="10" ht="60.75" customHeight="1">
      <c r="B10" s="242">
        <v>2.0</v>
      </c>
      <c r="C10" s="35" t="s">
        <v>11</v>
      </c>
      <c r="D10" s="38" t="s">
        <v>203</v>
      </c>
      <c r="E10" s="243">
        <v>3.0</v>
      </c>
      <c r="F10" s="243">
        <v>3.0</v>
      </c>
      <c r="G10" s="243">
        <v>1.0</v>
      </c>
      <c r="H10" s="243">
        <v>2.0</v>
      </c>
      <c r="I10" s="243">
        <v>2.0</v>
      </c>
      <c r="J10" s="243">
        <v>2.0</v>
      </c>
      <c r="K10" s="243">
        <v>2.0</v>
      </c>
      <c r="L10" s="243">
        <v>2.0</v>
      </c>
      <c r="M10" s="243">
        <v>2.0</v>
      </c>
      <c r="N10" s="243">
        <v>1.0</v>
      </c>
      <c r="O10" s="243">
        <v>2.0</v>
      </c>
      <c r="P10" s="243">
        <v>2.0</v>
      </c>
    </row>
    <row r="11" ht="57.75" customHeight="1">
      <c r="B11" s="242">
        <v>3.0</v>
      </c>
      <c r="C11" s="35" t="s">
        <v>13</v>
      </c>
      <c r="D11" s="38" t="s">
        <v>204</v>
      </c>
      <c r="E11" s="243">
        <v>3.0</v>
      </c>
      <c r="F11" s="243">
        <v>3.0</v>
      </c>
      <c r="G11" s="243">
        <v>2.0</v>
      </c>
      <c r="H11" s="243">
        <v>2.0</v>
      </c>
      <c r="I11" s="243">
        <v>2.0</v>
      </c>
      <c r="J11" s="243">
        <v>3.0</v>
      </c>
      <c r="K11" s="243">
        <v>2.0</v>
      </c>
      <c r="L11" s="243">
        <v>3.0</v>
      </c>
      <c r="M11" s="243">
        <v>2.0</v>
      </c>
      <c r="N11" s="243">
        <v>2.0</v>
      </c>
      <c r="O11" s="243">
        <v>2.0</v>
      </c>
      <c r="P11" s="243">
        <v>2.0</v>
      </c>
    </row>
    <row r="12" ht="84.0" customHeight="1">
      <c r="B12" s="242">
        <v>4.0</v>
      </c>
      <c r="C12" s="35" t="s">
        <v>15</v>
      </c>
      <c r="D12" s="38" t="s">
        <v>205</v>
      </c>
      <c r="E12" s="243">
        <v>3.0</v>
      </c>
      <c r="F12" s="243">
        <v>3.0</v>
      </c>
      <c r="G12" s="243">
        <v>2.0</v>
      </c>
      <c r="H12" s="243">
        <v>3.0</v>
      </c>
      <c r="I12" s="243">
        <v>3.0</v>
      </c>
      <c r="J12" s="243">
        <v>2.0</v>
      </c>
      <c r="K12" s="243">
        <v>3.0</v>
      </c>
      <c r="L12" s="243">
        <v>2.0</v>
      </c>
      <c r="M12" s="243">
        <v>2.0</v>
      </c>
      <c r="N12" s="243">
        <v>3.0</v>
      </c>
      <c r="O12" s="243">
        <v>2.0</v>
      </c>
      <c r="P12" s="243">
        <v>2.0</v>
      </c>
    </row>
    <row r="13" ht="48.0" customHeight="1">
      <c r="B13" s="242">
        <v>5.0</v>
      </c>
      <c r="C13" s="35" t="s">
        <v>17</v>
      </c>
      <c r="D13" s="38" t="s">
        <v>206</v>
      </c>
      <c r="E13" s="243">
        <v>3.0</v>
      </c>
      <c r="F13" s="243">
        <v>3.0</v>
      </c>
      <c r="G13" s="243">
        <v>3.0</v>
      </c>
      <c r="H13" s="243">
        <v>3.0</v>
      </c>
      <c r="I13" s="243">
        <v>2.0</v>
      </c>
      <c r="J13" s="243">
        <v>2.0</v>
      </c>
      <c r="K13" s="243">
        <v>1.0</v>
      </c>
      <c r="L13" s="243">
        <v>3.0</v>
      </c>
      <c r="M13" s="243">
        <v>2.0</v>
      </c>
      <c r="N13" s="243">
        <v>2.0</v>
      </c>
      <c r="O13" s="243">
        <v>3.0</v>
      </c>
      <c r="P13" s="243">
        <v>3.0</v>
      </c>
    </row>
    <row r="14" ht="48.0" customHeight="1">
      <c r="B14" s="242">
        <v>6.0</v>
      </c>
      <c r="C14" s="35" t="s">
        <v>207</v>
      </c>
      <c r="D14" s="38" t="s">
        <v>208</v>
      </c>
      <c r="E14" s="243">
        <v>3.0</v>
      </c>
      <c r="F14" s="243">
        <v>3.0</v>
      </c>
      <c r="G14" s="243">
        <v>2.0</v>
      </c>
      <c r="H14" s="243">
        <v>2.0</v>
      </c>
      <c r="I14" s="243">
        <v>1.0</v>
      </c>
      <c r="J14" s="243">
        <v>2.0</v>
      </c>
      <c r="K14" s="243">
        <v>1.0</v>
      </c>
      <c r="L14" s="243">
        <v>1.0</v>
      </c>
      <c r="M14" s="243">
        <v>2.0</v>
      </c>
      <c r="N14" s="243">
        <v>1.0</v>
      </c>
      <c r="O14" s="243">
        <v>2.0</v>
      </c>
      <c r="P14" s="243">
        <v>2.0</v>
      </c>
    </row>
    <row r="15">
      <c r="B15" s="244" t="s">
        <v>209</v>
      </c>
      <c r="C15" s="24"/>
      <c r="D15" s="25"/>
      <c r="E15" s="245">
        <f t="shared" ref="E15:P15" si="1">ROUNDUP(AVERAGE(E9:E14),2)</f>
        <v>3</v>
      </c>
      <c r="F15" s="245">
        <f t="shared" si="1"/>
        <v>3</v>
      </c>
      <c r="G15" s="245">
        <f t="shared" si="1"/>
        <v>2</v>
      </c>
      <c r="H15" s="245">
        <f t="shared" si="1"/>
        <v>2.34</v>
      </c>
      <c r="I15" s="245">
        <f t="shared" si="1"/>
        <v>2</v>
      </c>
      <c r="J15" s="245">
        <f t="shared" si="1"/>
        <v>2.17</v>
      </c>
      <c r="K15" s="245">
        <f t="shared" si="1"/>
        <v>1.84</v>
      </c>
      <c r="L15" s="245">
        <f t="shared" si="1"/>
        <v>2.17</v>
      </c>
      <c r="M15" s="245">
        <f t="shared" si="1"/>
        <v>2</v>
      </c>
      <c r="N15" s="245">
        <f t="shared" si="1"/>
        <v>2</v>
      </c>
      <c r="O15" s="245">
        <f t="shared" si="1"/>
        <v>2.34</v>
      </c>
      <c r="P15" s="245">
        <f t="shared" si="1"/>
        <v>2.17</v>
      </c>
    </row>
    <row r="16">
      <c r="B16" s="246" t="s">
        <v>210</v>
      </c>
      <c r="C16" s="24"/>
      <c r="D16" s="25"/>
      <c r="E16" s="247">
        <f t="shared" ref="E16:P16" si="2">ROUNDUP((E15*2.66)/3,2)</f>
        <v>2.66</v>
      </c>
      <c r="F16" s="247">
        <f t="shared" si="2"/>
        <v>2.66</v>
      </c>
      <c r="G16" s="247">
        <f t="shared" si="2"/>
        <v>1.78</v>
      </c>
      <c r="H16" s="247">
        <f t="shared" si="2"/>
        <v>2.08</v>
      </c>
      <c r="I16" s="247">
        <f t="shared" si="2"/>
        <v>1.78</v>
      </c>
      <c r="J16" s="247">
        <f t="shared" si="2"/>
        <v>1.93</v>
      </c>
      <c r="K16" s="247">
        <f t="shared" si="2"/>
        <v>1.64</v>
      </c>
      <c r="L16" s="247">
        <f t="shared" si="2"/>
        <v>1.93</v>
      </c>
      <c r="M16" s="247">
        <f t="shared" si="2"/>
        <v>1.78</v>
      </c>
      <c r="N16" s="247">
        <f t="shared" si="2"/>
        <v>1.78</v>
      </c>
      <c r="O16" s="247">
        <f t="shared" si="2"/>
        <v>2.08</v>
      </c>
      <c r="P16" s="247">
        <f t="shared" si="2"/>
        <v>1.93</v>
      </c>
    </row>
    <row r="17">
      <c r="B17" s="246" t="s">
        <v>211</v>
      </c>
      <c r="C17" s="24"/>
      <c r="D17" s="25"/>
      <c r="E17" s="247">
        <f t="shared" ref="E17:P17" si="3">ROUNDUP((E16/3)*100,2)</f>
        <v>88.67</v>
      </c>
      <c r="F17" s="247">
        <f t="shared" si="3"/>
        <v>88.67</v>
      </c>
      <c r="G17" s="247">
        <f t="shared" si="3"/>
        <v>59.34</v>
      </c>
      <c r="H17" s="247">
        <f t="shared" si="3"/>
        <v>69.34</v>
      </c>
      <c r="I17" s="247">
        <f t="shared" si="3"/>
        <v>59.34</v>
      </c>
      <c r="J17" s="247">
        <f t="shared" si="3"/>
        <v>64.34</v>
      </c>
      <c r="K17" s="247">
        <f t="shared" si="3"/>
        <v>54.67</v>
      </c>
      <c r="L17" s="247">
        <f t="shared" si="3"/>
        <v>64.34</v>
      </c>
      <c r="M17" s="247">
        <f t="shared" si="3"/>
        <v>59.34</v>
      </c>
      <c r="N17" s="247">
        <f t="shared" si="3"/>
        <v>59.34</v>
      </c>
      <c r="O17" s="247">
        <f t="shared" si="3"/>
        <v>69.34</v>
      </c>
      <c r="P17" s="247">
        <f t="shared" si="3"/>
        <v>64.34</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6:B8"/>
    <mergeCell ref="C6:D8"/>
    <mergeCell ref="E6:N6"/>
    <mergeCell ref="O6:P6"/>
    <mergeCell ref="B15:D15"/>
    <mergeCell ref="B16:D16"/>
    <mergeCell ref="B17:D17"/>
  </mergeCells>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showGridLines="0" workbookViewId="0"/>
  </sheetViews>
  <sheetFormatPr customHeight="1" defaultColWidth="14.43" defaultRowHeight="15.0"/>
  <cols>
    <col customWidth="1" min="1" max="1" width="9.14"/>
    <col customWidth="1" min="2" max="2" width="7.14"/>
    <col customWidth="1" min="3" max="3" width="19.0"/>
    <col customWidth="1" min="4" max="4" width="26.86"/>
    <col customWidth="1" min="5" max="5" width="9.71"/>
    <col customWidth="1" min="6" max="6" width="7.14"/>
    <col customWidth="1" min="7" max="7" width="6.57"/>
    <col customWidth="1" min="8" max="8" width="10.29"/>
    <col customWidth="1" min="9" max="9" width="13.71"/>
    <col customWidth="1" min="10" max="10" width="10.71"/>
    <col customWidth="1" min="11" max="26" width="9.14"/>
  </cols>
  <sheetData>
    <row r="1">
      <c r="A1" s="17"/>
      <c r="B1" s="17"/>
      <c r="C1" s="17"/>
      <c r="D1" s="17"/>
      <c r="E1" s="248" t="s">
        <v>212</v>
      </c>
      <c r="F1" s="17"/>
      <c r="G1" s="17"/>
      <c r="H1" s="17"/>
      <c r="I1" s="17"/>
      <c r="J1" s="17"/>
      <c r="K1" s="17"/>
      <c r="L1" s="17"/>
      <c r="M1" s="17"/>
      <c r="N1" s="17"/>
      <c r="O1" s="17"/>
      <c r="P1" s="17"/>
      <c r="Q1" s="17"/>
      <c r="R1" s="17"/>
      <c r="S1" s="17"/>
      <c r="T1" s="17"/>
      <c r="U1" s="17"/>
      <c r="V1" s="17"/>
      <c r="W1" s="17"/>
      <c r="X1" s="17"/>
      <c r="Y1" s="17"/>
      <c r="Z1" s="17"/>
    </row>
    <row r="2">
      <c r="A2" s="17"/>
      <c r="B2" s="17"/>
      <c r="C2" s="17"/>
      <c r="D2" s="17"/>
      <c r="E2" s="17"/>
      <c r="F2" s="17"/>
      <c r="G2" s="17"/>
      <c r="H2" s="17"/>
      <c r="I2" s="17"/>
      <c r="J2" s="17"/>
      <c r="K2" s="17"/>
      <c r="L2" s="17"/>
      <c r="M2" s="17"/>
      <c r="N2" s="17"/>
      <c r="O2" s="17"/>
      <c r="P2" s="17"/>
      <c r="Q2" s="17"/>
      <c r="R2" s="17"/>
      <c r="S2" s="17"/>
      <c r="T2" s="17"/>
      <c r="U2" s="17"/>
      <c r="V2" s="17"/>
      <c r="W2" s="17"/>
      <c r="X2" s="17"/>
      <c r="Y2" s="17"/>
      <c r="Z2" s="17"/>
    </row>
    <row r="3">
      <c r="A3" s="17"/>
      <c r="B3" s="56"/>
      <c r="C3" s="57" t="s">
        <v>1</v>
      </c>
      <c r="D3" s="207" t="str">
        <f>'CO_attainment for Indirect'!D4</f>
        <v>Data Structures Using _C</v>
      </c>
      <c r="E3" s="17"/>
      <c r="F3" s="17"/>
      <c r="G3" s="17"/>
      <c r="H3" s="17"/>
      <c r="I3" s="17"/>
      <c r="J3" s="17"/>
      <c r="K3" s="17"/>
      <c r="L3" s="17"/>
      <c r="M3" s="17"/>
      <c r="N3" s="17"/>
      <c r="O3" s="17"/>
      <c r="P3" s="17"/>
      <c r="Q3" s="17"/>
      <c r="R3" s="17"/>
      <c r="S3" s="17"/>
      <c r="T3" s="17"/>
      <c r="U3" s="17"/>
      <c r="V3" s="17"/>
      <c r="W3" s="17"/>
      <c r="X3" s="17"/>
      <c r="Y3" s="17"/>
      <c r="Z3" s="17"/>
    </row>
    <row r="4">
      <c r="A4" s="17"/>
      <c r="B4" s="56"/>
      <c r="C4" s="57" t="s">
        <v>3</v>
      </c>
      <c r="D4" s="207">
        <f>'CO_attainment for Indirect'!D5</f>
        <v>22317</v>
      </c>
      <c r="E4" s="17"/>
      <c r="F4" s="17"/>
      <c r="G4" s="17"/>
      <c r="H4" s="17"/>
      <c r="I4" s="17"/>
      <c r="J4" s="17"/>
      <c r="K4" s="17"/>
      <c r="L4" s="17"/>
      <c r="M4" s="17"/>
      <c r="N4" s="17"/>
      <c r="O4" s="17"/>
      <c r="P4" s="17"/>
      <c r="Q4" s="17"/>
      <c r="R4" s="17"/>
      <c r="S4" s="17"/>
      <c r="T4" s="17"/>
      <c r="U4" s="17"/>
      <c r="V4" s="17"/>
      <c r="W4" s="17"/>
      <c r="X4" s="17"/>
      <c r="Y4" s="17"/>
      <c r="Z4" s="17"/>
    </row>
    <row r="5">
      <c r="A5" s="17"/>
      <c r="B5" s="56"/>
      <c r="C5" s="57" t="s">
        <v>54</v>
      </c>
      <c r="D5" s="207" t="str">
        <f>'CO_attainment for Indirect'!D6</f>
        <v>3rd SEM(CO3I SCHEME)</v>
      </c>
      <c r="E5" s="17"/>
      <c r="F5" s="17"/>
      <c r="G5" s="17"/>
      <c r="H5" s="17"/>
      <c r="I5" s="17"/>
      <c r="J5" s="17"/>
      <c r="K5" s="17"/>
      <c r="L5" s="17"/>
      <c r="M5" s="17"/>
      <c r="N5" s="17"/>
      <c r="O5" s="17"/>
      <c r="P5" s="17"/>
      <c r="Q5" s="17"/>
      <c r="R5" s="17"/>
      <c r="S5" s="17"/>
      <c r="T5" s="17"/>
      <c r="U5" s="17"/>
      <c r="V5" s="17"/>
      <c r="W5" s="17"/>
      <c r="X5" s="17"/>
      <c r="Y5" s="17"/>
      <c r="Z5" s="17"/>
    </row>
    <row r="6">
      <c r="A6" s="17"/>
      <c r="B6" s="56"/>
      <c r="C6" s="57" t="s">
        <v>159</v>
      </c>
      <c r="D6" s="207" t="str">
        <f>'CO_attain_SLA_FA-PR_SA-PR'!D7</f>
        <v>2023-24</v>
      </c>
      <c r="E6" s="17"/>
      <c r="F6" s="17"/>
      <c r="G6" s="17"/>
      <c r="H6" s="17"/>
      <c r="I6" s="17"/>
      <c r="J6" s="17"/>
      <c r="K6" s="17"/>
      <c r="L6" s="17"/>
      <c r="M6" s="17"/>
      <c r="N6" s="17"/>
      <c r="O6" s="17"/>
      <c r="P6" s="17"/>
      <c r="Q6" s="17"/>
      <c r="R6" s="17"/>
      <c r="S6" s="17"/>
      <c r="T6" s="17"/>
      <c r="U6" s="17"/>
      <c r="V6" s="17"/>
      <c r="W6" s="17"/>
      <c r="X6" s="17"/>
      <c r="Y6" s="17"/>
      <c r="Z6" s="17"/>
    </row>
    <row r="7">
      <c r="A7" s="17"/>
      <c r="B7" s="17"/>
      <c r="C7" s="17"/>
      <c r="D7" s="17"/>
      <c r="E7" s="17"/>
      <c r="F7" s="17"/>
      <c r="G7" s="17"/>
      <c r="H7" s="17"/>
      <c r="I7" s="17"/>
      <c r="J7" s="17"/>
      <c r="K7" s="17"/>
      <c r="L7" s="17"/>
      <c r="M7" s="17"/>
      <c r="N7" s="17"/>
      <c r="O7" s="17"/>
      <c r="P7" s="17"/>
      <c r="Q7" s="17"/>
      <c r="R7" s="17"/>
      <c r="S7" s="17"/>
      <c r="T7" s="17"/>
      <c r="U7" s="17"/>
      <c r="V7" s="17"/>
      <c r="W7" s="17"/>
      <c r="X7" s="17"/>
      <c r="Y7" s="17"/>
      <c r="Z7" s="17"/>
    </row>
    <row r="8">
      <c r="A8" s="17"/>
      <c r="B8" s="17"/>
      <c r="C8" s="249" t="s">
        <v>213</v>
      </c>
      <c r="D8" s="24"/>
      <c r="E8" s="24"/>
      <c r="F8" s="24"/>
      <c r="G8" s="24"/>
      <c r="H8" s="24"/>
      <c r="I8" s="24"/>
      <c r="J8" s="25"/>
      <c r="K8" s="17"/>
      <c r="L8" s="17"/>
      <c r="M8" s="17"/>
      <c r="N8" s="17"/>
      <c r="O8" s="17"/>
      <c r="P8" s="17"/>
      <c r="Q8" s="17"/>
      <c r="R8" s="17"/>
      <c r="S8" s="17"/>
      <c r="T8" s="17"/>
      <c r="U8" s="17"/>
      <c r="V8" s="17"/>
      <c r="W8" s="17"/>
      <c r="X8" s="17"/>
      <c r="Y8" s="17"/>
      <c r="Z8" s="17"/>
    </row>
    <row r="9">
      <c r="A9" s="17"/>
      <c r="B9" s="17"/>
      <c r="C9" s="250" t="s">
        <v>214</v>
      </c>
      <c r="D9" s="24"/>
      <c r="E9" s="24"/>
      <c r="F9" s="24"/>
      <c r="G9" s="24"/>
      <c r="H9" s="25"/>
      <c r="I9" s="251" t="s">
        <v>215</v>
      </c>
      <c r="J9" s="22"/>
      <c r="K9" s="17"/>
      <c r="L9" s="17"/>
      <c r="M9" s="17"/>
      <c r="N9" s="17"/>
      <c r="O9" s="17"/>
      <c r="P9" s="17"/>
      <c r="Q9" s="17"/>
      <c r="R9" s="17"/>
      <c r="S9" s="17"/>
      <c r="T9" s="17"/>
      <c r="U9" s="17"/>
      <c r="V9" s="17"/>
      <c r="W9" s="17"/>
      <c r="X9" s="17"/>
      <c r="Y9" s="17"/>
      <c r="Z9" s="17"/>
    </row>
    <row r="10">
      <c r="A10" s="17"/>
      <c r="B10" s="17"/>
      <c r="C10" s="252" t="s">
        <v>216</v>
      </c>
      <c r="D10" s="253" t="s">
        <v>217</v>
      </c>
      <c r="E10" s="254"/>
      <c r="F10" s="254"/>
      <c r="G10" s="32"/>
      <c r="H10" s="255" t="s">
        <v>218</v>
      </c>
      <c r="I10" s="31"/>
      <c r="J10" s="32"/>
      <c r="K10" s="17"/>
      <c r="L10" s="17"/>
      <c r="M10" s="17"/>
      <c r="N10" s="17"/>
      <c r="O10" s="17"/>
      <c r="P10" s="17"/>
      <c r="Q10" s="17"/>
      <c r="R10" s="17"/>
      <c r="S10" s="17"/>
      <c r="T10" s="17"/>
      <c r="U10" s="17"/>
      <c r="V10" s="17"/>
      <c r="W10" s="17"/>
      <c r="X10" s="17"/>
      <c r="Y10" s="17"/>
      <c r="Z10" s="17"/>
    </row>
    <row r="11" ht="45.75" customHeight="1">
      <c r="A11" s="17"/>
      <c r="B11" s="17"/>
      <c r="C11" s="30"/>
      <c r="D11" s="256" t="s">
        <v>219</v>
      </c>
      <c r="E11" s="257" t="s">
        <v>220</v>
      </c>
      <c r="F11" s="257" t="s">
        <v>221</v>
      </c>
      <c r="G11" s="258" t="s">
        <v>162</v>
      </c>
      <c r="H11" s="259" t="s">
        <v>222</v>
      </c>
      <c r="I11" s="260" t="s">
        <v>223</v>
      </c>
      <c r="J11" s="25"/>
      <c r="K11" s="17"/>
      <c r="L11" s="17"/>
      <c r="M11" s="17"/>
      <c r="N11" s="17"/>
      <c r="O11" s="17"/>
      <c r="P11" s="17"/>
      <c r="Q11" s="17"/>
      <c r="R11" s="17"/>
      <c r="S11" s="17"/>
      <c r="T11" s="17"/>
      <c r="U11" s="17"/>
      <c r="V11" s="17"/>
      <c r="W11" s="17"/>
      <c r="X11" s="17"/>
      <c r="Y11" s="17"/>
      <c r="Z11" s="17"/>
    </row>
    <row r="12">
      <c r="A12" s="17"/>
      <c r="B12" s="17"/>
      <c r="C12" s="261" t="s">
        <v>9</v>
      </c>
      <c r="D12" s="262">
        <f>'CO_Attainment for Unit Tests'!D109</f>
        <v>3</v>
      </c>
      <c r="E12" s="263">
        <f>'CO_attain_SLA_FA-PR_SA-PR'!C111</f>
        <v>3</v>
      </c>
      <c r="F12" s="263">
        <f>'CO_attain_SLA_FA-PR_SA-PR'!C110</f>
        <v>0</v>
      </c>
      <c r="G12" s="263">
        <f>'CO_attain_SLA_FA-PR_SA-PR'!C112</f>
        <v>3</v>
      </c>
      <c r="H12" s="264">
        <f>'CO_attainment for FA-TH ESE'!C110</f>
        <v>3</v>
      </c>
      <c r="I12" s="265">
        <f>'CO_attainment for Indirect'!C91</f>
        <v>0</v>
      </c>
      <c r="J12" s="166"/>
      <c r="K12" s="17"/>
      <c r="L12" s="17"/>
      <c r="M12" s="17"/>
      <c r="N12" s="17"/>
      <c r="O12" s="17"/>
      <c r="P12" s="17"/>
      <c r="Q12" s="17"/>
      <c r="R12" s="17"/>
      <c r="S12" s="17"/>
      <c r="T12" s="17"/>
      <c r="U12" s="17"/>
      <c r="V12" s="17"/>
      <c r="W12" s="17"/>
      <c r="X12" s="17"/>
      <c r="Y12" s="17"/>
      <c r="Z12" s="17"/>
    </row>
    <row r="13">
      <c r="A13" s="17"/>
      <c r="B13" s="17"/>
      <c r="C13" s="266" t="s">
        <v>11</v>
      </c>
      <c r="D13" s="267">
        <f>'CO_Attainment for Unit Tests'!E109</f>
        <v>2</v>
      </c>
      <c r="E13" s="268">
        <f t="shared" ref="E13:E17" si="1">$E12</f>
        <v>3</v>
      </c>
      <c r="F13" s="268">
        <f t="shared" ref="F13:F17" si="2">$F12</f>
        <v>0</v>
      </c>
      <c r="G13" s="268">
        <f t="shared" ref="G13:G17" si="3">$G12</f>
        <v>3</v>
      </c>
      <c r="H13" s="269">
        <f t="shared" ref="H13:H17" si="4">$H12</f>
        <v>3</v>
      </c>
      <c r="I13" s="270">
        <f t="shared" ref="I13:I17" si="5">$I12</f>
        <v>0</v>
      </c>
      <c r="J13" s="130"/>
      <c r="K13" s="17"/>
      <c r="L13" s="17"/>
      <c r="M13" s="17"/>
      <c r="N13" s="17"/>
      <c r="O13" s="17"/>
      <c r="P13" s="17"/>
      <c r="Q13" s="17"/>
      <c r="R13" s="17"/>
      <c r="S13" s="17"/>
      <c r="T13" s="17"/>
      <c r="U13" s="17"/>
      <c r="V13" s="17"/>
      <c r="W13" s="17"/>
      <c r="X13" s="17"/>
      <c r="Y13" s="17"/>
      <c r="Z13" s="17"/>
    </row>
    <row r="14">
      <c r="A14" s="17"/>
      <c r="B14" s="17"/>
      <c r="C14" s="266" t="s">
        <v>13</v>
      </c>
      <c r="D14" s="267">
        <f>'CO_Attainment for Unit Tests'!F109</f>
        <v>3</v>
      </c>
      <c r="E14" s="268">
        <f t="shared" si="1"/>
        <v>3</v>
      </c>
      <c r="F14" s="268">
        <f t="shared" si="2"/>
        <v>0</v>
      </c>
      <c r="G14" s="268">
        <f t="shared" si="3"/>
        <v>3</v>
      </c>
      <c r="H14" s="269">
        <f t="shared" si="4"/>
        <v>3</v>
      </c>
      <c r="I14" s="270">
        <f t="shared" si="5"/>
        <v>0</v>
      </c>
      <c r="J14" s="130"/>
      <c r="K14" s="17"/>
      <c r="L14" s="17"/>
      <c r="M14" s="17"/>
      <c r="N14" s="17"/>
      <c r="O14" s="17"/>
      <c r="P14" s="17"/>
      <c r="Q14" s="17"/>
      <c r="R14" s="17"/>
      <c r="S14" s="17"/>
      <c r="T14" s="17"/>
      <c r="U14" s="17"/>
      <c r="V14" s="17"/>
      <c r="W14" s="17"/>
      <c r="X14" s="17"/>
      <c r="Y14" s="17"/>
      <c r="Z14" s="17"/>
    </row>
    <row r="15">
      <c r="A15" s="17"/>
      <c r="B15" s="17"/>
      <c r="C15" s="266" t="s">
        <v>15</v>
      </c>
      <c r="D15" s="267">
        <f>'CO_Attainment for Unit Tests'!G109</f>
        <v>3</v>
      </c>
      <c r="E15" s="268">
        <f t="shared" si="1"/>
        <v>3</v>
      </c>
      <c r="F15" s="268">
        <f t="shared" si="2"/>
        <v>0</v>
      </c>
      <c r="G15" s="268">
        <f t="shared" si="3"/>
        <v>3</v>
      </c>
      <c r="H15" s="269">
        <f t="shared" si="4"/>
        <v>3</v>
      </c>
      <c r="I15" s="270">
        <f t="shared" si="5"/>
        <v>0</v>
      </c>
      <c r="J15" s="130"/>
      <c r="K15" s="17"/>
      <c r="L15" s="17"/>
      <c r="M15" s="17"/>
      <c r="N15" s="17"/>
      <c r="O15" s="17"/>
      <c r="P15" s="17"/>
      <c r="Q15" s="17"/>
      <c r="R15" s="17"/>
      <c r="S15" s="17"/>
      <c r="T15" s="17"/>
      <c r="U15" s="17"/>
      <c r="V15" s="17"/>
      <c r="W15" s="17"/>
      <c r="X15" s="17"/>
      <c r="Y15" s="17"/>
      <c r="Z15" s="17"/>
    </row>
    <row r="16">
      <c r="A16" s="17"/>
      <c r="B16" s="17"/>
      <c r="C16" s="266" t="s">
        <v>17</v>
      </c>
      <c r="D16" s="267">
        <f>'CO_Attainment for Unit Tests'!H109</f>
        <v>3</v>
      </c>
      <c r="E16" s="268">
        <f t="shared" si="1"/>
        <v>3</v>
      </c>
      <c r="F16" s="268">
        <f t="shared" si="2"/>
        <v>0</v>
      </c>
      <c r="G16" s="268">
        <f t="shared" si="3"/>
        <v>3</v>
      </c>
      <c r="H16" s="269">
        <f t="shared" si="4"/>
        <v>3</v>
      </c>
      <c r="I16" s="270">
        <f t="shared" si="5"/>
        <v>0</v>
      </c>
      <c r="J16" s="130"/>
      <c r="K16" s="17"/>
      <c r="L16" s="17"/>
      <c r="M16" s="17"/>
      <c r="N16" s="17"/>
      <c r="O16" s="17"/>
      <c r="P16" s="17"/>
      <c r="Q16" s="17"/>
      <c r="R16" s="17"/>
      <c r="S16" s="17"/>
      <c r="T16" s="17"/>
      <c r="U16" s="17"/>
      <c r="V16" s="17"/>
      <c r="W16" s="17"/>
      <c r="X16" s="17"/>
      <c r="Y16" s="17"/>
      <c r="Z16" s="17"/>
    </row>
    <row r="17">
      <c r="A17" s="17"/>
      <c r="B17" s="17"/>
      <c r="C17" s="271" t="s">
        <v>207</v>
      </c>
      <c r="D17" s="272">
        <f>'CO_Attainment for Unit Tests'!I109</f>
        <v>0</v>
      </c>
      <c r="E17" s="273">
        <f t="shared" si="1"/>
        <v>3</v>
      </c>
      <c r="F17" s="273">
        <f t="shared" si="2"/>
        <v>0</v>
      </c>
      <c r="G17" s="273">
        <f t="shared" si="3"/>
        <v>3</v>
      </c>
      <c r="H17" s="274">
        <f t="shared" si="4"/>
        <v>3</v>
      </c>
      <c r="I17" s="270">
        <f t="shared" si="5"/>
        <v>0</v>
      </c>
      <c r="J17" s="130"/>
      <c r="K17" s="17"/>
      <c r="L17" s="17"/>
      <c r="M17" s="17"/>
      <c r="N17" s="17"/>
      <c r="O17" s="17"/>
      <c r="P17" s="17"/>
      <c r="Q17" s="17"/>
      <c r="R17" s="17"/>
      <c r="S17" s="17"/>
      <c r="T17" s="17"/>
      <c r="U17" s="17"/>
      <c r="V17" s="17"/>
      <c r="W17" s="17"/>
      <c r="X17" s="17"/>
      <c r="Y17" s="17"/>
      <c r="Z17" s="17"/>
    </row>
    <row r="18">
      <c r="A18" s="17"/>
      <c r="B18" s="17"/>
      <c r="C18" s="261" t="s">
        <v>224</v>
      </c>
      <c r="D18" s="262">
        <f t="shared" ref="D18:I18" si="6">ROUND(AVERAGE(D12:D17),2)</f>
        <v>2.33</v>
      </c>
      <c r="E18" s="263">
        <f t="shared" si="6"/>
        <v>3</v>
      </c>
      <c r="F18" s="263">
        <f t="shared" si="6"/>
        <v>0</v>
      </c>
      <c r="G18" s="263">
        <f t="shared" si="6"/>
        <v>3</v>
      </c>
      <c r="H18" s="264">
        <f t="shared" si="6"/>
        <v>3</v>
      </c>
      <c r="I18" s="265">
        <f t="shared" si="6"/>
        <v>0</v>
      </c>
      <c r="J18" s="166"/>
      <c r="K18" s="17"/>
      <c r="L18" s="17"/>
      <c r="M18" s="17"/>
      <c r="N18" s="17"/>
      <c r="O18" s="17"/>
      <c r="P18" s="17"/>
      <c r="Q18" s="17"/>
      <c r="R18" s="17"/>
      <c r="S18" s="17"/>
      <c r="T18" s="17"/>
      <c r="U18" s="17"/>
      <c r="V18" s="17"/>
      <c r="W18" s="17"/>
      <c r="X18" s="17"/>
      <c r="Y18" s="17"/>
      <c r="Z18" s="17"/>
    </row>
    <row r="19" ht="27.0" customHeight="1">
      <c r="A19" s="17"/>
      <c r="B19" s="17"/>
      <c r="C19" s="275" t="s">
        <v>225</v>
      </c>
      <c r="D19" s="276">
        <v>10.0</v>
      </c>
      <c r="E19" s="276">
        <v>10.0</v>
      </c>
      <c r="F19" s="276">
        <v>10.0</v>
      </c>
      <c r="G19" s="276">
        <v>10.0</v>
      </c>
      <c r="H19" s="276">
        <v>60.0</v>
      </c>
      <c r="I19" s="277">
        <v>100.0</v>
      </c>
      <c r="J19" s="59"/>
      <c r="K19" s="17"/>
      <c r="L19" s="17"/>
      <c r="M19" s="17"/>
      <c r="N19" s="17"/>
      <c r="O19" s="17"/>
      <c r="P19" s="17"/>
      <c r="Q19" s="17"/>
      <c r="R19" s="17"/>
      <c r="S19" s="17"/>
      <c r="T19" s="17"/>
      <c r="U19" s="17"/>
      <c r="V19" s="17"/>
      <c r="W19" s="17"/>
      <c r="X19" s="17"/>
      <c r="Y19" s="17"/>
      <c r="Z19" s="17"/>
    </row>
    <row r="20" ht="31.5" customHeight="1">
      <c r="A20" s="17"/>
      <c r="B20" s="17"/>
      <c r="C20" s="278" t="s">
        <v>226</v>
      </c>
      <c r="D20" s="272">
        <f t="shared" ref="D20:I20" si="7">D18*D19/100</f>
        <v>0.233</v>
      </c>
      <c r="E20" s="272">
        <f t="shared" si="7"/>
        <v>0.3</v>
      </c>
      <c r="F20" s="272">
        <f t="shared" si="7"/>
        <v>0</v>
      </c>
      <c r="G20" s="272">
        <f t="shared" si="7"/>
        <v>0.3</v>
      </c>
      <c r="H20" s="272">
        <f t="shared" si="7"/>
        <v>1.8</v>
      </c>
      <c r="I20" s="279">
        <f t="shared" si="7"/>
        <v>0</v>
      </c>
      <c r="J20" s="135"/>
      <c r="K20" s="17"/>
      <c r="L20" s="17"/>
      <c r="M20" s="17"/>
      <c r="N20" s="17"/>
      <c r="O20" s="17"/>
      <c r="P20" s="17"/>
      <c r="Q20" s="17"/>
      <c r="R20" s="17"/>
      <c r="S20" s="17"/>
      <c r="T20" s="17"/>
      <c r="U20" s="17"/>
      <c r="V20" s="17"/>
      <c r="W20" s="17"/>
      <c r="X20" s="17"/>
      <c r="Y20" s="17"/>
      <c r="Z20" s="17"/>
    </row>
    <row r="21" ht="48.0" customHeight="1">
      <c r="A21" s="17"/>
      <c r="B21" s="17"/>
      <c r="C21" s="280" t="s">
        <v>227</v>
      </c>
      <c r="D21" s="24"/>
      <c r="E21" s="24"/>
      <c r="F21" s="24"/>
      <c r="G21" s="25"/>
      <c r="H21" s="281">
        <f>SUM(D20:H20)</f>
        <v>2.633</v>
      </c>
      <c r="I21" s="282" t="s">
        <v>228</v>
      </c>
      <c r="J21" s="281">
        <f>I20</f>
        <v>0</v>
      </c>
      <c r="K21" s="17"/>
      <c r="L21" s="17"/>
      <c r="M21" s="17"/>
      <c r="N21" s="17"/>
      <c r="O21" s="17"/>
      <c r="P21" s="17"/>
      <c r="Q21" s="17"/>
      <c r="R21" s="17"/>
      <c r="S21" s="17"/>
      <c r="T21" s="17"/>
      <c r="U21" s="17"/>
      <c r="V21" s="17"/>
      <c r="W21" s="17"/>
      <c r="X21" s="17"/>
      <c r="Y21" s="17"/>
      <c r="Z21" s="17"/>
    </row>
    <row r="22" ht="22.5" customHeight="1">
      <c r="A22" s="17"/>
      <c r="B22" s="17"/>
      <c r="C22" s="280" t="s">
        <v>229</v>
      </c>
      <c r="D22" s="24"/>
      <c r="E22" s="24"/>
      <c r="F22" s="24"/>
      <c r="G22" s="25"/>
      <c r="H22" s="283">
        <v>0.8</v>
      </c>
      <c r="I22" s="284" t="s">
        <v>230</v>
      </c>
      <c r="J22" s="283">
        <v>0.2</v>
      </c>
      <c r="K22" s="17"/>
      <c r="L22" s="17"/>
      <c r="M22" s="17"/>
      <c r="N22" s="17"/>
      <c r="O22" s="17"/>
      <c r="P22" s="17"/>
      <c r="Q22" s="17"/>
      <c r="R22" s="17"/>
      <c r="S22" s="17"/>
      <c r="T22" s="17"/>
      <c r="U22" s="17"/>
      <c r="V22" s="17"/>
      <c r="W22" s="17"/>
      <c r="X22" s="17"/>
      <c r="Y22" s="17"/>
      <c r="Z22" s="17"/>
    </row>
    <row r="23" ht="45.0" customHeight="1">
      <c r="A23" s="17"/>
      <c r="B23" s="17"/>
      <c r="C23" s="280" t="s">
        <v>231</v>
      </c>
      <c r="D23" s="24"/>
      <c r="E23" s="24"/>
      <c r="F23" s="24"/>
      <c r="G23" s="25"/>
      <c r="H23" s="281">
        <f>0.8*H21</f>
        <v>2.1064</v>
      </c>
      <c r="I23" s="282" t="s">
        <v>232</v>
      </c>
      <c r="J23" s="284">
        <f>0.2*J21</f>
        <v>0</v>
      </c>
      <c r="K23" s="17"/>
      <c r="L23" s="17"/>
      <c r="M23" s="17"/>
      <c r="N23" s="17"/>
      <c r="O23" s="17"/>
      <c r="P23" s="17"/>
      <c r="Q23" s="17"/>
      <c r="R23" s="17"/>
      <c r="S23" s="17"/>
      <c r="T23" s="17"/>
      <c r="U23" s="17"/>
      <c r="V23" s="17"/>
      <c r="W23" s="17"/>
      <c r="X23" s="17"/>
      <c r="Y23" s="17"/>
      <c r="Z23" s="17"/>
    </row>
    <row r="24" ht="25.5" customHeight="1">
      <c r="A24" s="17"/>
      <c r="B24" s="17"/>
      <c r="C24" s="285" t="s">
        <v>233</v>
      </c>
      <c r="D24" s="24"/>
      <c r="E24" s="24"/>
      <c r="F24" s="24"/>
      <c r="G24" s="24"/>
      <c r="H24" s="25"/>
      <c r="I24" s="286">
        <f>ROUNDUP(H23+J23,2)</f>
        <v>2.11</v>
      </c>
      <c r="J24" s="287"/>
      <c r="K24" s="17"/>
      <c r="L24" s="17"/>
      <c r="M24" s="17"/>
      <c r="N24" s="17"/>
      <c r="O24" s="17"/>
      <c r="P24" s="17"/>
      <c r="Q24" s="17"/>
      <c r="R24" s="17"/>
      <c r="S24" s="17"/>
      <c r="T24" s="17"/>
      <c r="U24" s="17"/>
      <c r="V24" s="17"/>
      <c r="W24" s="17"/>
      <c r="X24" s="17"/>
      <c r="Y24" s="17"/>
      <c r="Z24" s="17"/>
    </row>
    <row r="25" ht="15.75" customHeight="1">
      <c r="A25" s="17"/>
      <c r="B25" s="17"/>
      <c r="C25" s="17"/>
      <c r="D25" s="17"/>
      <c r="E25" s="17"/>
      <c r="F25" s="17"/>
      <c r="G25" s="17"/>
      <c r="H25" s="17"/>
      <c r="I25" s="17"/>
      <c r="J25" s="17"/>
      <c r="K25" s="17"/>
      <c r="L25" s="17"/>
      <c r="M25" s="17"/>
      <c r="N25" s="17"/>
      <c r="O25" s="17"/>
      <c r="P25" s="17"/>
      <c r="Q25" s="17"/>
      <c r="R25" s="17"/>
      <c r="S25" s="17"/>
      <c r="T25" s="17"/>
      <c r="U25" s="17"/>
      <c r="V25" s="17"/>
      <c r="W25" s="17"/>
      <c r="X25" s="17"/>
      <c r="Y25" s="17"/>
      <c r="Z25" s="17"/>
    </row>
    <row r="26" ht="15.75" customHeight="1">
      <c r="A26" s="17"/>
      <c r="B26" s="17"/>
      <c r="C26" s="17"/>
      <c r="D26" s="17"/>
      <c r="E26" s="17"/>
      <c r="F26" s="17"/>
      <c r="G26" s="17"/>
      <c r="H26" s="17"/>
      <c r="I26" s="17"/>
      <c r="J26" s="17"/>
      <c r="K26" s="17"/>
      <c r="L26" s="17"/>
      <c r="M26" s="17"/>
      <c r="N26" s="17"/>
      <c r="O26" s="17"/>
      <c r="P26" s="17"/>
      <c r="Q26" s="17"/>
      <c r="R26" s="17"/>
      <c r="S26" s="17"/>
      <c r="T26" s="17"/>
      <c r="U26" s="17"/>
      <c r="V26" s="17"/>
      <c r="W26" s="17"/>
      <c r="X26" s="17"/>
      <c r="Y26" s="17"/>
      <c r="Z26" s="17"/>
    </row>
    <row r="27" ht="15.75" customHeight="1">
      <c r="A27" s="17"/>
      <c r="B27" s="17"/>
      <c r="C27" s="17"/>
      <c r="D27" s="17"/>
      <c r="E27" s="17"/>
      <c r="F27" s="17"/>
      <c r="G27" s="17"/>
      <c r="H27" s="17"/>
      <c r="I27" s="17"/>
      <c r="J27" s="17"/>
      <c r="K27" s="17"/>
      <c r="L27" s="17"/>
      <c r="M27" s="17"/>
      <c r="N27" s="17"/>
      <c r="O27" s="17"/>
      <c r="P27" s="17"/>
      <c r="Q27" s="17"/>
      <c r="R27" s="17"/>
      <c r="S27" s="17"/>
      <c r="T27" s="17"/>
      <c r="U27" s="17"/>
      <c r="V27" s="17"/>
      <c r="W27" s="17"/>
      <c r="X27" s="17"/>
      <c r="Y27" s="17"/>
      <c r="Z27" s="17"/>
    </row>
    <row r="28" ht="15.75" customHeight="1">
      <c r="A28" s="17"/>
      <c r="B28" s="17"/>
      <c r="C28" s="17"/>
      <c r="D28" s="17"/>
      <c r="E28" s="17"/>
      <c r="F28" s="17"/>
      <c r="G28" s="17"/>
      <c r="H28" s="17"/>
      <c r="I28" s="17"/>
      <c r="J28" s="17"/>
      <c r="K28" s="17"/>
      <c r="L28" s="17"/>
      <c r="M28" s="17"/>
      <c r="N28" s="17"/>
      <c r="O28" s="17"/>
      <c r="P28" s="17"/>
      <c r="Q28" s="17"/>
      <c r="R28" s="17"/>
      <c r="S28" s="17"/>
      <c r="T28" s="17"/>
      <c r="U28" s="17"/>
      <c r="V28" s="17"/>
      <c r="W28" s="17"/>
      <c r="X28" s="17"/>
      <c r="Y28" s="17"/>
      <c r="Z28" s="17"/>
    </row>
    <row r="29" ht="15.75" customHeight="1">
      <c r="A29" s="17"/>
      <c r="B29" s="17"/>
      <c r="C29" s="17"/>
      <c r="D29" s="17"/>
      <c r="E29" s="17"/>
      <c r="F29" s="17"/>
      <c r="G29" s="17"/>
      <c r="H29" s="17"/>
      <c r="I29" s="17"/>
      <c r="J29" s="17"/>
      <c r="K29" s="17"/>
      <c r="L29" s="17"/>
      <c r="M29" s="17"/>
      <c r="N29" s="17"/>
      <c r="O29" s="17"/>
      <c r="P29" s="17"/>
      <c r="Q29" s="17"/>
      <c r="R29" s="17"/>
      <c r="S29" s="17"/>
      <c r="T29" s="17"/>
      <c r="U29" s="17"/>
      <c r="V29" s="17"/>
      <c r="W29" s="17"/>
      <c r="X29" s="17"/>
      <c r="Y29" s="17"/>
      <c r="Z29" s="17"/>
    </row>
    <row r="30" ht="15.75" customHeight="1">
      <c r="A30" s="17"/>
      <c r="B30" s="17"/>
      <c r="C30" s="17"/>
      <c r="D30" s="17"/>
      <c r="E30" s="17"/>
      <c r="F30" s="17"/>
      <c r="G30" s="17" t="s">
        <v>234</v>
      </c>
      <c r="H30" s="17"/>
      <c r="I30" s="17"/>
      <c r="J30" s="17"/>
      <c r="K30" s="17"/>
      <c r="L30" s="17"/>
      <c r="M30" s="17"/>
      <c r="N30" s="17"/>
      <c r="O30" s="17"/>
      <c r="P30" s="17"/>
      <c r="Q30" s="17"/>
      <c r="R30" s="17"/>
      <c r="S30" s="17"/>
      <c r="T30" s="17"/>
      <c r="U30" s="17"/>
      <c r="V30" s="17"/>
      <c r="W30" s="17"/>
      <c r="X30" s="17"/>
      <c r="Y30" s="17"/>
      <c r="Z30" s="17"/>
    </row>
    <row r="31" ht="15.75" customHeight="1">
      <c r="A31" s="17"/>
      <c r="B31" s="17"/>
      <c r="C31" s="17"/>
      <c r="D31" s="17"/>
      <c r="E31" s="17"/>
      <c r="F31" s="17"/>
      <c r="G31" s="17" t="s">
        <v>235</v>
      </c>
      <c r="H31" s="17"/>
      <c r="I31" s="17"/>
      <c r="J31" s="17"/>
      <c r="K31" s="17"/>
      <c r="L31" s="17"/>
      <c r="M31" s="17"/>
      <c r="N31" s="17"/>
      <c r="O31" s="17"/>
      <c r="P31" s="17"/>
      <c r="Q31" s="17"/>
      <c r="R31" s="17"/>
      <c r="S31" s="17"/>
      <c r="T31" s="17"/>
      <c r="U31" s="17"/>
      <c r="V31" s="17"/>
      <c r="W31" s="17"/>
      <c r="X31" s="17"/>
      <c r="Y31" s="17"/>
      <c r="Z31" s="17"/>
    </row>
    <row r="32" ht="60.75" customHeight="1">
      <c r="A32" s="17"/>
      <c r="B32" s="17"/>
      <c r="C32" s="17"/>
      <c r="D32" s="17"/>
      <c r="E32" s="17"/>
      <c r="F32" s="17"/>
      <c r="G32" s="17"/>
      <c r="H32" s="17"/>
      <c r="I32" s="17"/>
      <c r="J32" s="17"/>
      <c r="K32" s="17"/>
      <c r="L32" s="17"/>
      <c r="M32" s="17"/>
      <c r="N32" s="17"/>
      <c r="O32" s="17"/>
      <c r="P32" s="17"/>
      <c r="Q32" s="17"/>
      <c r="R32" s="17"/>
      <c r="S32" s="17"/>
      <c r="T32" s="17"/>
      <c r="U32" s="17"/>
      <c r="V32" s="17"/>
      <c r="W32" s="17"/>
      <c r="X32" s="17"/>
      <c r="Y32" s="17"/>
      <c r="Z32" s="17"/>
    </row>
    <row r="33" ht="48.0" customHeight="1">
      <c r="A33" s="17"/>
      <c r="B33" s="17"/>
      <c r="C33" s="17"/>
      <c r="D33" s="17"/>
      <c r="E33" s="17"/>
      <c r="F33" s="17"/>
      <c r="G33" s="17"/>
      <c r="H33" s="17"/>
      <c r="I33" s="17"/>
      <c r="J33" s="17"/>
      <c r="K33" s="17"/>
      <c r="L33" s="17"/>
      <c r="M33" s="17"/>
      <c r="N33" s="17"/>
      <c r="O33" s="17"/>
      <c r="P33" s="17"/>
      <c r="Q33" s="17"/>
      <c r="R33" s="17"/>
      <c r="S33" s="17"/>
      <c r="T33" s="17"/>
      <c r="U33" s="17"/>
      <c r="V33" s="17"/>
      <c r="W33" s="17"/>
      <c r="X33" s="17"/>
      <c r="Y33" s="17"/>
      <c r="Z33" s="17"/>
    </row>
    <row r="34" ht="48.0" customHeight="1">
      <c r="A34" s="17"/>
      <c r="B34" s="17"/>
      <c r="C34" s="17"/>
      <c r="D34" s="17"/>
      <c r="E34" s="17"/>
      <c r="F34" s="17"/>
      <c r="G34" s="17"/>
      <c r="H34" s="17"/>
      <c r="I34" s="17"/>
      <c r="J34" s="17"/>
      <c r="K34" s="17"/>
      <c r="L34" s="17"/>
      <c r="M34" s="17"/>
      <c r="N34" s="17"/>
      <c r="O34" s="17"/>
      <c r="P34" s="17"/>
      <c r="Q34" s="17"/>
      <c r="R34" s="17"/>
      <c r="S34" s="17"/>
      <c r="T34" s="17"/>
      <c r="U34" s="17"/>
      <c r="V34" s="17"/>
      <c r="W34" s="17"/>
      <c r="X34" s="17"/>
      <c r="Y34" s="17"/>
      <c r="Z34" s="17"/>
    </row>
    <row r="35" ht="48.0" customHeight="1">
      <c r="A35" s="17"/>
      <c r="B35" s="17"/>
      <c r="C35" s="17"/>
      <c r="D35" s="17"/>
      <c r="E35" s="17"/>
      <c r="F35" s="17"/>
      <c r="G35" s="17"/>
      <c r="H35" s="17"/>
      <c r="I35" s="17"/>
      <c r="J35" s="17"/>
      <c r="K35" s="17"/>
      <c r="L35" s="17"/>
      <c r="M35" s="17"/>
      <c r="N35" s="17"/>
      <c r="O35" s="17"/>
      <c r="P35" s="17"/>
      <c r="Q35" s="17"/>
      <c r="R35" s="17"/>
      <c r="S35" s="17"/>
      <c r="T35" s="17"/>
      <c r="U35" s="17"/>
      <c r="V35" s="17"/>
      <c r="W35" s="17"/>
      <c r="X35" s="17"/>
      <c r="Y35" s="17"/>
      <c r="Z35" s="17"/>
    </row>
    <row r="36" ht="48.0" customHeight="1">
      <c r="A36" s="17"/>
      <c r="B36" s="17"/>
      <c r="C36" s="17"/>
      <c r="D36" s="17"/>
      <c r="E36" s="17"/>
      <c r="F36" s="17"/>
      <c r="G36" s="17"/>
      <c r="H36" s="17"/>
      <c r="I36" s="17"/>
      <c r="J36" s="17"/>
      <c r="K36" s="17"/>
      <c r="L36" s="17"/>
      <c r="M36" s="17"/>
      <c r="N36" s="17"/>
      <c r="O36" s="17"/>
      <c r="P36" s="17"/>
      <c r="Q36" s="17"/>
      <c r="R36" s="17"/>
      <c r="S36" s="17"/>
      <c r="T36" s="17"/>
      <c r="U36" s="17"/>
      <c r="V36" s="17"/>
      <c r="W36" s="17"/>
      <c r="X36" s="17"/>
      <c r="Y36" s="17"/>
      <c r="Z36" s="17"/>
    </row>
    <row r="37" ht="48.0" customHeight="1">
      <c r="A37" s="17"/>
      <c r="B37" s="17"/>
      <c r="C37" s="17"/>
      <c r="D37" s="17"/>
      <c r="E37" s="17"/>
      <c r="F37" s="17"/>
      <c r="G37" s="17"/>
      <c r="H37" s="17"/>
      <c r="I37" s="17"/>
      <c r="J37" s="17"/>
      <c r="K37" s="17"/>
      <c r="L37" s="17"/>
      <c r="M37" s="17"/>
      <c r="N37" s="17"/>
      <c r="O37" s="17"/>
      <c r="P37" s="17"/>
      <c r="Q37" s="17"/>
      <c r="R37" s="17"/>
      <c r="S37" s="17"/>
      <c r="T37" s="17"/>
      <c r="U37" s="17"/>
      <c r="V37" s="17"/>
      <c r="W37" s="17"/>
      <c r="X37" s="17"/>
      <c r="Y37" s="17"/>
      <c r="Z37" s="17"/>
    </row>
    <row r="38" ht="48.0" customHeight="1">
      <c r="A38" s="17"/>
      <c r="B38" s="17"/>
      <c r="C38" s="17"/>
      <c r="D38" s="17"/>
      <c r="E38" s="17"/>
      <c r="F38" s="17"/>
      <c r="G38" s="17"/>
      <c r="H38" s="17"/>
      <c r="I38" s="17"/>
      <c r="J38" s="17"/>
      <c r="K38" s="17"/>
      <c r="L38" s="17"/>
      <c r="M38" s="17"/>
      <c r="N38" s="17"/>
      <c r="O38" s="17"/>
      <c r="P38" s="17"/>
      <c r="Q38" s="17"/>
      <c r="R38" s="17"/>
      <c r="S38" s="17"/>
      <c r="T38" s="17"/>
      <c r="U38" s="17"/>
      <c r="V38" s="17"/>
      <c r="W38" s="17"/>
      <c r="X38" s="17"/>
      <c r="Y38" s="17"/>
      <c r="Z38" s="17"/>
    </row>
    <row r="39" ht="15.75" customHeight="1">
      <c r="A39" s="17"/>
      <c r="B39" s="17"/>
      <c r="C39" s="17"/>
      <c r="D39" s="17"/>
      <c r="E39" s="17"/>
      <c r="F39" s="17"/>
      <c r="G39" s="17"/>
      <c r="H39" s="17"/>
      <c r="I39" s="17"/>
      <c r="J39" s="17"/>
      <c r="K39" s="17"/>
      <c r="L39" s="17"/>
      <c r="M39" s="17"/>
      <c r="N39" s="17"/>
      <c r="O39" s="17"/>
      <c r="P39" s="17"/>
      <c r="Q39" s="17"/>
      <c r="R39" s="17"/>
      <c r="S39" s="17"/>
      <c r="T39" s="17"/>
      <c r="U39" s="17"/>
      <c r="V39" s="17"/>
      <c r="W39" s="17"/>
      <c r="X39" s="17"/>
      <c r="Y39" s="17"/>
      <c r="Z39" s="17"/>
    </row>
    <row r="40" ht="15.75" customHeight="1">
      <c r="A40" s="17"/>
      <c r="B40" s="17"/>
      <c r="C40" s="17"/>
      <c r="D40" s="17"/>
      <c r="E40" s="17"/>
      <c r="F40" s="17"/>
      <c r="G40" s="17"/>
      <c r="H40" s="17"/>
      <c r="I40" s="17"/>
      <c r="J40" s="17"/>
      <c r="K40" s="17"/>
      <c r="L40" s="17"/>
      <c r="M40" s="17"/>
      <c r="N40" s="17"/>
      <c r="O40" s="17"/>
      <c r="P40" s="17"/>
      <c r="Q40" s="17"/>
      <c r="R40" s="17"/>
      <c r="S40" s="17"/>
      <c r="T40" s="17"/>
      <c r="U40" s="17"/>
      <c r="V40" s="17"/>
      <c r="W40" s="17"/>
      <c r="X40" s="17"/>
      <c r="Y40" s="17"/>
      <c r="Z40" s="17"/>
    </row>
    <row r="41" ht="15.75" customHeight="1">
      <c r="A41" s="17"/>
      <c r="B41" s="17"/>
      <c r="C41" s="17"/>
      <c r="D41" s="17"/>
      <c r="E41" s="17"/>
      <c r="F41" s="17"/>
      <c r="G41" s="17"/>
      <c r="H41" s="17"/>
      <c r="I41" s="17"/>
      <c r="J41" s="17"/>
      <c r="K41" s="17"/>
      <c r="L41" s="17"/>
      <c r="M41" s="17"/>
      <c r="N41" s="17"/>
      <c r="O41" s="17"/>
      <c r="P41" s="17"/>
      <c r="Q41" s="17"/>
      <c r="R41" s="17"/>
      <c r="S41" s="17"/>
      <c r="T41" s="17"/>
      <c r="U41" s="17"/>
      <c r="V41" s="17"/>
      <c r="W41" s="17"/>
      <c r="X41" s="17"/>
      <c r="Y41" s="17"/>
      <c r="Z41" s="17"/>
    </row>
    <row r="42" ht="15.75" customHeight="1">
      <c r="A42" s="17"/>
      <c r="B42" s="17"/>
      <c r="C42" s="17"/>
      <c r="D42" s="17"/>
      <c r="E42" s="17"/>
      <c r="F42" s="17"/>
      <c r="G42" s="17"/>
      <c r="H42" s="17"/>
      <c r="I42" s="17"/>
      <c r="J42" s="17"/>
      <c r="K42" s="17"/>
      <c r="L42" s="17"/>
      <c r="M42" s="17"/>
      <c r="N42" s="17"/>
      <c r="O42" s="17"/>
      <c r="P42" s="17"/>
      <c r="Q42" s="17"/>
      <c r="R42" s="17"/>
      <c r="S42" s="17"/>
      <c r="T42" s="17"/>
      <c r="U42" s="17"/>
      <c r="V42" s="17"/>
      <c r="W42" s="17"/>
      <c r="X42" s="17"/>
      <c r="Y42" s="17"/>
      <c r="Z42" s="17"/>
    </row>
    <row r="43" ht="15.75" customHeight="1">
      <c r="A43" s="17"/>
      <c r="B43" s="17"/>
      <c r="C43" s="17"/>
      <c r="D43" s="17"/>
      <c r="E43" s="17"/>
      <c r="F43" s="17"/>
      <c r="G43" s="17"/>
      <c r="H43" s="17"/>
      <c r="I43" s="17"/>
      <c r="J43" s="17"/>
      <c r="K43" s="17"/>
      <c r="L43" s="17"/>
      <c r="M43" s="17"/>
      <c r="N43" s="17"/>
      <c r="O43" s="17"/>
      <c r="P43" s="17"/>
      <c r="Q43" s="17"/>
      <c r="R43" s="17"/>
      <c r="S43" s="17"/>
      <c r="T43" s="17"/>
      <c r="U43" s="17"/>
      <c r="V43" s="17"/>
      <c r="W43" s="17"/>
      <c r="X43" s="17"/>
      <c r="Y43" s="17"/>
      <c r="Z43" s="17"/>
    </row>
    <row r="44" ht="15.75" customHeight="1">
      <c r="A44" s="17"/>
      <c r="B44" s="17"/>
      <c r="C44" s="17"/>
      <c r="D44" s="17"/>
      <c r="E44" s="17"/>
      <c r="F44" s="17"/>
      <c r="G44" s="17"/>
      <c r="H44" s="17"/>
      <c r="I44" s="17"/>
      <c r="J44" s="17"/>
      <c r="K44" s="17"/>
      <c r="L44" s="17"/>
      <c r="M44" s="17"/>
      <c r="N44" s="17"/>
      <c r="O44" s="17"/>
      <c r="P44" s="17"/>
      <c r="Q44" s="17"/>
      <c r="R44" s="17"/>
      <c r="S44" s="17"/>
      <c r="T44" s="17"/>
      <c r="U44" s="17"/>
      <c r="V44" s="17"/>
      <c r="W44" s="17"/>
      <c r="X44" s="17"/>
      <c r="Y44" s="17"/>
      <c r="Z44" s="17"/>
    </row>
    <row r="45" ht="15.75" customHeight="1">
      <c r="A45" s="17"/>
      <c r="B45" s="17"/>
      <c r="C45" s="17"/>
      <c r="D45" s="17"/>
      <c r="E45" s="17"/>
      <c r="F45" s="17"/>
      <c r="G45" s="17"/>
      <c r="H45" s="17"/>
      <c r="I45" s="17"/>
      <c r="J45" s="17"/>
      <c r="K45" s="17"/>
      <c r="L45" s="17"/>
      <c r="M45" s="17"/>
      <c r="N45" s="17"/>
      <c r="O45" s="17"/>
      <c r="P45" s="17"/>
      <c r="Q45" s="17"/>
      <c r="R45" s="17"/>
      <c r="S45" s="17"/>
      <c r="T45" s="17"/>
      <c r="U45" s="17"/>
      <c r="V45" s="17"/>
      <c r="W45" s="17"/>
      <c r="X45" s="17"/>
      <c r="Y45" s="17"/>
      <c r="Z45" s="17"/>
    </row>
    <row r="46" ht="15.75" customHeight="1">
      <c r="A46" s="17"/>
      <c r="B46" s="17"/>
      <c r="C46" s="17"/>
      <c r="D46" s="17"/>
      <c r="E46" s="17"/>
      <c r="F46" s="17"/>
      <c r="G46" s="17"/>
      <c r="H46" s="17"/>
      <c r="I46" s="17"/>
      <c r="J46" s="17"/>
      <c r="K46" s="17"/>
      <c r="L46" s="17"/>
      <c r="M46" s="17"/>
      <c r="N46" s="17"/>
      <c r="O46" s="17"/>
      <c r="P46" s="17"/>
      <c r="Q46" s="17"/>
      <c r="R46" s="17"/>
      <c r="S46" s="17"/>
      <c r="T46" s="17"/>
      <c r="U46" s="17"/>
      <c r="V46" s="17"/>
      <c r="W46" s="17"/>
      <c r="X46" s="17"/>
      <c r="Y46" s="17"/>
      <c r="Z46" s="17"/>
    </row>
    <row r="47" ht="15.75" customHeight="1">
      <c r="A47" s="17"/>
      <c r="B47" s="17"/>
      <c r="C47" s="17"/>
      <c r="D47" s="17"/>
      <c r="E47" s="17"/>
      <c r="F47" s="17"/>
      <c r="G47" s="17"/>
      <c r="H47" s="17"/>
      <c r="I47" s="17"/>
      <c r="J47" s="17"/>
      <c r="K47" s="17"/>
      <c r="L47" s="17"/>
      <c r="M47" s="17"/>
      <c r="N47" s="17"/>
      <c r="O47" s="17"/>
      <c r="P47" s="17"/>
      <c r="Q47" s="17"/>
      <c r="R47" s="17"/>
      <c r="S47" s="17"/>
      <c r="T47" s="17"/>
      <c r="U47" s="17"/>
      <c r="V47" s="17"/>
      <c r="W47" s="17"/>
      <c r="X47" s="17"/>
      <c r="Y47" s="17"/>
      <c r="Z47" s="17"/>
    </row>
    <row r="48" ht="15.75" customHeight="1">
      <c r="A48" s="17"/>
      <c r="B48" s="17"/>
      <c r="C48" s="17"/>
      <c r="D48" s="17"/>
      <c r="E48" s="17"/>
      <c r="F48" s="17"/>
      <c r="G48" s="17"/>
      <c r="H48" s="17"/>
      <c r="I48" s="17"/>
      <c r="J48" s="17"/>
      <c r="K48" s="17"/>
      <c r="L48" s="17"/>
      <c r="M48" s="17"/>
      <c r="N48" s="17"/>
      <c r="O48" s="17"/>
      <c r="P48" s="17"/>
      <c r="Q48" s="17"/>
      <c r="R48" s="17"/>
      <c r="S48" s="17"/>
      <c r="T48" s="17"/>
      <c r="U48" s="17"/>
      <c r="V48" s="17"/>
      <c r="W48" s="17"/>
      <c r="X48" s="17"/>
      <c r="Y48" s="17"/>
      <c r="Z48" s="17"/>
    </row>
    <row r="49" ht="15.75" customHeight="1">
      <c r="A49" s="17"/>
      <c r="B49" s="17"/>
      <c r="C49" s="17"/>
      <c r="D49" s="17"/>
      <c r="E49" s="17"/>
      <c r="F49" s="17"/>
      <c r="G49" s="17"/>
      <c r="H49" s="17"/>
      <c r="I49" s="17"/>
      <c r="J49" s="17"/>
      <c r="K49" s="17"/>
      <c r="L49" s="17"/>
      <c r="M49" s="17"/>
      <c r="N49" s="17"/>
      <c r="O49" s="17"/>
      <c r="P49" s="17"/>
      <c r="Q49" s="17"/>
      <c r="R49" s="17"/>
      <c r="S49" s="17"/>
      <c r="T49" s="17"/>
      <c r="U49" s="17"/>
      <c r="V49" s="17"/>
      <c r="W49" s="17"/>
      <c r="X49" s="17"/>
      <c r="Y49" s="17"/>
      <c r="Z49" s="17"/>
    </row>
    <row r="50" ht="15.75" customHeight="1">
      <c r="A50" s="17"/>
      <c r="B50" s="17"/>
      <c r="C50" s="17"/>
      <c r="D50" s="17"/>
      <c r="E50" s="17"/>
      <c r="F50" s="17"/>
      <c r="G50" s="17"/>
      <c r="H50" s="17"/>
      <c r="I50" s="17"/>
      <c r="J50" s="17"/>
      <c r="K50" s="17"/>
      <c r="L50" s="17"/>
      <c r="M50" s="17"/>
      <c r="N50" s="17"/>
      <c r="O50" s="17"/>
      <c r="P50" s="17"/>
      <c r="Q50" s="17"/>
      <c r="R50" s="17"/>
      <c r="S50" s="17"/>
      <c r="T50" s="17"/>
      <c r="U50" s="17"/>
      <c r="V50" s="17"/>
      <c r="W50" s="17"/>
      <c r="X50" s="17"/>
      <c r="Y50" s="17"/>
      <c r="Z50" s="17"/>
    </row>
    <row r="51" ht="15.75" customHeight="1">
      <c r="A51" s="17"/>
      <c r="B51" s="17"/>
      <c r="C51" s="17"/>
      <c r="D51" s="17"/>
      <c r="E51" s="17"/>
      <c r="F51" s="17"/>
      <c r="G51" s="17"/>
      <c r="H51" s="17"/>
      <c r="I51" s="17"/>
      <c r="J51" s="17"/>
      <c r="K51" s="17"/>
      <c r="L51" s="17"/>
      <c r="M51" s="17"/>
      <c r="N51" s="17"/>
      <c r="O51" s="17"/>
      <c r="P51" s="17"/>
      <c r="Q51" s="17"/>
      <c r="R51" s="17"/>
      <c r="S51" s="17"/>
      <c r="T51" s="17"/>
      <c r="U51" s="17"/>
      <c r="V51" s="17"/>
      <c r="W51" s="17"/>
      <c r="X51" s="17"/>
      <c r="Y51" s="17"/>
      <c r="Z51" s="17"/>
    </row>
    <row r="52" ht="15.75" customHeight="1">
      <c r="A52" s="17"/>
      <c r="B52" s="17"/>
      <c r="C52" s="17"/>
      <c r="D52" s="17"/>
      <c r="E52" s="17"/>
      <c r="F52" s="17"/>
      <c r="G52" s="17"/>
      <c r="H52" s="17"/>
      <c r="I52" s="17"/>
      <c r="J52" s="17"/>
      <c r="K52" s="17"/>
      <c r="L52" s="17"/>
      <c r="M52" s="17"/>
      <c r="N52" s="17"/>
      <c r="O52" s="17"/>
      <c r="P52" s="17"/>
      <c r="Q52" s="17"/>
      <c r="R52" s="17"/>
      <c r="S52" s="17"/>
      <c r="T52" s="17"/>
      <c r="U52" s="17"/>
      <c r="V52" s="17"/>
      <c r="W52" s="17"/>
      <c r="X52" s="17"/>
      <c r="Y52" s="17"/>
      <c r="Z52" s="17"/>
    </row>
    <row r="53" ht="15.75" customHeight="1">
      <c r="A53" s="17"/>
      <c r="B53" s="17"/>
      <c r="C53" s="17"/>
      <c r="D53" s="17"/>
      <c r="E53" s="17"/>
      <c r="F53" s="17"/>
      <c r="G53" s="17"/>
      <c r="H53" s="17"/>
      <c r="I53" s="17"/>
      <c r="J53" s="17"/>
      <c r="K53" s="17"/>
      <c r="L53" s="17"/>
      <c r="M53" s="17"/>
      <c r="N53" s="17"/>
      <c r="O53" s="17"/>
      <c r="P53" s="17"/>
      <c r="Q53" s="17"/>
      <c r="R53" s="17"/>
      <c r="S53" s="17"/>
      <c r="T53" s="17"/>
      <c r="U53" s="17"/>
      <c r="V53" s="17"/>
      <c r="W53" s="17"/>
      <c r="X53" s="17"/>
      <c r="Y53" s="17"/>
      <c r="Z53" s="17"/>
    </row>
    <row r="54" ht="15.75" customHeight="1">
      <c r="A54" s="17"/>
      <c r="B54" s="17"/>
      <c r="C54" s="17"/>
      <c r="D54" s="17"/>
      <c r="E54" s="17"/>
      <c r="F54" s="17"/>
      <c r="G54" s="17"/>
      <c r="H54" s="17"/>
      <c r="I54" s="17"/>
      <c r="J54" s="17"/>
      <c r="K54" s="17"/>
      <c r="L54" s="17"/>
      <c r="M54" s="17"/>
      <c r="N54" s="17"/>
      <c r="O54" s="17"/>
      <c r="P54" s="17"/>
      <c r="Q54" s="17"/>
      <c r="R54" s="17"/>
      <c r="S54" s="17"/>
      <c r="T54" s="17"/>
      <c r="U54" s="17"/>
      <c r="V54" s="17"/>
      <c r="W54" s="17"/>
      <c r="X54" s="17"/>
      <c r="Y54" s="17"/>
      <c r="Z54" s="17"/>
    </row>
    <row r="55" ht="15.75" customHeight="1">
      <c r="A55" s="17"/>
      <c r="B55" s="17"/>
      <c r="C55" s="17"/>
      <c r="D55" s="17"/>
      <c r="E55" s="17"/>
      <c r="F55" s="17"/>
      <c r="G55" s="17"/>
      <c r="H55" s="17"/>
      <c r="I55" s="17"/>
      <c r="J55" s="17"/>
      <c r="K55" s="17"/>
      <c r="L55" s="17"/>
      <c r="M55" s="17"/>
      <c r="N55" s="17"/>
      <c r="O55" s="17"/>
      <c r="P55" s="17"/>
      <c r="Q55" s="17"/>
      <c r="R55" s="17"/>
      <c r="S55" s="17"/>
      <c r="T55" s="17"/>
      <c r="U55" s="17"/>
      <c r="V55" s="17"/>
      <c r="W55" s="17"/>
      <c r="X55" s="17"/>
      <c r="Y55" s="17"/>
      <c r="Z55" s="17"/>
    </row>
    <row r="56" ht="15.75" customHeight="1">
      <c r="A56" s="17"/>
      <c r="B56" s="17"/>
      <c r="C56" s="17"/>
      <c r="D56" s="17"/>
      <c r="E56" s="17"/>
      <c r="F56" s="17"/>
      <c r="G56" s="17"/>
      <c r="H56" s="17"/>
      <c r="I56" s="17"/>
      <c r="J56" s="17"/>
      <c r="K56" s="17"/>
      <c r="L56" s="17"/>
      <c r="M56" s="17"/>
      <c r="N56" s="17"/>
      <c r="O56" s="17"/>
      <c r="P56" s="17"/>
      <c r="Q56" s="17"/>
      <c r="R56" s="17"/>
      <c r="S56" s="17"/>
      <c r="T56" s="17"/>
      <c r="U56" s="17"/>
      <c r="V56" s="17"/>
      <c r="W56" s="17"/>
      <c r="X56" s="17"/>
      <c r="Y56" s="17"/>
      <c r="Z56" s="17"/>
    </row>
    <row r="57" ht="15.75" customHeight="1">
      <c r="A57" s="17"/>
      <c r="B57" s="17"/>
      <c r="C57" s="17"/>
      <c r="D57" s="17"/>
      <c r="E57" s="17"/>
      <c r="F57" s="17"/>
      <c r="G57" s="17"/>
      <c r="H57" s="17"/>
      <c r="I57" s="17"/>
      <c r="J57" s="17"/>
      <c r="K57" s="17"/>
      <c r="L57" s="17"/>
      <c r="M57" s="17"/>
      <c r="N57" s="17"/>
      <c r="O57" s="17"/>
      <c r="P57" s="17"/>
      <c r="Q57" s="17"/>
      <c r="R57" s="17"/>
      <c r="S57" s="17"/>
      <c r="T57" s="17"/>
      <c r="U57" s="17"/>
      <c r="V57" s="17"/>
      <c r="W57" s="17"/>
      <c r="X57" s="17"/>
      <c r="Y57" s="17"/>
      <c r="Z57" s="17"/>
    </row>
    <row r="58" ht="15.75" customHeight="1">
      <c r="A58" s="17"/>
      <c r="B58" s="17"/>
      <c r="C58" s="17"/>
      <c r="D58" s="17"/>
      <c r="E58" s="17"/>
      <c r="F58" s="17"/>
      <c r="G58" s="17"/>
      <c r="H58" s="17"/>
      <c r="I58" s="17"/>
      <c r="J58" s="17"/>
      <c r="K58" s="17"/>
      <c r="L58" s="17"/>
      <c r="M58" s="17"/>
      <c r="N58" s="17"/>
      <c r="O58" s="17"/>
      <c r="P58" s="17"/>
      <c r="Q58" s="17"/>
      <c r="R58" s="17"/>
      <c r="S58" s="17"/>
      <c r="T58" s="17"/>
      <c r="U58" s="17"/>
      <c r="V58" s="17"/>
      <c r="W58" s="17"/>
      <c r="X58" s="17"/>
      <c r="Y58" s="17"/>
      <c r="Z58" s="17"/>
    </row>
    <row r="59" ht="15.75" customHeight="1">
      <c r="A59" s="17"/>
      <c r="B59" s="17"/>
      <c r="C59" s="17"/>
      <c r="D59" s="17"/>
      <c r="E59" s="17"/>
      <c r="F59" s="17"/>
      <c r="G59" s="17"/>
      <c r="H59" s="17"/>
      <c r="I59" s="17"/>
      <c r="J59" s="17"/>
      <c r="K59" s="17"/>
      <c r="L59" s="17"/>
      <c r="M59" s="17"/>
      <c r="N59" s="17"/>
      <c r="O59" s="17"/>
      <c r="P59" s="17"/>
      <c r="Q59" s="17"/>
      <c r="R59" s="17"/>
      <c r="S59" s="17"/>
      <c r="T59" s="17"/>
      <c r="U59" s="17"/>
      <c r="V59" s="17"/>
      <c r="W59" s="17"/>
      <c r="X59" s="17"/>
      <c r="Y59" s="17"/>
      <c r="Z59" s="17"/>
    </row>
    <row r="60" ht="15.75" customHeight="1">
      <c r="A60" s="17"/>
      <c r="B60" s="17"/>
      <c r="C60" s="17"/>
      <c r="D60" s="17"/>
      <c r="E60" s="17"/>
      <c r="F60" s="17"/>
      <c r="G60" s="17"/>
      <c r="H60" s="17"/>
      <c r="I60" s="17"/>
      <c r="J60" s="17"/>
      <c r="K60" s="17"/>
      <c r="L60" s="17"/>
      <c r="M60" s="17"/>
      <c r="N60" s="17"/>
      <c r="O60" s="17"/>
      <c r="P60" s="17"/>
      <c r="Q60" s="17"/>
      <c r="R60" s="17"/>
      <c r="S60" s="17"/>
      <c r="T60" s="17"/>
      <c r="U60" s="17"/>
      <c r="V60" s="17"/>
      <c r="W60" s="17"/>
      <c r="X60" s="17"/>
      <c r="Y60" s="17"/>
      <c r="Z60" s="17"/>
    </row>
    <row r="61" ht="15.75" customHeight="1">
      <c r="A61" s="17"/>
      <c r="B61" s="17"/>
      <c r="C61" s="17"/>
      <c r="D61" s="17"/>
      <c r="E61" s="17"/>
      <c r="F61" s="17"/>
      <c r="G61" s="17"/>
      <c r="H61" s="17"/>
      <c r="I61" s="17"/>
      <c r="J61" s="17"/>
      <c r="K61" s="17"/>
      <c r="L61" s="17"/>
      <c r="M61" s="17"/>
      <c r="N61" s="17"/>
      <c r="O61" s="17"/>
      <c r="P61" s="17"/>
      <c r="Q61" s="17"/>
      <c r="R61" s="17"/>
      <c r="S61" s="17"/>
      <c r="T61" s="17"/>
      <c r="U61" s="17"/>
      <c r="V61" s="17"/>
      <c r="W61" s="17"/>
      <c r="X61" s="17"/>
      <c r="Y61" s="17"/>
      <c r="Z61" s="17"/>
    </row>
    <row r="62" ht="15.75" customHeight="1">
      <c r="A62" s="17"/>
      <c r="B62" s="17"/>
      <c r="C62" s="17"/>
      <c r="D62" s="17"/>
      <c r="E62" s="17"/>
      <c r="F62" s="17"/>
      <c r="G62" s="17"/>
      <c r="H62" s="17"/>
      <c r="I62" s="17"/>
      <c r="J62" s="17"/>
      <c r="K62" s="17"/>
      <c r="L62" s="17"/>
      <c r="M62" s="17"/>
      <c r="N62" s="17"/>
      <c r="O62" s="17"/>
      <c r="P62" s="17"/>
      <c r="Q62" s="17"/>
      <c r="R62" s="17"/>
      <c r="S62" s="17"/>
      <c r="T62" s="17"/>
      <c r="U62" s="17"/>
      <c r="V62" s="17"/>
      <c r="W62" s="17"/>
      <c r="X62" s="17"/>
      <c r="Y62" s="17"/>
      <c r="Z62" s="17"/>
    </row>
    <row r="63" ht="15.75" customHeight="1">
      <c r="A63" s="17"/>
      <c r="B63" s="17"/>
      <c r="C63" s="17"/>
      <c r="D63" s="17"/>
      <c r="E63" s="17"/>
      <c r="F63" s="17"/>
      <c r="G63" s="17"/>
      <c r="H63" s="17"/>
      <c r="I63" s="17"/>
      <c r="J63" s="17"/>
      <c r="K63" s="17"/>
      <c r="L63" s="17"/>
      <c r="M63" s="17"/>
      <c r="N63" s="17"/>
      <c r="O63" s="17"/>
      <c r="P63" s="17"/>
      <c r="Q63" s="17"/>
      <c r="R63" s="17"/>
      <c r="S63" s="17"/>
      <c r="T63" s="17"/>
      <c r="U63" s="17"/>
      <c r="V63" s="17"/>
      <c r="W63" s="17"/>
      <c r="X63" s="17"/>
      <c r="Y63" s="17"/>
      <c r="Z63" s="17"/>
    </row>
    <row r="64" ht="15.75" customHeight="1">
      <c r="A64" s="17"/>
      <c r="B64" s="17"/>
      <c r="C64" s="17"/>
      <c r="D64" s="17"/>
      <c r="E64" s="17"/>
      <c r="F64" s="17"/>
      <c r="G64" s="17"/>
      <c r="H64" s="17"/>
      <c r="I64" s="17"/>
      <c r="J64" s="17"/>
      <c r="K64" s="17"/>
      <c r="L64" s="17"/>
      <c r="M64" s="17"/>
      <c r="N64" s="17"/>
      <c r="O64" s="17"/>
      <c r="P64" s="17"/>
      <c r="Q64" s="17"/>
      <c r="R64" s="17"/>
      <c r="S64" s="17"/>
      <c r="T64" s="17"/>
      <c r="U64" s="17"/>
      <c r="V64" s="17"/>
      <c r="W64" s="17"/>
      <c r="X64" s="17"/>
      <c r="Y64" s="17"/>
      <c r="Z64" s="17"/>
    </row>
    <row r="65" ht="15.75" customHeight="1">
      <c r="A65" s="17"/>
      <c r="B65" s="17"/>
      <c r="C65" s="17"/>
      <c r="D65" s="17"/>
      <c r="E65" s="17"/>
      <c r="F65" s="17"/>
      <c r="G65" s="17"/>
      <c r="H65" s="17"/>
      <c r="I65" s="17"/>
      <c r="J65" s="17"/>
      <c r="K65" s="17"/>
      <c r="L65" s="17"/>
      <c r="M65" s="17"/>
      <c r="N65" s="17"/>
      <c r="O65" s="17"/>
      <c r="P65" s="17"/>
      <c r="Q65" s="17"/>
      <c r="R65" s="17"/>
      <c r="S65" s="17"/>
      <c r="T65" s="17"/>
      <c r="U65" s="17"/>
      <c r="V65" s="17"/>
      <c r="W65" s="17"/>
      <c r="X65" s="17"/>
      <c r="Y65" s="17"/>
      <c r="Z65" s="17"/>
    </row>
    <row r="66" ht="15.75" customHeight="1">
      <c r="A66" s="17"/>
      <c r="B66" s="17"/>
      <c r="C66" s="17"/>
      <c r="D66" s="17"/>
      <c r="E66" s="17"/>
      <c r="F66" s="17"/>
      <c r="G66" s="17"/>
      <c r="H66" s="17"/>
      <c r="I66" s="17"/>
      <c r="J66" s="17"/>
      <c r="K66" s="17"/>
      <c r="L66" s="17"/>
      <c r="M66" s="17"/>
      <c r="N66" s="17"/>
      <c r="O66" s="17"/>
      <c r="P66" s="17"/>
      <c r="Q66" s="17"/>
      <c r="R66" s="17"/>
      <c r="S66" s="17"/>
      <c r="T66" s="17"/>
      <c r="U66" s="17"/>
      <c r="V66" s="17"/>
      <c r="W66" s="17"/>
      <c r="X66" s="17"/>
      <c r="Y66" s="17"/>
      <c r="Z66" s="17"/>
    </row>
    <row r="67" ht="15.75" customHeight="1">
      <c r="A67" s="17"/>
      <c r="B67" s="17"/>
      <c r="C67" s="17"/>
      <c r="D67" s="17"/>
      <c r="E67" s="17"/>
      <c r="F67" s="17"/>
      <c r="G67" s="17"/>
      <c r="H67" s="17"/>
      <c r="I67" s="17"/>
      <c r="J67" s="17"/>
      <c r="K67" s="17"/>
      <c r="L67" s="17"/>
      <c r="M67" s="17"/>
      <c r="N67" s="17"/>
      <c r="O67" s="17"/>
      <c r="P67" s="17"/>
      <c r="Q67" s="17"/>
      <c r="R67" s="17"/>
      <c r="S67" s="17"/>
      <c r="T67" s="17"/>
      <c r="U67" s="17"/>
      <c r="V67" s="17"/>
      <c r="W67" s="17"/>
      <c r="X67" s="17"/>
      <c r="Y67" s="17"/>
      <c r="Z67" s="17"/>
    </row>
    <row r="68" ht="15.75" customHeight="1">
      <c r="A68" s="17"/>
      <c r="B68" s="17"/>
      <c r="C68" s="17"/>
      <c r="D68" s="17"/>
      <c r="E68" s="17"/>
      <c r="F68" s="17"/>
      <c r="G68" s="17"/>
      <c r="H68" s="17"/>
      <c r="I68" s="17"/>
      <c r="J68" s="17"/>
      <c r="K68" s="17"/>
      <c r="L68" s="17"/>
      <c r="M68" s="17"/>
      <c r="N68" s="17"/>
      <c r="O68" s="17"/>
      <c r="P68" s="17"/>
      <c r="Q68" s="17"/>
      <c r="R68" s="17"/>
      <c r="S68" s="17"/>
      <c r="T68" s="17"/>
      <c r="U68" s="17"/>
      <c r="V68" s="17"/>
      <c r="W68" s="17"/>
      <c r="X68" s="17"/>
      <c r="Y68" s="17"/>
      <c r="Z68" s="17"/>
    </row>
    <row r="69" ht="15.75" customHeight="1">
      <c r="A69" s="17"/>
      <c r="B69" s="17"/>
      <c r="C69" s="17"/>
      <c r="D69" s="17"/>
      <c r="E69" s="17"/>
      <c r="F69" s="17"/>
      <c r="G69" s="17"/>
      <c r="H69" s="17"/>
      <c r="I69" s="17"/>
      <c r="J69" s="17"/>
      <c r="K69" s="17"/>
      <c r="L69" s="17"/>
      <c r="M69" s="17"/>
      <c r="N69" s="17"/>
      <c r="O69" s="17"/>
      <c r="P69" s="17"/>
      <c r="Q69" s="17"/>
      <c r="R69" s="17"/>
      <c r="S69" s="17"/>
      <c r="T69" s="17"/>
      <c r="U69" s="17"/>
      <c r="V69" s="17"/>
      <c r="W69" s="17"/>
      <c r="X69" s="17"/>
      <c r="Y69" s="17"/>
      <c r="Z69" s="17"/>
    </row>
    <row r="70" ht="15.75" customHeight="1">
      <c r="A70" s="17"/>
      <c r="B70" s="17"/>
      <c r="C70" s="17"/>
      <c r="D70" s="17"/>
      <c r="E70" s="17"/>
      <c r="F70" s="17"/>
      <c r="G70" s="17"/>
      <c r="H70" s="17"/>
      <c r="I70" s="17"/>
      <c r="J70" s="17"/>
      <c r="K70" s="17"/>
      <c r="L70" s="17"/>
      <c r="M70" s="17"/>
      <c r="N70" s="17"/>
      <c r="O70" s="17"/>
      <c r="P70" s="17"/>
      <c r="Q70" s="17"/>
      <c r="R70" s="17"/>
      <c r="S70" s="17"/>
      <c r="T70" s="17"/>
      <c r="U70" s="17"/>
      <c r="V70" s="17"/>
      <c r="W70" s="17"/>
      <c r="X70" s="17"/>
      <c r="Y70" s="17"/>
      <c r="Z70" s="17"/>
    </row>
    <row r="71" ht="15.75" customHeight="1">
      <c r="A71" s="17"/>
      <c r="B71" s="17"/>
      <c r="C71" s="17"/>
      <c r="D71" s="17"/>
      <c r="E71" s="17"/>
      <c r="F71" s="17"/>
      <c r="G71" s="17"/>
      <c r="H71" s="17"/>
      <c r="I71" s="17"/>
      <c r="J71" s="17"/>
      <c r="K71" s="17"/>
      <c r="L71" s="17"/>
      <c r="M71" s="17"/>
      <c r="N71" s="17"/>
      <c r="O71" s="17"/>
      <c r="P71" s="17"/>
      <c r="Q71" s="17"/>
      <c r="R71" s="17"/>
      <c r="S71" s="17"/>
      <c r="T71" s="17"/>
      <c r="U71" s="17"/>
      <c r="V71" s="17"/>
      <c r="W71" s="17"/>
      <c r="X71" s="17"/>
      <c r="Y71" s="17"/>
      <c r="Z71" s="17"/>
    </row>
    <row r="72" ht="15.75" customHeight="1">
      <c r="A72" s="17"/>
      <c r="B72" s="17"/>
      <c r="C72" s="17"/>
      <c r="D72" s="17"/>
      <c r="E72" s="17"/>
      <c r="F72" s="17"/>
      <c r="G72" s="17"/>
      <c r="H72" s="17"/>
      <c r="I72" s="17"/>
      <c r="J72" s="17"/>
      <c r="K72" s="17"/>
      <c r="L72" s="17"/>
      <c r="M72" s="17"/>
      <c r="N72" s="17"/>
      <c r="O72" s="17"/>
      <c r="P72" s="17"/>
      <c r="Q72" s="17"/>
      <c r="R72" s="17"/>
      <c r="S72" s="17"/>
      <c r="T72" s="17"/>
      <c r="U72" s="17"/>
      <c r="V72" s="17"/>
      <c r="W72" s="17"/>
      <c r="X72" s="17"/>
      <c r="Y72" s="17"/>
      <c r="Z72" s="17"/>
    </row>
    <row r="73" ht="15.75" customHeight="1">
      <c r="A73" s="17"/>
      <c r="B73" s="17"/>
      <c r="C73" s="17"/>
      <c r="D73" s="17"/>
      <c r="E73" s="17"/>
      <c r="F73" s="17"/>
      <c r="G73" s="17"/>
      <c r="H73" s="17"/>
      <c r="I73" s="17"/>
      <c r="J73" s="17"/>
      <c r="K73" s="17"/>
      <c r="L73" s="17"/>
      <c r="M73" s="17"/>
      <c r="N73" s="17"/>
      <c r="O73" s="17"/>
      <c r="P73" s="17"/>
      <c r="Q73" s="17"/>
      <c r="R73" s="17"/>
      <c r="S73" s="17"/>
      <c r="T73" s="17"/>
      <c r="U73" s="17"/>
      <c r="V73" s="17"/>
      <c r="W73" s="17"/>
      <c r="X73" s="17"/>
      <c r="Y73" s="17"/>
      <c r="Z73" s="17"/>
    </row>
    <row r="74" ht="15.75" customHeight="1">
      <c r="A74" s="17"/>
      <c r="B74" s="17"/>
      <c r="C74" s="17"/>
      <c r="D74" s="17"/>
      <c r="E74" s="17"/>
      <c r="F74" s="17"/>
      <c r="G74" s="17"/>
      <c r="H74" s="17"/>
      <c r="I74" s="17"/>
      <c r="J74" s="17"/>
      <c r="K74" s="17"/>
      <c r="L74" s="17"/>
      <c r="M74" s="17"/>
      <c r="N74" s="17"/>
      <c r="O74" s="17"/>
      <c r="P74" s="17"/>
      <c r="Q74" s="17"/>
      <c r="R74" s="17"/>
      <c r="S74" s="17"/>
      <c r="T74" s="17"/>
      <c r="U74" s="17"/>
      <c r="V74" s="17"/>
      <c r="W74" s="17"/>
      <c r="X74" s="17"/>
      <c r="Y74" s="17"/>
      <c r="Z74" s="17"/>
    </row>
    <row r="75" ht="15.75" customHeight="1">
      <c r="A75" s="17"/>
      <c r="B75" s="17"/>
      <c r="C75" s="17"/>
      <c r="D75" s="17"/>
      <c r="E75" s="17"/>
      <c r="F75" s="17"/>
      <c r="G75" s="17"/>
      <c r="H75" s="17"/>
      <c r="I75" s="17"/>
      <c r="J75" s="17"/>
      <c r="K75" s="17"/>
      <c r="L75" s="17"/>
      <c r="M75" s="17"/>
      <c r="N75" s="17"/>
      <c r="O75" s="17"/>
      <c r="P75" s="17"/>
      <c r="Q75" s="17"/>
      <c r="R75" s="17"/>
      <c r="S75" s="17"/>
      <c r="T75" s="17"/>
      <c r="U75" s="17"/>
      <c r="V75" s="17"/>
      <c r="W75" s="17"/>
      <c r="X75" s="17"/>
      <c r="Y75" s="17"/>
      <c r="Z75" s="17"/>
    </row>
    <row r="76" ht="15.75" customHeight="1">
      <c r="A76" s="17"/>
      <c r="B76" s="17"/>
      <c r="C76" s="17"/>
      <c r="D76" s="17"/>
      <c r="E76" s="17"/>
      <c r="F76" s="17"/>
      <c r="G76" s="17"/>
      <c r="H76" s="17"/>
      <c r="I76" s="17"/>
      <c r="J76" s="17"/>
      <c r="K76" s="17"/>
      <c r="L76" s="17"/>
      <c r="M76" s="17"/>
      <c r="N76" s="17"/>
      <c r="O76" s="17"/>
      <c r="P76" s="17"/>
      <c r="Q76" s="17"/>
      <c r="R76" s="17"/>
      <c r="S76" s="17"/>
      <c r="T76" s="17"/>
      <c r="U76" s="17"/>
      <c r="V76" s="17"/>
      <c r="W76" s="17"/>
      <c r="X76" s="17"/>
      <c r="Y76" s="17"/>
      <c r="Z76" s="17"/>
    </row>
    <row r="77" ht="15.75" customHeight="1">
      <c r="A77" s="17"/>
      <c r="B77" s="17"/>
      <c r="C77" s="17"/>
      <c r="D77" s="17"/>
      <c r="E77" s="17"/>
      <c r="F77" s="17"/>
      <c r="G77" s="17"/>
      <c r="H77" s="17"/>
      <c r="I77" s="17"/>
      <c r="J77" s="17"/>
      <c r="K77" s="17"/>
      <c r="L77" s="17"/>
      <c r="M77" s="17"/>
      <c r="N77" s="17"/>
      <c r="O77" s="17"/>
      <c r="P77" s="17"/>
      <c r="Q77" s="17"/>
      <c r="R77" s="17"/>
      <c r="S77" s="17"/>
      <c r="T77" s="17"/>
      <c r="U77" s="17"/>
      <c r="V77" s="17"/>
      <c r="W77" s="17"/>
      <c r="X77" s="17"/>
      <c r="Y77" s="17"/>
      <c r="Z77" s="17"/>
    </row>
    <row r="78" ht="15.75" customHeight="1">
      <c r="A78" s="17"/>
      <c r="B78" s="17"/>
      <c r="C78" s="17"/>
      <c r="D78" s="17"/>
      <c r="E78" s="17"/>
      <c r="F78" s="17"/>
      <c r="G78" s="17"/>
      <c r="H78" s="17"/>
      <c r="I78" s="17"/>
      <c r="J78" s="17"/>
      <c r="K78" s="17"/>
      <c r="L78" s="17"/>
      <c r="M78" s="17"/>
      <c r="N78" s="17"/>
      <c r="O78" s="17"/>
      <c r="P78" s="17"/>
      <c r="Q78" s="17"/>
      <c r="R78" s="17"/>
      <c r="S78" s="17"/>
      <c r="T78" s="17"/>
      <c r="U78" s="17"/>
      <c r="V78" s="17"/>
      <c r="W78" s="17"/>
      <c r="X78" s="17"/>
      <c r="Y78" s="17"/>
      <c r="Z78" s="17"/>
    </row>
    <row r="79" ht="15.75" customHeight="1">
      <c r="A79" s="17"/>
      <c r="B79" s="17"/>
      <c r="C79" s="17"/>
      <c r="D79" s="17"/>
      <c r="E79" s="17"/>
      <c r="F79" s="17"/>
      <c r="G79" s="17"/>
      <c r="H79" s="17"/>
      <c r="I79" s="17"/>
      <c r="J79" s="17"/>
      <c r="K79" s="17"/>
      <c r="L79" s="17"/>
      <c r="M79" s="17"/>
      <c r="N79" s="17"/>
      <c r="O79" s="17"/>
      <c r="P79" s="17"/>
      <c r="Q79" s="17"/>
      <c r="R79" s="17"/>
      <c r="S79" s="17"/>
      <c r="T79" s="17"/>
      <c r="U79" s="17"/>
      <c r="V79" s="17"/>
      <c r="W79" s="17"/>
      <c r="X79" s="17"/>
      <c r="Y79" s="17"/>
      <c r="Z79" s="17"/>
    </row>
    <row r="80" ht="15.75" customHeight="1">
      <c r="A80" s="17"/>
      <c r="B80" s="17"/>
      <c r="C80" s="17"/>
      <c r="D80" s="17"/>
      <c r="E80" s="17"/>
      <c r="F80" s="17"/>
      <c r="G80" s="17"/>
      <c r="H80" s="17"/>
      <c r="I80" s="17"/>
      <c r="J80" s="17"/>
      <c r="K80" s="17"/>
      <c r="L80" s="17"/>
      <c r="M80" s="17"/>
      <c r="N80" s="17"/>
      <c r="O80" s="17"/>
      <c r="P80" s="17"/>
      <c r="Q80" s="17"/>
      <c r="R80" s="17"/>
      <c r="S80" s="17"/>
      <c r="T80" s="17"/>
      <c r="U80" s="17"/>
      <c r="V80" s="17"/>
      <c r="W80" s="17"/>
      <c r="X80" s="17"/>
      <c r="Y80" s="17"/>
      <c r="Z80" s="17"/>
    </row>
    <row r="81" ht="15.75" customHeight="1">
      <c r="A81" s="17"/>
      <c r="B81" s="17"/>
      <c r="C81" s="17"/>
      <c r="D81" s="17"/>
      <c r="E81" s="17"/>
      <c r="F81" s="17"/>
      <c r="G81" s="17"/>
      <c r="H81" s="17"/>
      <c r="I81" s="17"/>
      <c r="J81" s="17"/>
      <c r="K81" s="17"/>
      <c r="L81" s="17"/>
      <c r="M81" s="17"/>
      <c r="N81" s="17"/>
      <c r="O81" s="17"/>
      <c r="P81" s="17"/>
      <c r="Q81" s="17"/>
      <c r="R81" s="17"/>
      <c r="S81" s="17"/>
      <c r="T81" s="17"/>
      <c r="U81" s="17"/>
      <c r="V81" s="17"/>
      <c r="W81" s="17"/>
      <c r="X81" s="17"/>
      <c r="Y81" s="17"/>
      <c r="Z81" s="17"/>
    </row>
    <row r="82" ht="15.75" customHeight="1">
      <c r="A82" s="17"/>
      <c r="B82" s="17"/>
      <c r="C82" s="17"/>
      <c r="D82" s="17"/>
      <c r="E82" s="17"/>
      <c r="F82" s="17"/>
      <c r="G82" s="17"/>
      <c r="H82" s="17"/>
      <c r="I82" s="17"/>
      <c r="J82" s="17"/>
      <c r="K82" s="17"/>
      <c r="L82" s="17"/>
      <c r="M82" s="17"/>
      <c r="N82" s="17"/>
      <c r="O82" s="17"/>
      <c r="P82" s="17"/>
      <c r="Q82" s="17"/>
      <c r="R82" s="17"/>
      <c r="S82" s="17"/>
      <c r="T82" s="17"/>
      <c r="U82" s="17"/>
      <c r="V82" s="17"/>
      <c r="W82" s="17"/>
      <c r="X82" s="17"/>
      <c r="Y82" s="17"/>
      <c r="Z82" s="17"/>
    </row>
    <row r="83" ht="15.75" customHeight="1">
      <c r="A83" s="17"/>
      <c r="B83" s="17"/>
      <c r="C83" s="17"/>
      <c r="D83" s="17"/>
      <c r="E83" s="17"/>
      <c r="F83" s="17"/>
      <c r="G83" s="17"/>
      <c r="H83" s="17"/>
      <c r="I83" s="17"/>
      <c r="J83" s="17"/>
      <c r="K83" s="17"/>
      <c r="L83" s="17"/>
      <c r="M83" s="17"/>
      <c r="N83" s="17"/>
      <c r="O83" s="17"/>
      <c r="P83" s="17"/>
      <c r="Q83" s="17"/>
      <c r="R83" s="17"/>
      <c r="S83" s="17"/>
      <c r="T83" s="17"/>
      <c r="U83" s="17"/>
      <c r="V83" s="17"/>
      <c r="W83" s="17"/>
      <c r="X83" s="17"/>
      <c r="Y83" s="17"/>
      <c r="Z83" s="17"/>
    </row>
    <row r="84" ht="15.75" customHeight="1">
      <c r="A84" s="17"/>
      <c r="B84" s="17"/>
      <c r="C84" s="17"/>
      <c r="D84" s="17"/>
      <c r="E84" s="17"/>
      <c r="F84" s="17"/>
      <c r="G84" s="17"/>
      <c r="H84" s="17"/>
      <c r="I84" s="17"/>
      <c r="J84" s="17"/>
      <c r="K84" s="17"/>
      <c r="L84" s="17"/>
      <c r="M84" s="17"/>
      <c r="N84" s="17"/>
      <c r="O84" s="17"/>
      <c r="P84" s="17"/>
      <c r="Q84" s="17"/>
      <c r="R84" s="17"/>
      <c r="S84" s="17"/>
      <c r="T84" s="17"/>
      <c r="U84" s="17"/>
      <c r="V84" s="17"/>
      <c r="W84" s="17"/>
      <c r="X84" s="17"/>
      <c r="Y84" s="17"/>
      <c r="Z84" s="17"/>
    </row>
    <row r="85" ht="15.75" customHeight="1">
      <c r="A85" s="17"/>
      <c r="B85" s="17"/>
      <c r="C85" s="17"/>
      <c r="D85" s="17"/>
      <c r="E85" s="17"/>
      <c r="F85" s="17"/>
      <c r="G85" s="17"/>
      <c r="H85" s="17"/>
      <c r="I85" s="17"/>
      <c r="J85" s="17"/>
      <c r="K85" s="17"/>
      <c r="L85" s="17"/>
      <c r="M85" s="17"/>
      <c r="N85" s="17"/>
      <c r="O85" s="17"/>
      <c r="P85" s="17"/>
      <c r="Q85" s="17"/>
      <c r="R85" s="17"/>
      <c r="S85" s="17"/>
      <c r="T85" s="17"/>
      <c r="U85" s="17"/>
      <c r="V85" s="17"/>
      <c r="W85" s="17"/>
      <c r="X85" s="17"/>
      <c r="Y85" s="17"/>
      <c r="Z85" s="17"/>
    </row>
    <row r="86" ht="15.75" customHeight="1">
      <c r="A86" s="17"/>
      <c r="B86" s="17"/>
      <c r="C86" s="17"/>
      <c r="D86" s="17"/>
      <c r="E86" s="17"/>
      <c r="F86" s="17"/>
      <c r="G86" s="17"/>
      <c r="H86" s="17"/>
      <c r="I86" s="17"/>
      <c r="J86" s="17"/>
      <c r="K86" s="17"/>
      <c r="L86" s="17"/>
      <c r="M86" s="17"/>
      <c r="N86" s="17"/>
      <c r="O86" s="17"/>
      <c r="P86" s="17"/>
      <c r="Q86" s="17"/>
      <c r="R86" s="17"/>
      <c r="S86" s="17"/>
      <c r="T86" s="17"/>
      <c r="U86" s="17"/>
      <c r="V86" s="17"/>
      <c r="W86" s="17"/>
      <c r="X86" s="17"/>
      <c r="Y86" s="17"/>
      <c r="Z86" s="17"/>
    </row>
    <row r="87" ht="15.75" customHeight="1">
      <c r="A87" s="17"/>
      <c r="B87" s="17"/>
      <c r="C87" s="17"/>
      <c r="D87" s="17"/>
      <c r="E87" s="17"/>
      <c r="F87" s="17"/>
      <c r="G87" s="17"/>
      <c r="H87" s="17"/>
      <c r="I87" s="17"/>
      <c r="J87" s="17"/>
      <c r="K87" s="17"/>
      <c r="L87" s="17"/>
      <c r="M87" s="17"/>
      <c r="N87" s="17"/>
      <c r="O87" s="17"/>
      <c r="P87" s="17"/>
      <c r="Q87" s="17"/>
      <c r="R87" s="17"/>
      <c r="S87" s="17"/>
      <c r="T87" s="17"/>
      <c r="U87" s="17"/>
      <c r="V87" s="17"/>
      <c r="W87" s="17"/>
      <c r="X87" s="17"/>
      <c r="Y87" s="17"/>
      <c r="Z87" s="17"/>
    </row>
    <row r="88" ht="15.75" customHeight="1">
      <c r="A88" s="17"/>
      <c r="B88" s="17"/>
      <c r="C88" s="17"/>
      <c r="D88" s="17"/>
      <c r="E88" s="17"/>
      <c r="F88" s="17"/>
      <c r="G88" s="17"/>
      <c r="H88" s="17"/>
      <c r="I88" s="17"/>
      <c r="J88" s="17"/>
      <c r="K88" s="17"/>
      <c r="L88" s="17"/>
      <c r="M88" s="17"/>
      <c r="N88" s="17"/>
      <c r="O88" s="17"/>
      <c r="P88" s="17"/>
      <c r="Q88" s="17"/>
      <c r="R88" s="17"/>
      <c r="S88" s="17"/>
      <c r="T88" s="17"/>
      <c r="U88" s="17"/>
      <c r="V88" s="17"/>
      <c r="W88" s="17"/>
      <c r="X88" s="17"/>
      <c r="Y88" s="17"/>
      <c r="Z88" s="17"/>
    </row>
    <row r="89" ht="15.75" customHeight="1">
      <c r="A89" s="17"/>
      <c r="B89" s="17"/>
      <c r="C89" s="17"/>
      <c r="D89" s="17"/>
      <c r="E89" s="17"/>
      <c r="F89" s="17"/>
      <c r="G89" s="17"/>
      <c r="H89" s="17"/>
      <c r="I89" s="17"/>
      <c r="J89" s="17"/>
      <c r="K89" s="17"/>
      <c r="L89" s="17"/>
      <c r="M89" s="17"/>
      <c r="N89" s="17"/>
      <c r="O89" s="17"/>
      <c r="P89" s="17"/>
      <c r="Q89" s="17"/>
      <c r="R89" s="17"/>
      <c r="S89" s="17"/>
      <c r="T89" s="17"/>
      <c r="U89" s="17"/>
      <c r="V89" s="17"/>
      <c r="W89" s="17"/>
      <c r="X89" s="17"/>
      <c r="Y89" s="17"/>
      <c r="Z89" s="17"/>
    </row>
    <row r="90" ht="15.75" customHeight="1">
      <c r="A90" s="17"/>
      <c r="B90" s="17"/>
      <c r="C90" s="17"/>
      <c r="D90" s="17"/>
      <c r="E90" s="17"/>
      <c r="F90" s="17"/>
      <c r="G90" s="17"/>
      <c r="H90" s="17"/>
      <c r="I90" s="17"/>
      <c r="J90" s="17"/>
      <c r="K90" s="17"/>
      <c r="L90" s="17"/>
      <c r="M90" s="17"/>
      <c r="N90" s="17"/>
      <c r="O90" s="17"/>
      <c r="P90" s="17"/>
      <c r="Q90" s="17"/>
      <c r="R90" s="17"/>
      <c r="S90" s="17"/>
      <c r="T90" s="17"/>
      <c r="U90" s="17"/>
      <c r="V90" s="17"/>
      <c r="W90" s="17"/>
      <c r="X90" s="17"/>
      <c r="Y90" s="17"/>
      <c r="Z90" s="17"/>
    </row>
    <row r="91" ht="15.75" customHeight="1">
      <c r="A91" s="17"/>
      <c r="B91" s="17"/>
      <c r="C91" s="17"/>
      <c r="D91" s="17"/>
      <c r="E91" s="17"/>
      <c r="F91" s="17"/>
      <c r="G91" s="17"/>
      <c r="H91" s="17"/>
      <c r="I91" s="17"/>
      <c r="J91" s="17"/>
      <c r="K91" s="17"/>
      <c r="L91" s="17"/>
      <c r="M91" s="17"/>
      <c r="N91" s="17"/>
      <c r="O91" s="17"/>
      <c r="P91" s="17"/>
      <c r="Q91" s="17"/>
      <c r="R91" s="17"/>
      <c r="S91" s="17"/>
      <c r="T91" s="17"/>
      <c r="U91" s="17"/>
      <c r="V91" s="17"/>
      <c r="W91" s="17"/>
      <c r="X91" s="17"/>
      <c r="Y91" s="17"/>
      <c r="Z91" s="17"/>
    </row>
    <row r="92" ht="15.75" customHeight="1">
      <c r="A92" s="17"/>
      <c r="B92" s="17"/>
      <c r="C92" s="17"/>
      <c r="D92" s="17"/>
      <c r="E92" s="17"/>
      <c r="F92" s="17"/>
      <c r="G92" s="17"/>
      <c r="H92" s="17"/>
      <c r="I92" s="17"/>
      <c r="J92" s="17"/>
      <c r="K92" s="17"/>
      <c r="L92" s="17"/>
      <c r="M92" s="17"/>
      <c r="N92" s="17"/>
      <c r="O92" s="17"/>
      <c r="P92" s="17"/>
      <c r="Q92" s="17"/>
      <c r="R92" s="17"/>
      <c r="S92" s="17"/>
      <c r="T92" s="17"/>
      <c r="U92" s="17"/>
      <c r="V92" s="17"/>
      <c r="W92" s="17"/>
      <c r="X92" s="17"/>
      <c r="Y92" s="17"/>
      <c r="Z92" s="17"/>
    </row>
    <row r="93" ht="15.75" customHeight="1">
      <c r="A93" s="17"/>
      <c r="B93" s="17"/>
      <c r="C93" s="17"/>
      <c r="D93" s="17"/>
      <c r="E93" s="17"/>
      <c r="F93" s="17"/>
      <c r="G93" s="17"/>
      <c r="H93" s="17"/>
      <c r="I93" s="17"/>
      <c r="J93" s="17"/>
      <c r="K93" s="17"/>
      <c r="L93" s="17"/>
      <c r="M93" s="17"/>
      <c r="N93" s="17"/>
      <c r="O93" s="17"/>
      <c r="P93" s="17"/>
      <c r="Q93" s="17"/>
      <c r="R93" s="17"/>
      <c r="S93" s="17"/>
      <c r="T93" s="17"/>
      <c r="U93" s="17"/>
      <c r="V93" s="17"/>
      <c r="W93" s="17"/>
      <c r="X93" s="17"/>
      <c r="Y93" s="17"/>
      <c r="Z93" s="17"/>
    </row>
    <row r="94" ht="15.75" customHeight="1">
      <c r="A94" s="17"/>
      <c r="B94" s="17"/>
      <c r="C94" s="17"/>
      <c r="D94" s="17"/>
      <c r="E94" s="17"/>
      <c r="F94" s="17"/>
      <c r="G94" s="17"/>
      <c r="H94" s="17"/>
      <c r="I94" s="17"/>
      <c r="J94" s="17"/>
      <c r="K94" s="17"/>
      <c r="L94" s="17"/>
      <c r="M94" s="17"/>
      <c r="N94" s="17"/>
      <c r="O94" s="17"/>
      <c r="P94" s="17"/>
      <c r="Q94" s="17"/>
      <c r="R94" s="17"/>
      <c r="S94" s="17"/>
      <c r="T94" s="17"/>
      <c r="U94" s="17"/>
      <c r="V94" s="17"/>
      <c r="W94" s="17"/>
      <c r="X94" s="17"/>
      <c r="Y94" s="17"/>
      <c r="Z94" s="17"/>
    </row>
    <row r="95" ht="15.75" customHeight="1">
      <c r="A95" s="17"/>
      <c r="B95" s="17"/>
      <c r="C95" s="17"/>
      <c r="D95" s="17"/>
      <c r="E95" s="17"/>
      <c r="F95" s="17"/>
      <c r="G95" s="17"/>
      <c r="H95" s="17"/>
      <c r="I95" s="17"/>
      <c r="J95" s="17"/>
      <c r="K95" s="17"/>
      <c r="L95" s="17"/>
      <c r="M95" s="17"/>
      <c r="N95" s="17"/>
      <c r="O95" s="17"/>
      <c r="P95" s="17"/>
      <c r="Q95" s="17"/>
      <c r="R95" s="17"/>
      <c r="S95" s="17"/>
      <c r="T95" s="17"/>
      <c r="U95" s="17"/>
      <c r="V95" s="17"/>
      <c r="W95" s="17"/>
      <c r="X95" s="17"/>
      <c r="Y95" s="17"/>
      <c r="Z95" s="17"/>
    </row>
    <row r="96" ht="15.75" customHeight="1">
      <c r="A96" s="17"/>
      <c r="B96" s="17"/>
      <c r="C96" s="17"/>
      <c r="D96" s="17"/>
      <c r="E96" s="17"/>
      <c r="F96" s="17"/>
      <c r="G96" s="17"/>
      <c r="H96" s="17"/>
      <c r="I96" s="17"/>
      <c r="J96" s="17"/>
      <c r="K96" s="17"/>
      <c r="L96" s="17"/>
      <c r="M96" s="17"/>
      <c r="N96" s="17"/>
      <c r="O96" s="17"/>
      <c r="P96" s="17"/>
      <c r="Q96" s="17"/>
      <c r="R96" s="17"/>
      <c r="S96" s="17"/>
      <c r="T96" s="17"/>
      <c r="U96" s="17"/>
      <c r="V96" s="17"/>
      <c r="W96" s="17"/>
      <c r="X96" s="17"/>
      <c r="Y96" s="17"/>
      <c r="Z96" s="17"/>
    </row>
    <row r="97" ht="15.75" customHeight="1">
      <c r="A97" s="17"/>
      <c r="B97" s="17"/>
      <c r="C97" s="17"/>
      <c r="D97" s="17"/>
      <c r="E97" s="17"/>
      <c r="F97" s="17"/>
      <c r="G97" s="17"/>
      <c r="H97" s="17"/>
      <c r="I97" s="17"/>
      <c r="J97" s="17"/>
      <c r="K97" s="17"/>
      <c r="L97" s="17"/>
      <c r="M97" s="17"/>
      <c r="N97" s="17"/>
      <c r="O97" s="17"/>
      <c r="P97" s="17"/>
      <c r="Q97" s="17"/>
      <c r="R97" s="17"/>
      <c r="S97" s="17"/>
      <c r="T97" s="17"/>
      <c r="U97" s="17"/>
      <c r="V97" s="17"/>
      <c r="W97" s="17"/>
      <c r="X97" s="17"/>
      <c r="Y97" s="17"/>
      <c r="Z97" s="17"/>
    </row>
    <row r="98" ht="15.75" customHeight="1">
      <c r="A98" s="17"/>
      <c r="B98" s="17"/>
      <c r="C98" s="17"/>
      <c r="D98" s="17"/>
      <c r="E98" s="17"/>
      <c r="F98" s="17"/>
      <c r="G98" s="17"/>
      <c r="H98" s="17"/>
      <c r="I98" s="17"/>
      <c r="J98" s="17"/>
      <c r="K98" s="17"/>
      <c r="L98" s="17"/>
      <c r="M98" s="17"/>
      <c r="N98" s="17"/>
      <c r="O98" s="17"/>
      <c r="P98" s="17"/>
      <c r="Q98" s="17"/>
      <c r="R98" s="17"/>
      <c r="S98" s="17"/>
      <c r="T98" s="17"/>
      <c r="U98" s="17"/>
      <c r="V98" s="17"/>
      <c r="W98" s="17"/>
      <c r="X98" s="17"/>
      <c r="Y98" s="17"/>
      <c r="Z98" s="17"/>
    </row>
    <row r="99" ht="15.75" customHeight="1">
      <c r="A99" s="17"/>
      <c r="B99" s="17"/>
      <c r="C99" s="17"/>
      <c r="D99" s="17"/>
      <c r="E99" s="17"/>
      <c r="F99" s="17"/>
      <c r="G99" s="17"/>
      <c r="H99" s="17"/>
      <c r="I99" s="17"/>
      <c r="J99" s="17"/>
      <c r="K99" s="17"/>
      <c r="L99" s="17"/>
      <c r="M99" s="17"/>
      <c r="N99" s="17"/>
      <c r="O99" s="17"/>
      <c r="P99" s="17"/>
      <c r="Q99" s="17"/>
      <c r="R99" s="17"/>
      <c r="S99" s="17"/>
      <c r="T99" s="17"/>
      <c r="U99" s="17"/>
      <c r="V99" s="17"/>
      <c r="W99" s="17"/>
      <c r="X99" s="17"/>
      <c r="Y99" s="17"/>
      <c r="Z99" s="17"/>
    </row>
    <row r="100" ht="15.75" customHeight="1">
      <c r="A100" s="17"/>
      <c r="B100" s="17"/>
      <c r="C100" s="17"/>
      <c r="D100" s="17"/>
      <c r="E100" s="17"/>
      <c r="F100" s="17"/>
      <c r="G100" s="17"/>
      <c r="H100" s="17"/>
      <c r="I100" s="17"/>
      <c r="J100" s="17"/>
      <c r="K100" s="17"/>
      <c r="L100" s="17"/>
      <c r="M100" s="17"/>
      <c r="N100" s="17"/>
      <c r="O100" s="17"/>
      <c r="P100" s="17"/>
      <c r="Q100" s="17"/>
      <c r="R100" s="17"/>
      <c r="S100" s="17"/>
      <c r="T100" s="17"/>
      <c r="U100" s="17"/>
      <c r="V100" s="17"/>
      <c r="W100" s="17"/>
      <c r="X100" s="17"/>
      <c r="Y100" s="17"/>
      <c r="Z100" s="17"/>
    </row>
    <row r="101" ht="15.75" customHeight="1">
      <c r="A101" s="17"/>
      <c r="B101" s="17"/>
      <c r="C101" s="17"/>
      <c r="D101" s="17"/>
      <c r="E101" s="17"/>
      <c r="F101" s="17"/>
      <c r="G101" s="17"/>
      <c r="H101" s="17"/>
      <c r="I101" s="17"/>
      <c r="J101" s="17"/>
      <c r="K101" s="17"/>
      <c r="L101" s="17"/>
      <c r="M101" s="17"/>
      <c r="N101" s="17"/>
      <c r="O101" s="17"/>
      <c r="P101" s="17"/>
      <c r="Q101" s="17"/>
      <c r="R101" s="17"/>
      <c r="S101" s="17"/>
      <c r="T101" s="17"/>
      <c r="U101" s="17"/>
      <c r="V101" s="17"/>
      <c r="W101" s="17"/>
      <c r="X101" s="17"/>
      <c r="Y101" s="17"/>
      <c r="Z101" s="17"/>
    </row>
    <row r="102" ht="15.75" customHeight="1">
      <c r="A102" s="17"/>
      <c r="B102" s="17"/>
      <c r="C102" s="17"/>
      <c r="D102" s="17"/>
      <c r="E102" s="17"/>
      <c r="F102" s="17"/>
      <c r="G102" s="17"/>
      <c r="H102" s="17"/>
      <c r="I102" s="17"/>
      <c r="J102" s="17"/>
      <c r="K102" s="17"/>
      <c r="L102" s="17"/>
      <c r="M102" s="17"/>
      <c r="N102" s="17"/>
      <c r="O102" s="17"/>
      <c r="P102" s="17"/>
      <c r="Q102" s="17"/>
      <c r="R102" s="17"/>
      <c r="S102" s="17"/>
      <c r="T102" s="17"/>
      <c r="U102" s="17"/>
      <c r="V102" s="17"/>
      <c r="W102" s="17"/>
      <c r="X102" s="17"/>
      <c r="Y102" s="17"/>
      <c r="Z102" s="17"/>
    </row>
    <row r="103" ht="15.75" customHeight="1">
      <c r="A103" s="17"/>
      <c r="B103" s="17"/>
      <c r="C103" s="17"/>
      <c r="D103" s="17"/>
      <c r="E103" s="17"/>
      <c r="F103" s="17"/>
      <c r="G103" s="17"/>
      <c r="H103" s="17"/>
      <c r="I103" s="17"/>
      <c r="J103" s="17"/>
      <c r="K103" s="17"/>
      <c r="L103" s="17"/>
      <c r="M103" s="17"/>
      <c r="N103" s="17"/>
      <c r="O103" s="17"/>
      <c r="P103" s="17"/>
      <c r="Q103" s="17"/>
      <c r="R103" s="17"/>
      <c r="S103" s="17"/>
      <c r="T103" s="17"/>
      <c r="U103" s="17"/>
      <c r="V103" s="17"/>
      <c r="W103" s="17"/>
      <c r="X103" s="17"/>
      <c r="Y103" s="17"/>
      <c r="Z103" s="17"/>
    </row>
    <row r="104" ht="15.75" customHeight="1">
      <c r="A104" s="17"/>
      <c r="B104" s="17"/>
      <c r="C104" s="17"/>
      <c r="D104" s="17"/>
      <c r="E104" s="17"/>
      <c r="F104" s="17"/>
      <c r="G104" s="17"/>
      <c r="H104" s="17"/>
      <c r="I104" s="17"/>
      <c r="J104" s="17"/>
      <c r="K104" s="17"/>
      <c r="L104" s="17"/>
      <c r="M104" s="17"/>
      <c r="N104" s="17"/>
      <c r="O104" s="17"/>
      <c r="P104" s="17"/>
      <c r="Q104" s="17"/>
      <c r="R104" s="17"/>
      <c r="S104" s="17"/>
      <c r="T104" s="17"/>
      <c r="U104" s="17"/>
      <c r="V104" s="17"/>
      <c r="W104" s="17"/>
      <c r="X104" s="17"/>
      <c r="Y104" s="17"/>
      <c r="Z104" s="17"/>
    </row>
    <row r="105" ht="15.75" customHeight="1">
      <c r="A105" s="17"/>
      <c r="B105" s="17"/>
      <c r="C105" s="17"/>
      <c r="D105" s="17"/>
      <c r="E105" s="17"/>
      <c r="F105" s="17"/>
      <c r="G105" s="17"/>
      <c r="H105" s="17"/>
      <c r="I105" s="17"/>
      <c r="J105" s="17"/>
      <c r="K105" s="17"/>
      <c r="L105" s="17"/>
      <c r="M105" s="17"/>
      <c r="N105" s="17"/>
      <c r="O105" s="17"/>
      <c r="P105" s="17"/>
      <c r="Q105" s="17"/>
      <c r="R105" s="17"/>
      <c r="S105" s="17"/>
      <c r="T105" s="17"/>
      <c r="U105" s="17"/>
      <c r="V105" s="17"/>
      <c r="W105" s="17"/>
      <c r="X105" s="17"/>
      <c r="Y105" s="17"/>
      <c r="Z105" s="17"/>
    </row>
    <row r="106" ht="15.75" customHeight="1">
      <c r="A106" s="17"/>
      <c r="B106" s="17"/>
      <c r="C106" s="17"/>
      <c r="D106" s="17"/>
      <c r="E106" s="17"/>
      <c r="F106" s="17"/>
      <c r="G106" s="17"/>
      <c r="H106" s="17"/>
      <c r="I106" s="17"/>
      <c r="J106" s="17"/>
      <c r="K106" s="17"/>
      <c r="L106" s="17"/>
      <c r="M106" s="17"/>
      <c r="N106" s="17"/>
      <c r="O106" s="17"/>
      <c r="P106" s="17"/>
      <c r="Q106" s="17"/>
      <c r="R106" s="17"/>
      <c r="S106" s="17"/>
      <c r="T106" s="17"/>
      <c r="U106" s="17"/>
      <c r="V106" s="17"/>
      <c r="W106" s="17"/>
      <c r="X106" s="17"/>
      <c r="Y106" s="17"/>
      <c r="Z106" s="17"/>
    </row>
    <row r="107" ht="15.75" customHeight="1">
      <c r="A107" s="17"/>
      <c r="B107" s="17"/>
      <c r="C107" s="17"/>
      <c r="D107" s="17"/>
      <c r="E107" s="17"/>
      <c r="F107" s="17"/>
      <c r="G107" s="17"/>
      <c r="H107" s="17"/>
      <c r="I107" s="17"/>
      <c r="J107" s="17"/>
      <c r="K107" s="17"/>
      <c r="L107" s="17"/>
      <c r="M107" s="17"/>
      <c r="N107" s="17"/>
      <c r="O107" s="17"/>
      <c r="P107" s="17"/>
      <c r="Q107" s="17"/>
      <c r="R107" s="17"/>
      <c r="S107" s="17"/>
      <c r="T107" s="17"/>
      <c r="U107" s="17"/>
      <c r="V107" s="17"/>
      <c r="W107" s="17"/>
      <c r="X107" s="17"/>
      <c r="Y107" s="17"/>
      <c r="Z107" s="17"/>
    </row>
    <row r="108" ht="15.75" customHeight="1">
      <c r="A108" s="17"/>
      <c r="B108" s="17"/>
      <c r="C108" s="17"/>
      <c r="D108" s="17"/>
      <c r="E108" s="17"/>
      <c r="F108" s="17"/>
      <c r="G108" s="17"/>
      <c r="H108" s="17"/>
      <c r="I108" s="17"/>
      <c r="J108" s="17"/>
      <c r="K108" s="17"/>
      <c r="L108" s="17"/>
      <c r="M108" s="17"/>
      <c r="N108" s="17"/>
      <c r="O108" s="17"/>
      <c r="P108" s="17"/>
      <c r="Q108" s="17"/>
      <c r="R108" s="17"/>
      <c r="S108" s="17"/>
      <c r="T108" s="17"/>
      <c r="U108" s="17"/>
      <c r="V108" s="17"/>
      <c r="W108" s="17"/>
      <c r="X108" s="17"/>
      <c r="Y108" s="17"/>
      <c r="Z108" s="17"/>
    </row>
    <row r="109" ht="15.75" customHeight="1">
      <c r="A109" s="17"/>
      <c r="B109" s="17"/>
      <c r="C109" s="17"/>
      <c r="D109" s="17"/>
      <c r="E109" s="17"/>
      <c r="F109" s="17"/>
      <c r="G109" s="17"/>
      <c r="H109" s="17"/>
      <c r="I109" s="17"/>
      <c r="J109" s="17"/>
      <c r="K109" s="17"/>
      <c r="L109" s="17"/>
      <c r="M109" s="17"/>
      <c r="N109" s="17"/>
      <c r="O109" s="17"/>
      <c r="P109" s="17"/>
      <c r="Q109" s="17"/>
      <c r="R109" s="17"/>
      <c r="S109" s="17"/>
      <c r="T109" s="17"/>
      <c r="U109" s="17"/>
      <c r="V109" s="17"/>
      <c r="W109" s="17"/>
      <c r="X109" s="17"/>
      <c r="Y109" s="17"/>
      <c r="Z109" s="17"/>
    </row>
    <row r="110" ht="15.75" customHeight="1">
      <c r="A110" s="17"/>
      <c r="B110" s="17"/>
      <c r="C110" s="17"/>
      <c r="D110" s="17"/>
      <c r="E110" s="17"/>
      <c r="F110" s="17"/>
      <c r="G110" s="17"/>
      <c r="H110" s="17"/>
      <c r="I110" s="17"/>
      <c r="J110" s="17"/>
      <c r="K110" s="17"/>
      <c r="L110" s="17"/>
      <c r="M110" s="17"/>
      <c r="N110" s="17"/>
      <c r="O110" s="17"/>
      <c r="P110" s="17"/>
      <c r="Q110" s="17"/>
      <c r="R110" s="17"/>
      <c r="S110" s="17"/>
      <c r="T110" s="17"/>
      <c r="U110" s="17"/>
      <c r="V110" s="17"/>
      <c r="W110" s="17"/>
      <c r="X110" s="17"/>
      <c r="Y110" s="17"/>
      <c r="Z110" s="17"/>
    </row>
    <row r="111" ht="15.75" customHeight="1">
      <c r="A111" s="17"/>
      <c r="B111" s="17"/>
      <c r="C111" s="17"/>
      <c r="D111" s="17"/>
      <c r="E111" s="17"/>
      <c r="F111" s="17"/>
      <c r="G111" s="17"/>
      <c r="H111" s="17"/>
      <c r="I111" s="17"/>
      <c r="J111" s="17"/>
      <c r="K111" s="17"/>
      <c r="L111" s="17"/>
      <c r="M111" s="17"/>
      <c r="N111" s="17"/>
      <c r="O111" s="17"/>
      <c r="P111" s="17"/>
      <c r="Q111" s="17"/>
      <c r="R111" s="17"/>
      <c r="S111" s="17"/>
      <c r="T111" s="17"/>
      <c r="U111" s="17"/>
      <c r="V111" s="17"/>
      <c r="W111" s="17"/>
      <c r="X111" s="17"/>
      <c r="Y111" s="17"/>
      <c r="Z111" s="17"/>
    </row>
    <row r="112" ht="15.75" customHeight="1">
      <c r="A112" s="17"/>
      <c r="B112" s="17"/>
      <c r="C112" s="17"/>
      <c r="D112" s="17"/>
      <c r="E112" s="17"/>
      <c r="F112" s="17"/>
      <c r="G112" s="17"/>
      <c r="H112" s="17"/>
      <c r="I112" s="17"/>
      <c r="J112" s="17"/>
      <c r="K112" s="17"/>
      <c r="L112" s="17"/>
      <c r="M112" s="17"/>
      <c r="N112" s="17"/>
      <c r="O112" s="17"/>
      <c r="P112" s="17"/>
      <c r="Q112" s="17"/>
      <c r="R112" s="17"/>
      <c r="S112" s="17"/>
      <c r="T112" s="17"/>
      <c r="U112" s="17"/>
      <c r="V112" s="17"/>
      <c r="W112" s="17"/>
      <c r="X112" s="17"/>
      <c r="Y112" s="17"/>
      <c r="Z112" s="17"/>
    </row>
    <row r="113" ht="15.75" customHeight="1">
      <c r="A113" s="17"/>
      <c r="B113" s="17"/>
      <c r="C113" s="17"/>
      <c r="D113" s="17"/>
      <c r="E113" s="17"/>
      <c r="F113" s="17"/>
      <c r="G113" s="17"/>
      <c r="H113" s="17"/>
      <c r="I113" s="17"/>
      <c r="J113" s="17"/>
      <c r="K113" s="17"/>
      <c r="L113" s="17"/>
      <c r="M113" s="17"/>
      <c r="N113" s="17"/>
      <c r="O113" s="17"/>
      <c r="P113" s="17"/>
      <c r="Q113" s="17"/>
      <c r="R113" s="17"/>
      <c r="S113" s="17"/>
      <c r="T113" s="17"/>
      <c r="U113" s="17"/>
      <c r="V113" s="17"/>
      <c r="W113" s="17"/>
      <c r="X113" s="17"/>
      <c r="Y113" s="17"/>
      <c r="Z113" s="17"/>
    </row>
    <row r="114" ht="15.75" customHeight="1">
      <c r="A114" s="17"/>
      <c r="B114" s="17"/>
      <c r="C114" s="17"/>
      <c r="D114" s="17"/>
      <c r="E114" s="17"/>
      <c r="F114" s="17"/>
      <c r="G114" s="17"/>
      <c r="H114" s="17"/>
      <c r="I114" s="17"/>
      <c r="J114" s="17"/>
      <c r="K114" s="17"/>
      <c r="L114" s="17"/>
      <c r="M114" s="17"/>
      <c r="N114" s="17"/>
      <c r="O114" s="17"/>
      <c r="P114" s="17"/>
      <c r="Q114" s="17"/>
      <c r="R114" s="17"/>
      <c r="S114" s="17"/>
      <c r="T114" s="17"/>
      <c r="U114" s="17"/>
      <c r="V114" s="17"/>
      <c r="W114" s="17"/>
      <c r="X114" s="17"/>
      <c r="Y114" s="17"/>
      <c r="Z114" s="17"/>
    </row>
    <row r="115" ht="15.75" customHeight="1">
      <c r="A115" s="17"/>
      <c r="B115" s="17"/>
      <c r="C115" s="17"/>
      <c r="D115" s="17"/>
      <c r="E115" s="17"/>
      <c r="F115" s="17"/>
      <c r="G115" s="17"/>
      <c r="H115" s="17"/>
      <c r="I115" s="17"/>
      <c r="J115" s="17"/>
      <c r="K115" s="17"/>
      <c r="L115" s="17"/>
      <c r="M115" s="17"/>
      <c r="N115" s="17"/>
      <c r="O115" s="17"/>
      <c r="P115" s="17"/>
      <c r="Q115" s="17"/>
      <c r="R115" s="17"/>
      <c r="S115" s="17"/>
      <c r="T115" s="17"/>
      <c r="U115" s="17"/>
      <c r="V115" s="17"/>
      <c r="W115" s="17"/>
      <c r="X115" s="17"/>
      <c r="Y115" s="17"/>
      <c r="Z115" s="17"/>
    </row>
    <row r="116" ht="15.75" customHeight="1">
      <c r="A116" s="17"/>
      <c r="B116" s="17"/>
      <c r="C116" s="17"/>
      <c r="D116" s="17"/>
      <c r="E116" s="17"/>
      <c r="F116" s="17"/>
      <c r="G116" s="17"/>
      <c r="H116" s="17"/>
      <c r="I116" s="17"/>
      <c r="J116" s="17"/>
      <c r="K116" s="17"/>
      <c r="L116" s="17"/>
      <c r="M116" s="17"/>
      <c r="N116" s="17"/>
      <c r="O116" s="17"/>
      <c r="P116" s="17"/>
      <c r="Q116" s="17"/>
      <c r="R116" s="17"/>
      <c r="S116" s="17"/>
      <c r="T116" s="17"/>
      <c r="U116" s="17"/>
      <c r="V116" s="17"/>
      <c r="W116" s="17"/>
      <c r="X116" s="17"/>
      <c r="Y116" s="17"/>
      <c r="Z116" s="17"/>
    </row>
    <row r="117" ht="15.75" customHeight="1">
      <c r="A117" s="17"/>
      <c r="B117" s="17"/>
      <c r="C117" s="17"/>
      <c r="D117" s="17"/>
      <c r="E117" s="17"/>
      <c r="F117" s="17"/>
      <c r="G117" s="17"/>
      <c r="H117" s="17"/>
      <c r="I117" s="17"/>
      <c r="J117" s="17"/>
      <c r="K117" s="17"/>
      <c r="L117" s="17"/>
      <c r="M117" s="17"/>
      <c r="N117" s="17"/>
      <c r="O117" s="17"/>
      <c r="P117" s="17"/>
      <c r="Q117" s="17"/>
      <c r="R117" s="17"/>
      <c r="S117" s="17"/>
      <c r="T117" s="17"/>
      <c r="U117" s="17"/>
      <c r="V117" s="17"/>
      <c r="W117" s="17"/>
      <c r="X117" s="17"/>
      <c r="Y117" s="17"/>
      <c r="Z117" s="17"/>
    </row>
    <row r="118" ht="15.75" customHeight="1">
      <c r="A118" s="17"/>
      <c r="B118" s="17"/>
      <c r="C118" s="17"/>
      <c r="D118" s="17"/>
      <c r="E118" s="17"/>
      <c r="F118" s="17"/>
      <c r="G118" s="17"/>
      <c r="H118" s="17"/>
      <c r="I118" s="17"/>
      <c r="J118" s="17"/>
      <c r="K118" s="17"/>
      <c r="L118" s="17"/>
      <c r="M118" s="17"/>
      <c r="N118" s="17"/>
      <c r="O118" s="17"/>
      <c r="P118" s="17"/>
      <c r="Q118" s="17"/>
      <c r="R118" s="17"/>
      <c r="S118" s="17"/>
      <c r="T118" s="17"/>
      <c r="U118" s="17"/>
      <c r="V118" s="17"/>
      <c r="W118" s="17"/>
      <c r="X118" s="17"/>
      <c r="Y118" s="17"/>
      <c r="Z118" s="17"/>
    </row>
    <row r="119" ht="15.75" customHeight="1">
      <c r="A119" s="17"/>
      <c r="B119" s="17"/>
      <c r="C119" s="17"/>
      <c r="D119" s="17"/>
      <c r="E119" s="17"/>
      <c r="F119" s="17"/>
      <c r="G119" s="17"/>
      <c r="H119" s="17"/>
      <c r="I119" s="17"/>
      <c r="J119" s="17"/>
      <c r="K119" s="17"/>
      <c r="L119" s="17"/>
      <c r="M119" s="17"/>
      <c r="N119" s="17"/>
      <c r="O119" s="17"/>
      <c r="P119" s="17"/>
      <c r="Q119" s="17"/>
      <c r="R119" s="17"/>
      <c r="S119" s="17"/>
      <c r="T119" s="17"/>
      <c r="U119" s="17"/>
      <c r="V119" s="17"/>
      <c r="W119" s="17"/>
      <c r="X119" s="17"/>
      <c r="Y119" s="17"/>
      <c r="Z119" s="17"/>
    </row>
    <row r="120" ht="15.75" customHeight="1">
      <c r="A120" s="17"/>
      <c r="B120" s="17"/>
      <c r="C120" s="17"/>
      <c r="D120" s="17"/>
      <c r="E120" s="17"/>
      <c r="F120" s="17"/>
      <c r="G120" s="17"/>
      <c r="H120" s="17"/>
      <c r="I120" s="17"/>
      <c r="J120" s="17"/>
      <c r="K120" s="17"/>
      <c r="L120" s="17"/>
      <c r="M120" s="17"/>
      <c r="N120" s="17"/>
      <c r="O120" s="17"/>
      <c r="P120" s="17"/>
      <c r="Q120" s="17"/>
      <c r="R120" s="17"/>
      <c r="S120" s="17"/>
      <c r="T120" s="17"/>
      <c r="U120" s="17"/>
      <c r="V120" s="17"/>
      <c r="W120" s="17"/>
      <c r="X120" s="17"/>
      <c r="Y120" s="17"/>
      <c r="Z120" s="17"/>
    </row>
    <row r="121" ht="15.75" customHeight="1">
      <c r="A121" s="17"/>
      <c r="B121" s="17"/>
      <c r="C121" s="17"/>
      <c r="D121" s="17"/>
      <c r="E121" s="17"/>
      <c r="F121" s="17"/>
      <c r="G121" s="17"/>
      <c r="H121" s="17"/>
      <c r="I121" s="17"/>
      <c r="J121" s="17"/>
      <c r="K121" s="17"/>
      <c r="L121" s="17"/>
      <c r="M121" s="17"/>
      <c r="N121" s="17"/>
      <c r="O121" s="17"/>
      <c r="P121" s="17"/>
      <c r="Q121" s="17"/>
      <c r="R121" s="17"/>
      <c r="S121" s="17"/>
      <c r="T121" s="17"/>
      <c r="U121" s="17"/>
      <c r="V121" s="17"/>
      <c r="W121" s="17"/>
      <c r="X121" s="17"/>
      <c r="Y121" s="17"/>
      <c r="Z121" s="17"/>
    </row>
    <row r="122" ht="15.75" customHeight="1">
      <c r="A122" s="17"/>
      <c r="B122" s="17"/>
      <c r="C122" s="17"/>
      <c r="D122" s="17"/>
      <c r="E122" s="17"/>
      <c r="F122" s="17"/>
      <c r="G122" s="17"/>
      <c r="H122" s="17"/>
      <c r="I122" s="17"/>
      <c r="J122" s="17"/>
      <c r="K122" s="17"/>
      <c r="L122" s="17"/>
      <c r="M122" s="17"/>
      <c r="N122" s="17"/>
      <c r="O122" s="17"/>
      <c r="P122" s="17"/>
      <c r="Q122" s="17"/>
      <c r="R122" s="17"/>
      <c r="S122" s="17"/>
      <c r="T122" s="17"/>
      <c r="U122" s="17"/>
      <c r="V122" s="17"/>
      <c r="W122" s="17"/>
      <c r="X122" s="17"/>
      <c r="Y122" s="17"/>
      <c r="Z122" s="17"/>
    </row>
    <row r="123" ht="15.75" customHeight="1">
      <c r="A123" s="17"/>
      <c r="B123" s="17"/>
      <c r="C123" s="17"/>
      <c r="D123" s="17"/>
      <c r="E123" s="17"/>
      <c r="F123" s="17"/>
      <c r="G123" s="17"/>
      <c r="H123" s="17"/>
      <c r="I123" s="17"/>
      <c r="J123" s="17"/>
      <c r="K123" s="17"/>
      <c r="L123" s="17"/>
      <c r="M123" s="17"/>
      <c r="N123" s="17"/>
      <c r="O123" s="17"/>
      <c r="P123" s="17"/>
      <c r="Q123" s="17"/>
      <c r="R123" s="17"/>
      <c r="S123" s="17"/>
      <c r="T123" s="17"/>
      <c r="U123" s="17"/>
      <c r="V123" s="17"/>
      <c r="W123" s="17"/>
      <c r="X123" s="17"/>
      <c r="Y123" s="17"/>
      <c r="Z123" s="17"/>
    </row>
    <row r="124" ht="15.75" customHeight="1">
      <c r="A124" s="17"/>
      <c r="B124" s="17"/>
      <c r="C124" s="17"/>
      <c r="D124" s="17"/>
      <c r="E124" s="17"/>
      <c r="F124" s="17"/>
      <c r="G124" s="17"/>
      <c r="H124" s="17"/>
      <c r="I124" s="17"/>
      <c r="J124" s="17"/>
      <c r="K124" s="17"/>
      <c r="L124" s="17"/>
      <c r="M124" s="17"/>
      <c r="N124" s="17"/>
      <c r="O124" s="17"/>
      <c r="P124" s="17"/>
      <c r="Q124" s="17"/>
      <c r="R124" s="17"/>
      <c r="S124" s="17"/>
      <c r="T124" s="17"/>
      <c r="U124" s="17"/>
      <c r="V124" s="17"/>
      <c r="W124" s="17"/>
      <c r="X124" s="17"/>
      <c r="Y124" s="17"/>
      <c r="Z124" s="17"/>
    </row>
    <row r="125" ht="15.75" customHeight="1">
      <c r="A125" s="17"/>
      <c r="B125" s="17"/>
      <c r="C125" s="17"/>
      <c r="D125" s="17"/>
      <c r="E125" s="17"/>
      <c r="F125" s="17"/>
      <c r="G125" s="17"/>
      <c r="H125" s="17"/>
      <c r="I125" s="17"/>
      <c r="J125" s="17"/>
      <c r="K125" s="17"/>
      <c r="L125" s="17"/>
      <c r="M125" s="17"/>
      <c r="N125" s="17"/>
      <c r="O125" s="17"/>
      <c r="P125" s="17"/>
      <c r="Q125" s="17"/>
      <c r="R125" s="17"/>
      <c r="S125" s="17"/>
      <c r="T125" s="17"/>
      <c r="U125" s="17"/>
      <c r="V125" s="17"/>
      <c r="W125" s="17"/>
      <c r="X125" s="17"/>
      <c r="Y125" s="17"/>
      <c r="Z125" s="17"/>
    </row>
    <row r="126" ht="15.75" customHeight="1">
      <c r="A126" s="17"/>
      <c r="B126" s="17"/>
      <c r="C126" s="17"/>
      <c r="D126" s="17"/>
      <c r="E126" s="17"/>
      <c r="F126" s="17"/>
      <c r="G126" s="17"/>
      <c r="H126" s="17"/>
      <c r="I126" s="17"/>
      <c r="J126" s="17"/>
      <c r="K126" s="17"/>
      <c r="L126" s="17"/>
      <c r="M126" s="17"/>
      <c r="N126" s="17"/>
      <c r="O126" s="17"/>
      <c r="P126" s="17"/>
      <c r="Q126" s="17"/>
      <c r="R126" s="17"/>
      <c r="S126" s="17"/>
      <c r="T126" s="17"/>
      <c r="U126" s="17"/>
      <c r="V126" s="17"/>
      <c r="W126" s="17"/>
      <c r="X126" s="17"/>
      <c r="Y126" s="17"/>
      <c r="Z126" s="17"/>
    </row>
    <row r="127" ht="15.75" customHeight="1">
      <c r="A127" s="17"/>
      <c r="B127" s="17"/>
      <c r="C127" s="17"/>
      <c r="D127" s="17"/>
      <c r="E127" s="17"/>
      <c r="F127" s="17"/>
      <c r="G127" s="17"/>
      <c r="H127" s="17"/>
      <c r="I127" s="17"/>
      <c r="J127" s="17"/>
      <c r="K127" s="17"/>
      <c r="L127" s="17"/>
      <c r="M127" s="17"/>
      <c r="N127" s="17"/>
      <c r="O127" s="17"/>
      <c r="P127" s="17"/>
      <c r="Q127" s="17"/>
      <c r="R127" s="17"/>
      <c r="S127" s="17"/>
      <c r="T127" s="17"/>
      <c r="U127" s="17"/>
      <c r="V127" s="17"/>
      <c r="W127" s="17"/>
      <c r="X127" s="17"/>
      <c r="Y127" s="17"/>
      <c r="Z127" s="17"/>
    </row>
    <row r="128" ht="15.75" customHeight="1">
      <c r="A128" s="17"/>
      <c r="B128" s="17"/>
      <c r="C128" s="17"/>
      <c r="D128" s="17"/>
      <c r="E128" s="17"/>
      <c r="F128" s="17"/>
      <c r="G128" s="17"/>
      <c r="H128" s="17"/>
      <c r="I128" s="17"/>
      <c r="J128" s="17"/>
      <c r="K128" s="17"/>
      <c r="L128" s="17"/>
      <c r="M128" s="17"/>
      <c r="N128" s="17"/>
      <c r="O128" s="17"/>
      <c r="P128" s="17"/>
      <c r="Q128" s="17"/>
      <c r="R128" s="17"/>
      <c r="S128" s="17"/>
      <c r="T128" s="17"/>
      <c r="U128" s="17"/>
      <c r="V128" s="17"/>
      <c r="W128" s="17"/>
      <c r="X128" s="17"/>
      <c r="Y128" s="17"/>
      <c r="Z128" s="17"/>
    </row>
    <row r="129" ht="15.75" customHeight="1">
      <c r="A129" s="17"/>
      <c r="B129" s="17"/>
      <c r="C129" s="17"/>
      <c r="D129" s="17"/>
      <c r="E129" s="17"/>
      <c r="F129" s="17"/>
      <c r="G129" s="17"/>
      <c r="H129" s="17"/>
      <c r="I129" s="17"/>
      <c r="J129" s="17"/>
      <c r="K129" s="17"/>
      <c r="L129" s="17"/>
      <c r="M129" s="17"/>
      <c r="N129" s="17"/>
      <c r="O129" s="17"/>
      <c r="P129" s="17"/>
      <c r="Q129" s="17"/>
      <c r="R129" s="17"/>
      <c r="S129" s="17"/>
      <c r="T129" s="17"/>
      <c r="U129" s="17"/>
      <c r="V129" s="17"/>
      <c r="W129" s="17"/>
      <c r="X129" s="17"/>
      <c r="Y129" s="17"/>
      <c r="Z129" s="17"/>
    </row>
    <row r="130" ht="15.75" customHeight="1">
      <c r="A130" s="17"/>
      <c r="B130" s="17"/>
      <c r="C130" s="17"/>
      <c r="D130" s="17"/>
      <c r="E130" s="17"/>
      <c r="F130" s="17"/>
      <c r="G130" s="17"/>
      <c r="H130" s="17"/>
      <c r="I130" s="17"/>
      <c r="J130" s="17"/>
      <c r="K130" s="17"/>
      <c r="L130" s="17"/>
      <c r="M130" s="17"/>
      <c r="N130" s="17"/>
      <c r="O130" s="17"/>
      <c r="P130" s="17"/>
      <c r="Q130" s="17"/>
      <c r="R130" s="17"/>
      <c r="S130" s="17"/>
      <c r="T130" s="17"/>
      <c r="U130" s="17"/>
      <c r="V130" s="17"/>
      <c r="W130" s="17"/>
      <c r="X130" s="17"/>
      <c r="Y130" s="17"/>
      <c r="Z130" s="17"/>
    </row>
    <row r="131" ht="15.75" customHeight="1">
      <c r="A131" s="17"/>
      <c r="B131" s="17"/>
      <c r="C131" s="17"/>
      <c r="D131" s="17"/>
      <c r="E131" s="17"/>
      <c r="F131" s="17"/>
      <c r="G131" s="17"/>
      <c r="H131" s="17"/>
      <c r="I131" s="17"/>
      <c r="J131" s="17"/>
      <c r="K131" s="17"/>
      <c r="L131" s="17"/>
      <c r="M131" s="17"/>
      <c r="N131" s="17"/>
      <c r="O131" s="17"/>
      <c r="P131" s="17"/>
      <c r="Q131" s="17"/>
      <c r="R131" s="17"/>
      <c r="S131" s="17"/>
      <c r="T131" s="17"/>
      <c r="U131" s="17"/>
      <c r="V131" s="17"/>
      <c r="W131" s="17"/>
      <c r="X131" s="17"/>
      <c r="Y131" s="17"/>
      <c r="Z131" s="17"/>
    </row>
    <row r="132" ht="15.75" customHeight="1">
      <c r="A132" s="17"/>
      <c r="B132" s="17"/>
      <c r="C132" s="17"/>
      <c r="D132" s="17"/>
      <c r="E132" s="17"/>
      <c r="F132" s="17"/>
      <c r="G132" s="17"/>
      <c r="H132" s="17"/>
      <c r="I132" s="17"/>
      <c r="J132" s="17"/>
      <c r="K132" s="17"/>
      <c r="L132" s="17"/>
      <c r="M132" s="17"/>
      <c r="N132" s="17"/>
      <c r="O132" s="17"/>
      <c r="P132" s="17"/>
      <c r="Q132" s="17"/>
      <c r="R132" s="17"/>
      <c r="S132" s="17"/>
      <c r="T132" s="17"/>
      <c r="U132" s="17"/>
      <c r="V132" s="17"/>
      <c r="W132" s="17"/>
      <c r="X132" s="17"/>
      <c r="Y132" s="17"/>
      <c r="Z132" s="17"/>
    </row>
    <row r="133" ht="15.75" customHeight="1">
      <c r="A133" s="17"/>
      <c r="B133" s="17"/>
      <c r="C133" s="17"/>
      <c r="D133" s="17"/>
      <c r="E133" s="17"/>
      <c r="F133" s="17"/>
      <c r="G133" s="17"/>
      <c r="H133" s="17"/>
      <c r="I133" s="17"/>
      <c r="J133" s="17"/>
      <c r="K133" s="17"/>
      <c r="L133" s="17"/>
      <c r="M133" s="17"/>
      <c r="N133" s="17"/>
      <c r="O133" s="17"/>
      <c r="P133" s="17"/>
      <c r="Q133" s="17"/>
      <c r="R133" s="17"/>
      <c r="S133" s="17"/>
      <c r="T133" s="17"/>
      <c r="U133" s="17"/>
      <c r="V133" s="17"/>
      <c r="W133" s="17"/>
      <c r="X133" s="17"/>
      <c r="Y133" s="17"/>
      <c r="Z133" s="17"/>
    </row>
    <row r="134" ht="15.75" customHeight="1">
      <c r="A134" s="17"/>
      <c r="B134" s="17"/>
      <c r="C134" s="17"/>
      <c r="D134" s="17"/>
      <c r="E134" s="17"/>
      <c r="F134" s="17"/>
      <c r="G134" s="17"/>
      <c r="H134" s="17"/>
      <c r="I134" s="17"/>
      <c r="J134" s="17"/>
      <c r="K134" s="17"/>
      <c r="L134" s="17"/>
      <c r="M134" s="17"/>
      <c r="N134" s="17"/>
      <c r="O134" s="17"/>
      <c r="P134" s="17"/>
      <c r="Q134" s="17"/>
      <c r="R134" s="17"/>
      <c r="S134" s="17"/>
      <c r="T134" s="17"/>
      <c r="U134" s="17"/>
      <c r="V134" s="17"/>
      <c r="W134" s="17"/>
      <c r="X134" s="17"/>
      <c r="Y134" s="17"/>
      <c r="Z134" s="17"/>
    </row>
    <row r="135" ht="15.75" customHeight="1">
      <c r="A135" s="17"/>
      <c r="B135" s="17"/>
      <c r="C135" s="17"/>
      <c r="D135" s="17"/>
      <c r="E135" s="17"/>
      <c r="F135" s="17"/>
      <c r="G135" s="17"/>
      <c r="H135" s="17"/>
      <c r="I135" s="17"/>
      <c r="J135" s="17"/>
      <c r="K135" s="17"/>
      <c r="L135" s="17"/>
      <c r="M135" s="17"/>
      <c r="N135" s="17"/>
      <c r="O135" s="17"/>
      <c r="P135" s="17"/>
      <c r="Q135" s="17"/>
      <c r="R135" s="17"/>
      <c r="S135" s="17"/>
      <c r="T135" s="17"/>
      <c r="U135" s="17"/>
      <c r="V135" s="17"/>
      <c r="W135" s="17"/>
      <c r="X135" s="17"/>
      <c r="Y135" s="17"/>
      <c r="Z135" s="17"/>
    </row>
    <row r="136" ht="15.75" customHeight="1">
      <c r="A136" s="17"/>
      <c r="B136" s="17"/>
      <c r="C136" s="17"/>
      <c r="D136" s="17"/>
      <c r="E136" s="17"/>
      <c r="F136" s="17"/>
      <c r="G136" s="17"/>
      <c r="H136" s="17"/>
      <c r="I136" s="17"/>
      <c r="J136" s="17"/>
      <c r="K136" s="17"/>
      <c r="L136" s="17"/>
      <c r="M136" s="17"/>
      <c r="N136" s="17"/>
      <c r="O136" s="17"/>
      <c r="P136" s="17"/>
      <c r="Q136" s="17"/>
      <c r="R136" s="17"/>
      <c r="S136" s="17"/>
      <c r="T136" s="17"/>
      <c r="U136" s="17"/>
      <c r="V136" s="17"/>
      <c r="W136" s="17"/>
      <c r="X136" s="17"/>
      <c r="Y136" s="17"/>
      <c r="Z136" s="17"/>
    </row>
    <row r="137" ht="15.75" customHeight="1">
      <c r="A137" s="17"/>
      <c r="B137" s="17"/>
      <c r="C137" s="17"/>
      <c r="D137" s="17"/>
      <c r="E137" s="17"/>
      <c r="F137" s="17"/>
      <c r="G137" s="17"/>
      <c r="H137" s="17"/>
      <c r="I137" s="17"/>
      <c r="J137" s="17"/>
      <c r="K137" s="17"/>
      <c r="L137" s="17"/>
      <c r="M137" s="17"/>
      <c r="N137" s="17"/>
      <c r="O137" s="17"/>
      <c r="P137" s="17"/>
      <c r="Q137" s="17"/>
      <c r="R137" s="17"/>
      <c r="S137" s="17"/>
      <c r="T137" s="17"/>
      <c r="U137" s="17"/>
      <c r="V137" s="17"/>
      <c r="W137" s="17"/>
      <c r="X137" s="17"/>
      <c r="Y137" s="17"/>
      <c r="Z137" s="17"/>
    </row>
    <row r="138" ht="15.75" customHeight="1">
      <c r="A138" s="17"/>
      <c r="B138" s="17"/>
      <c r="C138" s="17"/>
      <c r="D138" s="17"/>
      <c r="E138" s="17"/>
      <c r="F138" s="17"/>
      <c r="G138" s="17"/>
      <c r="H138" s="17"/>
      <c r="I138" s="17"/>
      <c r="J138" s="17"/>
      <c r="K138" s="17"/>
      <c r="L138" s="17"/>
      <c r="M138" s="17"/>
      <c r="N138" s="17"/>
      <c r="O138" s="17"/>
      <c r="P138" s="17"/>
      <c r="Q138" s="17"/>
      <c r="R138" s="17"/>
      <c r="S138" s="17"/>
      <c r="T138" s="17"/>
      <c r="U138" s="17"/>
      <c r="V138" s="17"/>
      <c r="W138" s="17"/>
      <c r="X138" s="17"/>
      <c r="Y138" s="17"/>
      <c r="Z138" s="17"/>
    </row>
    <row r="139" ht="15.75" customHeight="1">
      <c r="A139" s="17"/>
      <c r="B139" s="17"/>
      <c r="C139" s="17"/>
      <c r="D139" s="17"/>
      <c r="E139" s="17"/>
      <c r="F139" s="17"/>
      <c r="G139" s="17"/>
      <c r="H139" s="17"/>
      <c r="I139" s="17"/>
      <c r="J139" s="17"/>
      <c r="K139" s="17"/>
      <c r="L139" s="17"/>
      <c r="M139" s="17"/>
      <c r="N139" s="17"/>
      <c r="O139" s="17"/>
      <c r="P139" s="17"/>
      <c r="Q139" s="17"/>
      <c r="R139" s="17"/>
      <c r="S139" s="17"/>
      <c r="T139" s="17"/>
      <c r="U139" s="17"/>
      <c r="V139" s="17"/>
      <c r="W139" s="17"/>
      <c r="X139" s="17"/>
      <c r="Y139" s="17"/>
      <c r="Z139" s="17"/>
    </row>
    <row r="140" ht="15.75" customHeight="1">
      <c r="A140" s="17"/>
      <c r="B140" s="17"/>
      <c r="C140" s="17"/>
      <c r="D140" s="17"/>
      <c r="E140" s="17"/>
      <c r="F140" s="17"/>
      <c r="G140" s="17"/>
      <c r="H140" s="17"/>
      <c r="I140" s="17"/>
      <c r="J140" s="17"/>
      <c r="K140" s="17"/>
      <c r="L140" s="17"/>
      <c r="M140" s="17"/>
      <c r="N140" s="17"/>
      <c r="O140" s="17"/>
      <c r="P140" s="17"/>
      <c r="Q140" s="17"/>
      <c r="R140" s="17"/>
      <c r="S140" s="17"/>
      <c r="T140" s="17"/>
      <c r="U140" s="17"/>
      <c r="V140" s="17"/>
      <c r="W140" s="17"/>
      <c r="X140" s="17"/>
      <c r="Y140" s="17"/>
      <c r="Z140" s="17"/>
    </row>
    <row r="141" ht="15.75" customHeight="1">
      <c r="A141" s="17"/>
      <c r="B141" s="17"/>
      <c r="C141" s="17"/>
      <c r="D141" s="17"/>
      <c r="E141" s="17"/>
      <c r="F141" s="17"/>
      <c r="G141" s="17"/>
      <c r="H141" s="17"/>
      <c r="I141" s="17"/>
      <c r="J141" s="17"/>
      <c r="K141" s="17"/>
      <c r="L141" s="17"/>
      <c r="M141" s="17"/>
      <c r="N141" s="17"/>
      <c r="O141" s="17"/>
      <c r="P141" s="17"/>
      <c r="Q141" s="17"/>
      <c r="R141" s="17"/>
      <c r="S141" s="17"/>
      <c r="T141" s="17"/>
      <c r="U141" s="17"/>
      <c r="V141" s="17"/>
      <c r="W141" s="17"/>
      <c r="X141" s="17"/>
      <c r="Y141" s="17"/>
      <c r="Z141" s="17"/>
    </row>
    <row r="142" ht="15.75" customHeight="1">
      <c r="A142" s="17"/>
      <c r="B142" s="17"/>
      <c r="C142" s="17"/>
      <c r="D142" s="17"/>
      <c r="E142" s="17"/>
      <c r="F142" s="17"/>
      <c r="G142" s="17"/>
      <c r="H142" s="17"/>
      <c r="I142" s="17"/>
      <c r="J142" s="17"/>
      <c r="K142" s="17"/>
      <c r="L142" s="17"/>
      <c r="M142" s="17"/>
      <c r="N142" s="17"/>
      <c r="O142" s="17"/>
      <c r="P142" s="17"/>
      <c r="Q142" s="17"/>
      <c r="R142" s="17"/>
      <c r="S142" s="17"/>
      <c r="T142" s="17"/>
      <c r="U142" s="17"/>
      <c r="V142" s="17"/>
      <c r="W142" s="17"/>
      <c r="X142" s="17"/>
      <c r="Y142" s="17"/>
      <c r="Z142" s="17"/>
    </row>
    <row r="143" ht="15.75" customHeight="1">
      <c r="A143" s="17"/>
      <c r="B143" s="17"/>
      <c r="C143" s="17"/>
      <c r="D143" s="17"/>
      <c r="E143" s="17"/>
      <c r="F143" s="17"/>
      <c r="G143" s="17"/>
      <c r="H143" s="17"/>
      <c r="I143" s="17"/>
      <c r="J143" s="17"/>
      <c r="K143" s="17"/>
      <c r="L143" s="17"/>
      <c r="M143" s="17"/>
      <c r="N143" s="17"/>
      <c r="O143" s="17"/>
      <c r="P143" s="17"/>
      <c r="Q143" s="17"/>
      <c r="R143" s="17"/>
      <c r="S143" s="17"/>
      <c r="T143" s="17"/>
      <c r="U143" s="17"/>
      <c r="V143" s="17"/>
      <c r="W143" s="17"/>
      <c r="X143" s="17"/>
      <c r="Y143" s="17"/>
      <c r="Z143" s="17"/>
    </row>
    <row r="144" ht="15.75" customHeight="1">
      <c r="A144" s="17"/>
      <c r="B144" s="17"/>
      <c r="C144" s="17"/>
      <c r="D144" s="17"/>
      <c r="E144" s="17"/>
      <c r="F144" s="17"/>
      <c r="G144" s="17"/>
      <c r="H144" s="17"/>
      <c r="I144" s="17"/>
      <c r="J144" s="17"/>
      <c r="K144" s="17"/>
      <c r="L144" s="17"/>
      <c r="M144" s="17"/>
      <c r="N144" s="17"/>
      <c r="O144" s="17"/>
      <c r="P144" s="17"/>
      <c r="Q144" s="17"/>
      <c r="R144" s="17"/>
      <c r="S144" s="17"/>
      <c r="T144" s="17"/>
      <c r="U144" s="17"/>
      <c r="V144" s="17"/>
      <c r="W144" s="17"/>
      <c r="X144" s="17"/>
      <c r="Y144" s="17"/>
      <c r="Z144" s="17"/>
    </row>
    <row r="145" ht="15.75" customHeight="1">
      <c r="A145" s="17"/>
      <c r="B145" s="17"/>
      <c r="C145" s="17"/>
      <c r="D145" s="17"/>
      <c r="E145" s="17"/>
      <c r="F145" s="17"/>
      <c r="G145" s="17"/>
      <c r="H145" s="17"/>
      <c r="I145" s="17"/>
      <c r="J145" s="17"/>
      <c r="K145" s="17"/>
      <c r="L145" s="17"/>
      <c r="M145" s="17"/>
      <c r="N145" s="17"/>
      <c r="O145" s="17"/>
      <c r="P145" s="17"/>
      <c r="Q145" s="17"/>
      <c r="R145" s="17"/>
      <c r="S145" s="17"/>
      <c r="T145" s="17"/>
      <c r="U145" s="17"/>
      <c r="V145" s="17"/>
      <c r="W145" s="17"/>
      <c r="X145" s="17"/>
      <c r="Y145" s="17"/>
      <c r="Z145" s="17"/>
    </row>
    <row r="146" ht="15.75" customHeight="1">
      <c r="A146" s="17"/>
      <c r="B146" s="17"/>
      <c r="C146" s="17"/>
      <c r="D146" s="17"/>
      <c r="E146" s="17"/>
      <c r="F146" s="17"/>
      <c r="G146" s="17"/>
      <c r="H146" s="17"/>
      <c r="I146" s="17"/>
      <c r="J146" s="17"/>
      <c r="K146" s="17"/>
      <c r="L146" s="17"/>
      <c r="M146" s="17"/>
      <c r="N146" s="17"/>
      <c r="O146" s="17"/>
      <c r="P146" s="17"/>
      <c r="Q146" s="17"/>
      <c r="R146" s="17"/>
      <c r="S146" s="17"/>
      <c r="T146" s="17"/>
      <c r="U146" s="17"/>
      <c r="V146" s="17"/>
      <c r="W146" s="17"/>
      <c r="X146" s="17"/>
      <c r="Y146" s="17"/>
      <c r="Z146" s="17"/>
    </row>
    <row r="147" ht="15.75" customHeight="1">
      <c r="A147" s="17"/>
      <c r="B147" s="17"/>
      <c r="C147" s="17"/>
      <c r="D147" s="17"/>
      <c r="E147" s="17"/>
      <c r="F147" s="17"/>
      <c r="G147" s="17"/>
      <c r="H147" s="17"/>
      <c r="I147" s="17"/>
      <c r="J147" s="17"/>
      <c r="K147" s="17"/>
      <c r="L147" s="17"/>
      <c r="M147" s="17"/>
      <c r="N147" s="17"/>
      <c r="O147" s="17"/>
      <c r="P147" s="17"/>
      <c r="Q147" s="17"/>
      <c r="R147" s="17"/>
      <c r="S147" s="17"/>
      <c r="T147" s="17"/>
      <c r="U147" s="17"/>
      <c r="V147" s="17"/>
      <c r="W147" s="17"/>
      <c r="X147" s="17"/>
      <c r="Y147" s="17"/>
      <c r="Z147" s="17"/>
    </row>
    <row r="148" ht="15.75" customHeight="1">
      <c r="A148" s="17"/>
      <c r="B148" s="17"/>
      <c r="C148" s="17"/>
      <c r="D148" s="17"/>
      <c r="E148" s="17"/>
      <c r="F148" s="17"/>
      <c r="G148" s="17"/>
      <c r="H148" s="17"/>
      <c r="I148" s="17"/>
      <c r="J148" s="17"/>
      <c r="K148" s="17"/>
      <c r="L148" s="17"/>
      <c r="M148" s="17"/>
      <c r="N148" s="17"/>
      <c r="O148" s="17"/>
      <c r="P148" s="17"/>
      <c r="Q148" s="17"/>
      <c r="R148" s="17"/>
      <c r="S148" s="17"/>
      <c r="T148" s="17"/>
      <c r="U148" s="17"/>
      <c r="V148" s="17"/>
      <c r="W148" s="17"/>
      <c r="X148" s="17"/>
      <c r="Y148" s="17"/>
      <c r="Z148" s="17"/>
    </row>
    <row r="149" ht="15.75" customHeight="1">
      <c r="A149" s="17"/>
      <c r="B149" s="17"/>
      <c r="C149" s="17"/>
      <c r="D149" s="17"/>
      <c r="E149" s="17"/>
      <c r="F149" s="17"/>
      <c r="G149" s="17"/>
      <c r="H149" s="17"/>
      <c r="I149" s="17"/>
      <c r="J149" s="17"/>
      <c r="K149" s="17"/>
      <c r="L149" s="17"/>
      <c r="M149" s="17"/>
      <c r="N149" s="17"/>
      <c r="O149" s="17"/>
      <c r="P149" s="17"/>
      <c r="Q149" s="17"/>
      <c r="R149" s="17"/>
      <c r="S149" s="17"/>
      <c r="T149" s="17"/>
      <c r="U149" s="17"/>
      <c r="V149" s="17"/>
      <c r="W149" s="17"/>
      <c r="X149" s="17"/>
      <c r="Y149" s="17"/>
      <c r="Z149" s="17"/>
    </row>
    <row r="150" ht="15.75" customHeight="1">
      <c r="A150" s="17"/>
      <c r="B150" s="17"/>
      <c r="C150" s="17"/>
      <c r="D150" s="17"/>
      <c r="E150" s="17"/>
      <c r="F150" s="17"/>
      <c r="G150" s="17"/>
      <c r="H150" s="17"/>
      <c r="I150" s="17"/>
      <c r="J150" s="17"/>
      <c r="K150" s="17"/>
      <c r="L150" s="17"/>
      <c r="M150" s="17"/>
      <c r="N150" s="17"/>
      <c r="O150" s="17"/>
      <c r="P150" s="17"/>
      <c r="Q150" s="17"/>
      <c r="R150" s="17"/>
      <c r="S150" s="17"/>
      <c r="T150" s="17"/>
      <c r="U150" s="17"/>
      <c r="V150" s="17"/>
      <c r="W150" s="17"/>
      <c r="X150" s="17"/>
      <c r="Y150" s="17"/>
      <c r="Z150" s="17"/>
    </row>
    <row r="151" ht="15.75" customHeight="1">
      <c r="A151" s="17"/>
      <c r="B151" s="17"/>
      <c r="C151" s="17"/>
      <c r="D151" s="17"/>
      <c r="E151" s="17"/>
      <c r="F151" s="17"/>
      <c r="G151" s="17"/>
      <c r="H151" s="17"/>
      <c r="I151" s="17"/>
      <c r="J151" s="17"/>
      <c r="K151" s="17"/>
      <c r="L151" s="17"/>
      <c r="M151" s="17"/>
      <c r="N151" s="17"/>
      <c r="O151" s="17"/>
      <c r="P151" s="17"/>
      <c r="Q151" s="17"/>
      <c r="R151" s="17"/>
      <c r="S151" s="17"/>
      <c r="T151" s="17"/>
      <c r="U151" s="17"/>
      <c r="V151" s="17"/>
      <c r="W151" s="17"/>
      <c r="X151" s="17"/>
      <c r="Y151" s="17"/>
      <c r="Z151" s="17"/>
    </row>
    <row r="152" ht="15.75" customHeight="1">
      <c r="A152" s="17"/>
      <c r="B152" s="17"/>
      <c r="C152" s="17"/>
      <c r="D152" s="17"/>
      <c r="E152" s="17"/>
      <c r="F152" s="17"/>
      <c r="G152" s="17"/>
      <c r="H152" s="17"/>
      <c r="I152" s="17"/>
      <c r="J152" s="17"/>
      <c r="K152" s="17"/>
      <c r="L152" s="17"/>
      <c r="M152" s="17"/>
      <c r="N152" s="17"/>
      <c r="O152" s="17"/>
      <c r="P152" s="17"/>
      <c r="Q152" s="17"/>
      <c r="R152" s="17"/>
      <c r="S152" s="17"/>
      <c r="T152" s="17"/>
      <c r="U152" s="17"/>
      <c r="V152" s="17"/>
      <c r="W152" s="17"/>
      <c r="X152" s="17"/>
      <c r="Y152" s="17"/>
      <c r="Z152" s="17"/>
    </row>
    <row r="153" ht="15.75" customHeight="1">
      <c r="A153" s="17"/>
      <c r="B153" s="17"/>
      <c r="C153" s="17"/>
      <c r="D153" s="17"/>
      <c r="E153" s="17"/>
      <c r="F153" s="17"/>
      <c r="G153" s="17"/>
      <c r="H153" s="17"/>
      <c r="I153" s="17"/>
      <c r="J153" s="17"/>
      <c r="K153" s="17"/>
      <c r="L153" s="17"/>
      <c r="M153" s="17"/>
      <c r="N153" s="17"/>
      <c r="O153" s="17"/>
      <c r="P153" s="17"/>
      <c r="Q153" s="17"/>
      <c r="R153" s="17"/>
      <c r="S153" s="17"/>
      <c r="T153" s="17"/>
      <c r="U153" s="17"/>
      <c r="V153" s="17"/>
      <c r="W153" s="17"/>
      <c r="X153" s="17"/>
      <c r="Y153" s="17"/>
      <c r="Z153" s="17"/>
    </row>
    <row r="154" ht="15.75" customHeight="1">
      <c r="A154" s="17"/>
      <c r="B154" s="17"/>
      <c r="C154" s="17"/>
      <c r="D154" s="17"/>
      <c r="E154" s="17"/>
      <c r="F154" s="17"/>
      <c r="G154" s="17"/>
      <c r="H154" s="17"/>
      <c r="I154" s="17"/>
      <c r="J154" s="17"/>
      <c r="K154" s="17"/>
      <c r="L154" s="17"/>
      <c r="M154" s="17"/>
      <c r="N154" s="17"/>
      <c r="O154" s="17"/>
      <c r="P154" s="17"/>
      <c r="Q154" s="17"/>
      <c r="R154" s="17"/>
      <c r="S154" s="17"/>
      <c r="T154" s="17"/>
      <c r="U154" s="17"/>
      <c r="V154" s="17"/>
      <c r="W154" s="17"/>
      <c r="X154" s="17"/>
      <c r="Y154" s="17"/>
      <c r="Z154" s="17"/>
    </row>
    <row r="155" ht="15.75" customHeight="1">
      <c r="A155" s="17"/>
      <c r="B155" s="17"/>
      <c r="C155" s="17"/>
      <c r="D155" s="17"/>
      <c r="E155" s="17"/>
      <c r="F155" s="17"/>
      <c r="G155" s="17"/>
      <c r="H155" s="17"/>
      <c r="I155" s="17"/>
      <c r="J155" s="17"/>
      <c r="K155" s="17"/>
      <c r="L155" s="17"/>
      <c r="M155" s="17"/>
      <c r="N155" s="17"/>
      <c r="O155" s="17"/>
      <c r="P155" s="17"/>
      <c r="Q155" s="17"/>
      <c r="R155" s="17"/>
      <c r="S155" s="17"/>
      <c r="T155" s="17"/>
      <c r="U155" s="17"/>
      <c r="V155" s="17"/>
      <c r="W155" s="17"/>
      <c r="X155" s="17"/>
      <c r="Y155" s="17"/>
      <c r="Z155" s="17"/>
    </row>
    <row r="156" ht="15.75" customHeight="1">
      <c r="A156" s="17"/>
      <c r="B156" s="17"/>
      <c r="C156" s="17"/>
      <c r="D156" s="17"/>
      <c r="E156" s="17"/>
      <c r="F156" s="17"/>
      <c r="G156" s="17"/>
      <c r="H156" s="17"/>
      <c r="I156" s="17"/>
      <c r="J156" s="17"/>
      <c r="K156" s="17"/>
      <c r="L156" s="17"/>
      <c r="M156" s="17"/>
      <c r="N156" s="17"/>
      <c r="O156" s="17"/>
      <c r="P156" s="17"/>
      <c r="Q156" s="17"/>
      <c r="R156" s="17"/>
      <c r="S156" s="17"/>
      <c r="T156" s="17"/>
      <c r="U156" s="17"/>
      <c r="V156" s="17"/>
      <c r="W156" s="17"/>
      <c r="X156" s="17"/>
      <c r="Y156" s="17"/>
      <c r="Z156" s="17"/>
    </row>
    <row r="157" ht="15.75" customHeight="1">
      <c r="A157" s="17"/>
      <c r="B157" s="17"/>
      <c r="C157" s="17"/>
      <c r="D157" s="17"/>
      <c r="E157" s="17"/>
      <c r="F157" s="17"/>
      <c r="G157" s="17"/>
      <c r="H157" s="17"/>
      <c r="I157" s="17"/>
      <c r="J157" s="17"/>
      <c r="K157" s="17"/>
      <c r="L157" s="17"/>
      <c r="M157" s="17"/>
      <c r="N157" s="17"/>
      <c r="O157" s="17"/>
      <c r="P157" s="17"/>
      <c r="Q157" s="17"/>
      <c r="R157" s="17"/>
      <c r="S157" s="17"/>
      <c r="T157" s="17"/>
      <c r="U157" s="17"/>
      <c r="V157" s="17"/>
      <c r="W157" s="17"/>
      <c r="X157" s="17"/>
      <c r="Y157" s="17"/>
      <c r="Z157" s="17"/>
    </row>
    <row r="158" ht="15.75" customHeight="1">
      <c r="A158" s="17"/>
      <c r="B158" s="17"/>
      <c r="C158" s="17"/>
      <c r="D158" s="17"/>
      <c r="E158" s="17"/>
      <c r="F158" s="17"/>
      <c r="G158" s="17"/>
      <c r="H158" s="17"/>
      <c r="I158" s="17"/>
      <c r="J158" s="17"/>
      <c r="K158" s="17"/>
      <c r="L158" s="17"/>
      <c r="M158" s="17"/>
      <c r="N158" s="17"/>
      <c r="O158" s="17"/>
      <c r="P158" s="17"/>
      <c r="Q158" s="17"/>
      <c r="R158" s="17"/>
      <c r="S158" s="17"/>
      <c r="T158" s="17"/>
      <c r="U158" s="17"/>
      <c r="V158" s="17"/>
      <c r="W158" s="17"/>
      <c r="X158" s="17"/>
      <c r="Y158" s="17"/>
      <c r="Z158" s="17"/>
    </row>
    <row r="159" ht="15.75" customHeight="1">
      <c r="A159" s="17"/>
      <c r="B159" s="17"/>
      <c r="C159" s="17"/>
      <c r="D159" s="17"/>
      <c r="E159" s="17"/>
      <c r="F159" s="17"/>
      <c r="G159" s="17"/>
      <c r="H159" s="17"/>
      <c r="I159" s="17"/>
      <c r="J159" s="17"/>
      <c r="K159" s="17"/>
      <c r="L159" s="17"/>
      <c r="M159" s="17"/>
      <c r="N159" s="17"/>
      <c r="O159" s="17"/>
      <c r="P159" s="17"/>
      <c r="Q159" s="17"/>
      <c r="R159" s="17"/>
      <c r="S159" s="17"/>
      <c r="T159" s="17"/>
      <c r="U159" s="17"/>
      <c r="V159" s="17"/>
      <c r="W159" s="17"/>
      <c r="X159" s="17"/>
      <c r="Y159" s="17"/>
      <c r="Z159" s="17"/>
    </row>
    <row r="160" ht="15.75" customHeight="1">
      <c r="A160" s="17"/>
      <c r="B160" s="17"/>
      <c r="C160" s="17"/>
      <c r="D160" s="17"/>
      <c r="E160" s="17"/>
      <c r="F160" s="17"/>
      <c r="G160" s="17"/>
      <c r="H160" s="17"/>
      <c r="I160" s="17"/>
      <c r="J160" s="17"/>
      <c r="K160" s="17"/>
      <c r="L160" s="17"/>
      <c r="M160" s="17"/>
      <c r="N160" s="17"/>
      <c r="O160" s="17"/>
      <c r="P160" s="17"/>
      <c r="Q160" s="17"/>
      <c r="R160" s="17"/>
      <c r="S160" s="17"/>
      <c r="T160" s="17"/>
      <c r="U160" s="17"/>
      <c r="V160" s="17"/>
      <c r="W160" s="17"/>
      <c r="X160" s="17"/>
      <c r="Y160" s="17"/>
      <c r="Z160" s="17"/>
    </row>
    <row r="161" ht="15.75" customHeight="1">
      <c r="A161" s="17"/>
      <c r="B161" s="17"/>
      <c r="C161" s="17"/>
      <c r="D161" s="17"/>
      <c r="E161" s="17"/>
      <c r="F161" s="17"/>
      <c r="G161" s="17"/>
      <c r="H161" s="17"/>
      <c r="I161" s="17"/>
      <c r="J161" s="17"/>
      <c r="K161" s="17"/>
      <c r="L161" s="17"/>
      <c r="M161" s="17"/>
      <c r="N161" s="17"/>
      <c r="O161" s="17"/>
      <c r="P161" s="17"/>
      <c r="Q161" s="17"/>
      <c r="R161" s="17"/>
      <c r="S161" s="17"/>
      <c r="T161" s="17"/>
      <c r="U161" s="17"/>
      <c r="V161" s="17"/>
      <c r="W161" s="17"/>
      <c r="X161" s="17"/>
      <c r="Y161" s="17"/>
      <c r="Z161" s="17"/>
    </row>
    <row r="162" ht="15.75" customHeight="1">
      <c r="A162" s="17"/>
      <c r="B162" s="17"/>
      <c r="C162" s="17"/>
      <c r="D162" s="17"/>
      <c r="E162" s="17"/>
      <c r="F162" s="17"/>
      <c r="G162" s="17"/>
      <c r="H162" s="17"/>
      <c r="I162" s="17"/>
      <c r="J162" s="17"/>
      <c r="K162" s="17"/>
      <c r="L162" s="17"/>
      <c r="M162" s="17"/>
      <c r="N162" s="17"/>
      <c r="O162" s="17"/>
      <c r="P162" s="17"/>
      <c r="Q162" s="17"/>
      <c r="R162" s="17"/>
      <c r="S162" s="17"/>
      <c r="T162" s="17"/>
      <c r="U162" s="17"/>
      <c r="V162" s="17"/>
      <c r="W162" s="17"/>
      <c r="X162" s="17"/>
      <c r="Y162" s="17"/>
      <c r="Z162" s="17"/>
    </row>
    <row r="163" ht="15.75" customHeight="1">
      <c r="A163" s="17"/>
      <c r="B163" s="17"/>
      <c r="C163" s="17"/>
      <c r="D163" s="17"/>
      <c r="E163" s="17"/>
      <c r="F163" s="17"/>
      <c r="G163" s="17"/>
      <c r="H163" s="17"/>
      <c r="I163" s="17"/>
      <c r="J163" s="17"/>
      <c r="K163" s="17"/>
      <c r="L163" s="17"/>
      <c r="M163" s="17"/>
      <c r="N163" s="17"/>
      <c r="O163" s="17"/>
      <c r="P163" s="17"/>
      <c r="Q163" s="17"/>
      <c r="R163" s="17"/>
      <c r="S163" s="17"/>
      <c r="T163" s="17"/>
      <c r="U163" s="17"/>
      <c r="V163" s="17"/>
      <c r="W163" s="17"/>
      <c r="X163" s="17"/>
      <c r="Y163" s="17"/>
      <c r="Z163" s="17"/>
    </row>
    <row r="164" ht="15.75" customHeight="1">
      <c r="A164" s="17"/>
      <c r="B164" s="17"/>
      <c r="C164" s="17"/>
      <c r="D164" s="17"/>
      <c r="E164" s="17"/>
      <c r="F164" s="17"/>
      <c r="G164" s="17"/>
      <c r="H164" s="17"/>
      <c r="I164" s="17"/>
      <c r="J164" s="17"/>
      <c r="K164" s="17"/>
      <c r="L164" s="17"/>
      <c r="M164" s="17"/>
      <c r="N164" s="17"/>
      <c r="O164" s="17"/>
      <c r="P164" s="17"/>
      <c r="Q164" s="17"/>
      <c r="R164" s="17"/>
      <c r="S164" s="17"/>
      <c r="T164" s="17"/>
      <c r="U164" s="17"/>
      <c r="V164" s="17"/>
      <c r="W164" s="17"/>
      <c r="X164" s="17"/>
      <c r="Y164" s="17"/>
      <c r="Z164" s="17"/>
    </row>
    <row r="165" ht="15.75" customHeight="1">
      <c r="A165" s="17"/>
      <c r="B165" s="17"/>
      <c r="C165" s="17"/>
      <c r="D165" s="17"/>
      <c r="E165" s="17"/>
      <c r="F165" s="17"/>
      <c r="G165" s="17"/>
      <c r="H165" s="17"/>
      <c r="I165" s="17"/>
      <c r="J165" s="17"/>
      <c r="K165" s="17"/>
      <c r="L165" s="17"/>
      <c r="M165" s="17"/>
      <c r="N165" s="17"/>
      <c r="O165" s="17"/>
      <c r="P165" s="17"/>
      <c r="Q165" s="17"/>
      <c r="R165" s="17"/>
      <c r="S165" s="17"/>
      <c r="T165" s="17"/>
      <c r="U165" s="17"/>
      <c r="V165" s="17"/>
      <c r="W165" s="17"/>
      <c r="X165" s="17"/>
      <c r="Y165" s="17"/>
      <c r="Z165" s="17"/>
    </row>
    <row r="166" ht="15.75" customHeight="1">
      <c r="A166" s="17"/>
      <c r="B166" s="17"/>
      <c r="C166" s="17"/>
      <c r="D166" s="17"/>
      <c r="E166" s="17"/>
      <c r="F166" s="17"/>
      <c r="G166" s="17"/>
      <c r="H166" s="17"/>
      <c r="I166" s="17"/>
      <c r="J166" s="17"/>
      <c r="K166" s="17"/>
      <c r="L166" s="17"/>
      <c r="M166" s="17"/>
      <c r="N166" s="17"/>
      <c r="O166" s="17"/>
      <c r="P166" s="17"/>
      <c r="Q166" s="17"/>
      <c r="R166" s="17"/>
      <c r="S166" s="17"/>
      <c r="T166" s="17"/>
      <c r="U166" s="17"/>
      <c r="V166" s="17"/>
      <c r="W166" s="17"/>
      <c r="X166" s="17"/>
      <c r="Y166" s="17"/>
      <c r="Z166" s="17"/>
    </row>
    <row r="167" ht="15.75" customHeight="1">
      <c r="A167" s="17"/>
      <c r="B167" s="17"/>
      <c r="C167" s="17"/>
      <c r="D167" s="17"/>
      <c r="E167" s="17"/>
      <c r="F167" s="17"/>
      <c r="G167" s="17"/>
      <c r="H167" s="17"/>
      <c r="I167" s="17"/>
      <c r="J167" s="17"/>
      <c r="K167" s="17"/>
      <c r="L167" s="17"/>
      <c r="M167" s="17"/>
      <c r="N167" s="17"/>
      <c r="O167" s="17"/>
      <c r="P167" s="17"/>
      <c r="Q167" s="17"/>
      <c r="R167" s="17"/>
      <c r="S167" s="17"/>
      <c r="T167" s="17"/>
      <c r="U167" s="17"/>
      <c r="V167" s="17"/>
      <c r="W167" s="17"/>
      <c r="X167" s="17"/>
      <c r="Y167" s="17"/>
      <c r="Z167" s="17"/>
    </row>
    <row r="168" ht="15.75" customHeight="1">
      <c r="A168" s="17"/>
      <c r="B168" s="17"/>
      <c r="C168" s="17"/>
      <c r="D168" s="17"/>
      <c r="E168" s="17"/>
      <c r="F168" s="17"/>
      <c r="G168" s="17"/>
      <c r="H168" s="17"/>
      <c r="I168" s="17"/>
      <c r="J168" s="17"/>
      <c r="K168" s="17"/>
      <c r="L168" s="17"/>
      <c r="M168" s="17"/>
      <c r="N168" s="17"/>
      <c r="O168" s="17"/>
      <c r="P168" s="17"/>
      <c r="Q168" s="17"/>
      <c r="R168" s="17"/>
      <c r="S168" s="17"/>
      <c r="T168" s="17"/>
      <c r="U168" s="17"/>
      <c r="V168" s="17"/>
      <c r="W168" s="17"/>
      <c r="X168" s="17"/>
      <c r="Y168" s="17"/>
      <c r="Z168" s="17"/>
    </row>
    <row r="169" ht="15.75" customHeight="1">
      <c r="A169" s="17"/>
      <c r="B169" s="17"/>
      <c r="C169" s="17"/>
      <c r="D169" s="17"/>
      <c r="E169" s="17"/>
      <c r="F169" s="17"/>
      <c r="G169" s="17"/>
      <c r="H169" s="17"/>
      <c r="I169" s="17"/>
      <c r="J169" s="17"/>
      <c r="K169" s="17"/>
      <c r="L169" s="17"/>
      <c r="M169" s="17"/>
      <c r="N169" s="17"/>
      <c r="O169" s="17"/>
      <c r="P169" s="17"/>
      <c r="Q169" s="17"/>
      <c r="R169" s="17"/>
      <c r="S169" s="17"/>
      <c r="T169" s="17"/>
      <c r="U169" s="17"/>
      <c r="V169" s="17"/>
      <c r="W169" s="17"/>
      <c r="X169" s="17"/>
      <c r="Y169" s="17"/>
      <c r="Z169" s="17"/>
    </row>
    <row r="170" ht="15.75" customHeight="1">
      <c r="A170" s="17"/>
      <c r="B170" s="17"/>
      <c r="C170" s="17"/>
      <c r="D170" s="17"/>
      <c r="E170" s="17"/>
      <c r="F170" s="17"/>
      <c r="G170" s="17"/>
      <c r="H170" s="17"/>
      <c r="I170" s="17"/>
      <c r="J170" s="17"/>
      <c r="K170" s="17"/>
      <c r="L170" s="17"/>
      <c r="M170" s="17"/>
      <c r="N170" s="17"/>
      <c r="O170" s="17"/>
      <c r="P170" s="17"/>
      <c r="Q170" s="17"/>
      <c r="R170" s="17"/>
      <c r="S170" s="17"/>
      <c r="T170" s="17"/>
      <c r="U170" s="17"/>
      <c r="V170" s="17"/>
      <c r="W170" s="17"/>
      <c r="X170" s="17"/>
      <c r="Y170" s="17"/>
      <c r="Z170" s="17"/>
    </row>
    <row r="171" ht="15.75" customHeight="1">
      <c r="A171" s="17"/>
      <c r="B171" s="17"/>
      <c r="C171" s="17"/>
      <c r="D171" s="17"/>
      <c r="E171" s="17"/>
      <c r="F171" s="17"/>
      <c r="G171" s="17"/>
      <c r="H171" s="17"/>
      <c r="I171" s="17"/>
      <c r="J171" s="17"/>
      <c r="K171" s="17"/>
      <c r="L171" s="17"/>
      <c r="M171" s="17"/>
      <c r="N171" s="17"/>
      <c r="O171" s="17"/>
      <c r="P171" s="17"/>
      <c r="Q171" s="17"/>
      <c r="R171" s="17"/>
      <c r="S171" s="17"/>
      <c r="T171" s="17"/>
      <c r="U171" s="17"/>
      <c r="V171" s="17"/>
      <c r="W171" s="17"/>
      <c r="X171" s="17"/>
      <c r="Y171" s="17"/>
      <c r="Z171" s="17"/>
    </row>
    <row r="172" ht="15.75" customHeight="1">
      <c r="A172" s="17"/>
      <c r="B172" s="17"/>
      <c r="C172" s="17"/>
      <c r="D172" s="17"/>
      <c r="E172" s="17"/>
      <c r="F172" s="17"/>
      <c r="G172" s="17"/>
      <c r="H172" s="17"/>
      <c r="I172" s="17"/>
      <c r="J172" s="17"/>
      <c r="K172" s="17"/>
      <c r="L172" s="17"/>
      <c r="M172" s="17"/>
      <c r="N172" s="17"/>
      <c r="O172" s="17"/>
      <c r="P172" s="17"/>
      <c r="Q172" s="17"/>
      <c r="R172" s="17"/>
      <c r="S172" s="17"/>
      <c r="T172" s="17"/>
      <c r="U172" s="17"/>
      <c r="V172" s="17"/>
      <c r="W172" s="17"/>
      <c r="X172" s="17"/>
      <c r="Y172" s="17"/>
      <c r="Z172" s="17"/>
    </row>
    <row r="173" ht="15.75" customHeight="1">
      <c r="A173" s="17"/>
      <c r="B173" s="17"/>
      <c r="C173" s="17"/>
      <c r="D173" s="17"/>
      <c r="E173" s="17"/>
      <c r="F173" s="17"/>
      <c r="G173" s="17"/>
      <c r="H173" s="17"/>
      <c r="I173" s="17"/>
      <c r="J173" s="17"/>
      <c r="K173" s="17"/>
      <c r="L173" s="17"/>
      <c r="M173" s="17"/>
      <c r="N173" s="17"/>
      <c r="O173" s="17"/>
      <c r="P173" s="17"/>
      <c r="Q173" s="17"/>
      <c r="R173" s="17"/>
      <c r="S173" s="17"/>
      <c r="T173" s="17"/>
      <c r="U173" s="17"/>
      <c r="V173" s="17"/>
      <c r="W173" s="17"/>
      <c r="X173" s="17"/>
      <c r="Y173" s="17"/>
      <c r="Z173" s="17"/>
    </row>
    <row r="174" ht="15.75" customHeight="1">
      <c r="A174" s="17"/>
      <c r="B174" s="17"/>
      <c r="C174" s="17"/>
      <c r="D174" s="17"/>
      <c r="E174" s="17"/>
      <c r="F174" s="17"/>
      <c r="G174" s="17"/>
      <c r="H174" s="17"/>
      <c r="I174" s="17"/>
      <c r="J174" s="17"/>
      <c r="K174" s="17"/>
      <c r="L174" s="17"/>
      <c r="M174" s="17"/>
      <c r="N174" s="17"/>
      <c r="O174" s="17"/>
      <c r="P174" s="17"/>
      <c r="Q174" s="17"/>
      <c r="R174" s="17"/>
      <c r="S174" s="17"/>
      <c r="T174" s="17"/>
      <c r="U174" s="17"/>
      <c r="V174" s="17"/>
      <c r="W174" s="17"/>
      <c r="X174" s="17"/>
      <c r="Y174" s="17"/>
      <c r="Z174" s="17"/>
    </row>
    <row r="175" ht="15.75" customHeight="1">
      <c r="A175" s="17"/>
      <c r="B175" s="17"/>
      <c r="C175" s="17"/>
      <c r="D175" s="17"/>
      <c r="E175" s="17"/>
      <c r="F175" s="17"/>
      <c r="G175" s="17"/>
      <c r="H175" s="17"/>
      <c r="I175" s="17"/>
      <c r="J175" s="17"/>
      <c r="K175" s="17"/>
      <c r="L175" s="17"/>
      <c r="M175" s="17"/>
      <c r="N175" s="17"/>
      <c r="O175" s="17"/>
      <c r="P175" s="17"/>
      <c r="Q175" s="17"/>
      <c r="R175" s="17"/>
      <c r="S175" s="17"/>
      <c r="T175" s="17"/>
      <c r="U175" s="17"/>
      <c r="V175" s="17"/>
      <c r="W175" s="17"/>
      <c r="X175" s="17"/>
      <c r="Y175" s="17"/>
      <c r="Z175" s="17"/>
    </row>
    <row r="176" ht="15.75" customHeight="1">
      <c r="A176" s="17"/>
      <c r="B176" s="17"/>
      <c r="C176" s="17"/>
      <c r="D176" s="17"/>
      <c r="E176" s="17"/>
      <c r="F176" s="17"/>
      <c r="G176" s="17"/>
      <c r="H176" s="17"/>
      <c r="I176" s="17"/>
      <c r="J176" s="17"/>
      <c r="K176" s="17"/>
      <c r="L176" s="17"/>
      <c r="M176" s="17"/>
      <c r="N176" s="17"/>
      <c r="O176" s="17"/>
      <c r="P176" s="17"/>
      <c r="Q176" s="17"/>
      <c r="R176" s="17"/>
      <c r="S176" s="17"/>
      <c r="T176" s="17"/>
      <c r="U176" s="17"/>
      <c r="V176" s="17"/>
      <c r="W176" s="17"/>
      <c r="X176" s="17"/>
      <c r="Y176" s="17"/>
      <c r="Z176" s="17"/>
    </row>
    <row r="177" ht="15.75" customHeight="1">
      <c r="A177" s="17"/>
      <c r="B177" s="17"/>
      <c r="C177" s="17"/>
      <c r="D177" s="17"/>
      <c r="E177" s="17"/>
      <c r="F177" s="17"/>
      <c r="G177" s="17"/>
      <c r="H177" s="17"/>
      <c r="I177" s="17"/>
      <c r="J177" s="17"/>
      <c r="K177" s="17"/>
      <c r="L177" s="17"/>
      <c r="M177" s="17"/>
      <c r="N177" s="17"/>
      <c r="O177" s="17"/>
      <c r="P177" s="17"/>
      <c r="Q177" s="17"/>
      <c r="R177" s="17"/>
      <c r="S177" s="17"/>
      <c r="T177" s="17"/>
      <c r="U177" s="17"/>
      <c r="V177" s="17"/>
      <c r="W177" s="17"/>
      <c r="X177" s="17"/>
      <c r="Y177" s="17"/>
      <c r="Z177" s="17"/>
    </row>
    <row r="178" ht="15.75" customHeight="1">
      <c r="A178" s="17"/>
      <c r="B178" s="17"/>
      <c r="C178" s="17"/>
      <c r="D178" s="17"/>
      <c r="E178" s="17"/>
      <c r="F178" s="17"/>
      <c r="G178" s="17"/>
      <c r="H178" s="17"/>
      <c r="I178" s="17"/>
      <c r="J178" s="17"/>
      <c r="K178" s="17"/>
      <c r="L178" s="17"/>
      <c r="M178" s="17"/>
      <c r="N178" s="17"/>
      <c r="O178" s="17"/>
      <c r="P178" s="17"/>
      <c r="Q178" s="17"/>
      <c r="R178" s="17"/>
      <c r="S178" s="17"/>
      <c r="T178" s="17"/>
      <c r="U178" s="17"/>
      <c r="V178" s="17"/>
      <c r="W178" s="17"/>
      <c r="X178" s="17"/>
      <c r="Y178" s="17"/>
      <c r="Z178" s="17"/>
    </row>
    <row r="179" ht="15.75" customHeight="1">
      <c r="A179" s="17"/>
      <c r="B179" s="17"/>
      <c r="C179" s="17"/>
      <c r="D179" s="17"/>
      <c r="E179" s="17"/>
      <c r="F179" s="17"/>
      <c r="G179" s="17"/>
      <c r="H179" s="17"/>
      <c r="I179" s="17"/>
      <c r="J179" s="17"/>
      <c r="K179" s="17"/>
      <c r="L179" s="17"/>
      <c r="M179" s="17"/>
      <c r="N179" s="17"/>
      <c r="O179" s="17"/>
      <c r="P179" s="17"/>
      <c r="Q179" s="17"/>
      <c r="R179" s="17"/>
      <c r="S179" s="17"/>
      <c r="T179" s="17"/>
      <c r="U179" s="17"/>
      <c r="V179" s="17"/>
      <c r="W179" s="17"/>
      <c r="X179" s="17"/>
      <c r="Y179" s="17"/>
      <c r="Z179" s="17"/>
    </row>
    <row r="180" ht="15.75" customHeight="1">
      <c r="A180" s="17"/>
      <c r="B180" s="17"/>
      <c r="C180" s="17"/>
      <c r="D180" s="17"/>
      <c r="E180" s="17"/>
      <c r="F180" s="17"/>
      <c r="G180" s="17"/>
      <c r="H180" s="17"/>
      <c r="I180" s="17"/>
      <c r="J180" s="17"/>
      <c r="K180" s="17"/>
      <c r="L180" s="17"/>
      <c r="M180" s="17"/>
      <c r="N180" s="17"/>
      <c r="O180" s="17"/>
      <c r="P180" s="17"/>
      <c r="Q180" s="17"/>
      <c r="R180" s="17"/>
      <c r="S180" s="17"/>
      <c r="T180" s="17"/>
      <c r="U180" s="17"/>
      <c r="V180" s="17"/>
      <c r="W180" s="17"/>
      <c r="X180" s="17"/>
      <c r="Y180" s="17"/>
      <c r="Z180" s="17"/>
    </row>
    <row r="181" ht="15.75" customHeight="1">
      <c r="A181" s="17"/>
      <c r="B181" s="17"/>
      <c r="C181" s="17"/>
      <c r="D181" s="17"/>
      <c r="E181" s="17"/>
      <c r="F181" s="17"/>
      <c r="G181" s="17"/>
      <c r="H181" s="17"/>
      <c r="I181" s="17"/>
      <c r="J181" s="17"/>
      <c r="K181" s="17"/>
      <c r="L181" s="17"/>
      <c r="M181" s="17"/>
      <c r="N181" s="17"/>
      <c r="O181" s="17"/>
      <c r="P181" s="17"/>
      <c r="Q181" s="17"/>
      <c r="R181" s="17"/>
      <c r="S181" s="17"/>
      <c r="T181" s="17"/>
      <c r="U181" s="17"/>
      <c r="V181" s="17"/>
      <c r="W181" s="17"/>
      <c r="X181" s="17"/>
      <c r="Y181" s="17"/>
      <c r="Z181" s="17"/>
    </row>
    <row r="182" ht="15.75" customHeight="1">
      <c r="A182" s="17"/>
      <c r="B182" s="17"/>
      <c r="C182" s="17"/>
      <c r="D182" s="17"/>
      <c r="E182" s="17"/>
      <c r="F182" s="17"/>
      <c r="G182" s="17"/>
      <c r="H182" s="17"/>
      <c r="I182" s="17"/>
      <c r="J182" s="17"/>
      <c r="K182" s="17"/>
      <c r="L182" s="17"/>
      <c r="M182" s="17"/>
      <c r="N182" s="17"/>
      <c r="O182" s="17"/>
      <c r="P182" s="17"/>
      <c r="Q182" s="17"/>
      <c r="R182" s="17"/>
      <c r="S182" s="17"/>
      <c r="T182" s="17"/>
      <c r="U182" s="17"/>
      <c r="V182" s="17"/>
      <c r="W182" s="17"/>
      <c r="X182" s="17"/>
      <c r="Y182" s="17"/>
      <c r="Z182" s="17"/>
    </row>
    <row r="183" ht="15.75" customHeight="1">
      <c r="A183" s="17"/>
      <c r="B183" s="17"/>
      <c r="C183" s="17"/>
      <c r="D183" s="17"/>
      <c r="E183" s="17"/>
      <c r="F183" s="17"/>
      <c r="G183" s="17"/>
      <c r="H183" s="17"/>
      <c r="I183" s="17"/>
      <c r="J183" s="17"/>
      <c r="K183" s="17"/>
      <c r="L183" s="17"/>
      <c r="M183" s="17"/>
      <c r="N183" s="17"/>
      <c r="O183" s="17"/>
      <c r="P183" s="17"/>
      <c r="Q183" s="17"/>
      <c r="R183" s="17"/>
      <c r="S183" s="17"/>
      <c r="T183" s="17"/>
      <c r="U183" s="17"/>
      <c r="V183" s="17"/>
      <c r="W183" s="17"/>
      <c r="X183" s="17"/>
      <c r="Y183" s="17"/>
      <c r="Z183" s="17"/>
    </row>
    <row r="184" ht="15.75" customHeight="1">
      <c r="A184" s="17"/>
      <c r="B184" s="17"/>
      <c r="C184" s="17"/>
      <c r="D184" s="17"/>
      <c r="E184" s="17"/>
      <c r="F184" s="17"/>
      <c r="G184" s="17"/>
      <c r="H184" s="17"/>
      <c r="I184" s="17"/>
      <c r="J184" s="17"/>
      <c r="K184" s="17"/>
      <c r="L184" s="17"/>
      <c r="M184" s="17"/>
      <c r="N184" s="17"/>
      <c r="O184" s="17"/>
      <c r="P184" s="17"/>
      <c r="Q184" s="17"/>
      <c r="R184" s="17"/>
      <c r="S184" s="17"/>
      <c r="T184" s="17"/>
      <c r="U184" s="17"/>
      <c r="V184" s="17"/>
      <c r="W184" s="17"/>
      <c r="X184" s="17"/>
      <c r="Y184" s="17"/>
      <c r="Z184" s="17"/>
    </row>
    <row r="185" ht="15.75" customHeight="1">
      <c r="A185" s="17"/>
      <c r="B185" s="17"/>
      <c r="C185" s="17"/>
      <c r="D185" s="17"/>
      <c r="E185" s="17"/>
      <c r="F185" s="17"/>
      <c r="G185" s="17"/>
      <c r="H185" s="17"/>
      <c r="I185" s="17"/>
      <c r="J185" s="17"/>
      <c r="K185" s="17"/>
      <c r="L185" s="17"/>
      <c r="M185" s="17"/>
      <c r="N185" s="17"/>
      <c r="O185" s="17"/>
      <c r="P185" s="17"/>
      <c r="Q185" s="17"/>
      <c r="R185" s="17"/>
      <c r="S185" s="17"/>
      <c r="T185" s="17"/>
      <c r="U185" s="17"/>
      <c r="V185" s="17"/>
      <c r="W185" s="17"/>
      <c r="X185" s="17"/>
      <c r="Y185" s="17"/>
      <c r="Z185" s="17"/>
    </row>
    <row r="186" ht="15.75" customHeight="1">
      <c r="A186" s="17"/>
      <c r="B186" s="17"/>
      <c r="C186" s="17"/>
      <c r="D186" s="17"/>
      <c r="E186" s="17"/>
      <c r="F186" s="17"/>
      <c r="G186" s="17"/>
      <c r="H186" s="17"/>
      <c r="I186" s="17"/>
      <c r="J186" s="17"/>
      <c r="K186" s="17"/>
      <c r="L186" s="17"/>
      <c r="M186" s="17"/>
      <c r="N186" s="17"/>
      <c r="O186" s="17"/>
      <c r="P186" s="17"/>
      <c r="Q186" s="17"/>
      <c r="R186" s="17"/>
      <c r="S186" s="17"/>
      <c r="T186" s="17"/>
      <c r="U186" s="17"/>
      <c r="V186" s="17"/>
      <c r="W186" s="17"/>
      <c r="X186" s="17"/>
      <c r="Y186" s="17"/>
      <c r="Z186" s="17"/>
    </row>
    <row r="187" ht="15.75" customHeight="1">
      <c r="A187" s="17"/>
      <c r="B187" s="17"/>
      <c r="C187" s="17"/>
      <c r="D187" s="17"/>
      <c r="E187" s="17"/>
      <c r="F187" s="17"/>
      <c r="G187" s="17"/>
      <c r="H187" s="17"/>
      <c r="I187" s="17"/>
      <c r="J187" s="17"/>
      <c r="K187" s="17"/>
      <c r="L187" s="17"/>
      <c r="M187" s="17"/>
      <c r="N187" s="17"/>
      <c r="O187" s="17"/>
      <c r="P187" s="17"/>
      <c r="Q187" s="17"/>
      <c r="R187" s="17"/>
      <c r="S187" s="17"/>
      <c r="T187" s="17"/>
      <c r="U187" s="17"/>
      <c r="V187" s="17"/>
      <c r="W187" s="17"/>
      <c r="X187" s="17"/>
      <c r="Y187" s="17"/>
      <c r="Z187" s="17"/>
    </row>
    <row r="188" ht="15.75" customHeight="1">
      <c r="A188" s="17"/>
      <c r="B188" s="17"/>
      <c r="C188" s="17"/>
      <c r="D188" s="17"/>
      <c r="E188" s="17"/>
      <c r="F188" s="17"/>
      <c r="G188" s="17"/>
      <c r="H188" s="17"/>
      <c r="I188" s="17"/>
      <c r="J188" s="17"/>
      <c r="K188" s="17"/>
      <c r="L188" s="17"/>
      <c r="M188" s="17"/>
      <c r="N188" s="17"/>
      <c r="O188" s="17"/>
      <c r="P188" s="17"/>
      <c r="Q188" s="17"/>
      <c r="R188" s="17"/>
      <c r="S188" s="17"/>
      <c r="T188" s="17"/>
      <c r="U188" s="17"/>
      <c r="V188" s="17"/>
      <c r="W188" s="17"/>
      <c r="X188" s="17"/>
      <c r="Y188" s="17"/>
      <c r="Z188" s="17"/>
    </row>
    <row r="189" ht="15.75" customHeight="1">
      <c r="A189" s="17"/>
      <c r="B189" s="17"/>
      <c r="C189" s="17"/>
      <c r="D189" s="17"/>
      <c r="E189" s="17"/>
      <c r="F189" s="17"/>
      <c r="G189" s="17"/>
      <c r="H189" s="17"/>
      <c r="I189" s="17"/>
      <c r="J189" s="17"/>
      <c r="K189" s="17"/>
      <c r="L189" s="17"/>
      <c r="M189" s="17"/>
      <c r="N189" s="17"/>
      <c r="O189" s="17"/>
      <c r="P189" s="17"/>
      <c r="Q189" s="17"/>
      <c r="R189" s="17"/>
      <c r="S189" s="17"/>
      <c r="T189" s="17"/>
      <c r="U189" s="17"/>
      <c r="V189" s="17"/>
      <c r="W189" s="17"/>
      <c r="X189" s="17"/>
      <c r="Y189" s="17"/>
      <c r="Z189" s="17"/>
    </row>
    <row r="190" ht="15.75" customHeight="1">
      <c r="A190" s="17"/>
      <c r="B190" s="17"/>
      <c r="C190" s="17"/>
      <c r="D190" s="17"/>
      <c r="E190" s="17"/>
      <c r="F190" s="17"/>
      <c r="G190" s="17"/>
      <c r="H190" s="17"/>
      <c r="I190" s="17"/>
      <c r="J190" s="17"/>
      <c r="K190" s="17"/>
      <c r="L190" s="17"/>
      <c r="M190" s="17"/>
      <c r="N190" s="17"/>
      <c r="O190" s="17"/>
      <c r="P190" s="17"/>
      <c r="Q190" s="17"/>
      <c r="R190" s="17"/>
      <c r="S190" s="17"/>
      <c r="T190" s="17"/>
      <c r="U190" s="17"/>
      <c r="V190" s="17"/>
      <c r="W190" s="17"/>
      <c r="X190" s="17"/>
      <c r="Y190" s="17"/>
      <c r="Z190" s="17"/>
    </row>
    <row r="191" ht="15.75" customHeight="1">
      <c r="A191" s="17"/>
      <c r="B191" s="17"/>
      <c r="C191" s="17"/>
      <c r="D191" s="17"/>
      <c r="E191" s="17"/>
      <c r="F191" s="17"/>
      <c r="G191" s="17"/>
      <c r="H191" s="17"/>
      <c r="I191" s="17"/>
      <c r="J191" s="17"/>
      <c r="K191" s="17"/>
      <c r="L191" s="17"/>
      <c r="M191" s="17"/>
      <c r="N191" s="17"/>
      <c r="O191" s="17"/>
      <c r="P191" s="17"/>
      <c r="Q191" s="17"/>
      <c r="R191" s="17"/>
      <c r="S191" s="17"/>
      <c r="T191" s="17"/>
      <c r="U191" s="17"/>
      <c r="V191" s="17"/>
      <c r="W191" s="17"/>
      <c r="X191" s="17"/>
      <c r="Y191" s="17"/>
      <c r="Z191" s="17"/>
    </row>
    <row r="192" ht="15.75" customHeight="1">
      <c r="A192" s="17"/>
      <c r="B192" s="17"/>
      <c r="C192" s="17"/>
      <c r="D192" s="17"/>
      <c r="E192" s="17"/>
      <c r="F192" s="17"/>
      <c r="G192" s="17"/>
      <c r="H192" s="17"/>
      <c r="I192" s="17"/>
      <c r="J192" s="17"/>
      <c r="K192" s="17"/>
      <c r="L192" s="17"/>
      <c r="M192" s="17"/>
      <c r="N192" s="17"/>
      <c r="O192" s="17"/>
      <c r="P192" s="17"/>
      <c r="Q192" s="17"/>
      <c r="R192" s="17"/>
      <c r="S192" s="17"/>
      <c r="T192" s="17"/>
      <c r="U192" s="17"/>
      <c r="V192" s="17"/>
      <c r="W192" s="17"/>
      <c r="X192" s="17"/>
      <c r="Y192" s="17"/>
      <c r="Z192" s="17"/>
    </row>
    <row r="193" ht="15.75" customHeight="1">
      <c r="A193" s="17"/>
      <c r="B193" s="17"/>
      <c r="C193" s="17"/>
      <c r="D193" s="17"/>
      <c r="E193" s="17"/>
      <c r="F193" s="17"/>
      <c r="G193" s="17"/>
      <c r="H193" s="17"/>
      <c r="I193" s="17"/>
      <c r="J193" s="17"/>
      <c r="K193" s="17"/>
      <c r="L193" s="17"/>
      <c r="M193" s="17"/>
      <c r="N193" s="17"/>
      <c r="O193" s="17"/>
      <c r="P193" s="17"/>
      <c r="Q193" s="17"/>
      <c r="R193" s="17"/>
      <c r="S193" s="17"/>
      <c r="T193" s="17"/>
      <c r="U193" s="17"/>
      <c r="V193" s="17"/>
      <c r="W193" s="17"/>
      <c r="X193" s="17"/>
      <c r="Y193" s="17"/>
      <c r="Z193" s="17"/>
    </row>
    <row r="194" ht="15.75" customHeight="1">
      <c r="A194" s="17"/>
      <c r="B194" s="17"/>
      <c r="C194" s="17"/>
      <c r="D194" s="17"/>
      <c r="E194" s="17"/>
      <c r="F194" s="17"/>
      <c r="G194" s="17"/>
      <c r="H194" s="17"/>
      <c r="I194" s="17"/>
      <c r="J194" s="17"/>
      <c r="K194" s="17"/>
      <c r="L194" s="17"/>
      <c r="M194" s="17"/>
      <c r="N194" s="17"/>
      <c r="O194" s="17"/>
      <c r="P194" s="17"/>
      <c r="Q194" s="17"/>
      <c r="R194" s="17"/>
      <c r="S194" s="17"/>
      <c r="T194" s="17"/>
      <c r="U194" s="17"/>
      <c r="V194" s="17"/>
      <c r="W194" s="17"/>
      <c r="X194" s="17"/>
      <c r="Y194" s="17"/>
      <c r="Z194" s="17"/>
    </row>
    <row r="195" ht="15.75" customHeight="1">
      <c r="A195" s="17"/>
      <c r="B195" s="17"/>
      <c r="C195" s="17"/>
      <c r="D195" s="17"/>
      <c r="E195" s="17"/>
      <c r="F195" s="17"/>
      <c r="G195" s="17"/>
      <c r="H195" s="17"/>
      <c r="I195" s="17"/>
      <c r="J195" s="17"/>
      <c r="K195" s="17"/>
      <c r="L195" s="17"/>
      <c r="M195" s="17"/>
      <c r="N195" s="17"/>
      <c r="O195" s="17"/>
      <c r="P195" s="17"/>
      <c r="Q195" s="17"/>
      <c r="R195" s="17"/>
      <c r="S195" s="17"/>
      <c r="T195" s="17"/>
      <c r="U195" s="17"/>
      <c r="V195" s="17"/>
      <c r="W195" s="17"/>
      <c r="X195" s="17"/>
      <c r="Y195" s="17"/>
      <c r="Z195" s="17"/>
    </row>
    <row r="196" ht="15.75" customHeight="1">
      <c r="A196" s="17"/>
      <c r="B196" s="17"/>
      <c r="C196" s="17"/>
      <c r="D196" s="17"/>
      <c r="E196" s="17"/>
      <c r="F196" s="17"/>
      <c r="G196" s="17"/>
      <c r="H196" s="17"/>
      <c r="I196" s="17"/>
      <c r="J196" s="17"/>
      <c r="K196" s="17"/>
      <c r="L196" s="17"/>
      <c r="M196" s="17"/>
      <c r="N196" s="17"/>
      <c r="O196" s="17"/>
      <c r="P196" s="17"/>
      <c r="Q196" s="17"/>
      <c r="R196" s="17"/>
      <c r="S196" s="17"/>
      <c r="T196" s="17"/>
      <c r="U196" s="17"/>
      <c r="V196" s="17"/>
      <c r="W196" s="17"/>
      <c r="X196" s="17"/>
      <c r="Y196" s="17"/>
      <c r="Z196" s="17"/>
    </row>
    <row r="197" ht="15.75" customHeight="1">
      <c r="A197" s="17"/>
      <c r="B197" s="17"/>
      <c r="C197" s="17"/>
      <c r="D197" s="17"/>
      <c r="E197" s="17"/>
      <c r="F197" s="17"/>
      <c r="G197" s="17"/>
      <c r="H197" s="17"/>
      <c r="I197" s="17"/>
      <c r="J197" s="17"/>
      <c r="K197" s="17"/>
      <c r="L197" s="17"/>
      <c r="M197" s="17"/>
      <c r="N197" s="17"/>
      <c r="O197" s="17"/>
      <c r="P197" s="17"/>
      <c r="Q197" s="17"/>
      <c r="R197" s="17"/>
      <c r="S197" s="17"/>
      <c r="T197" s="17"/>
      <c r="U197" s="17"/>
      <c r="V197" s="17"/>
      <c r="W197" s="17"/>
      <c r="X197" s="17"/>
      <c r="Y197" s="17"/>
      <c r="Z197" s="17"/>
    </row>
    <row r="198" ht="15.75" customHeight="1">
      <c r="A198" s="17"/>
      <c r="B198" s="17"/>
      <c r="C198" s="17"/>
      <c r="D198" s="17"/>
      <c r="E198" s="17"/>
      <c r="F198" s="17"/>
      <c r="G198" s="17"/>
      <c r="H198" s="17"/>
      <c r="I198" s="17"/>
      <c r="J198" s="17"/>
      <c r="K198" s="17"/>
      <c r="L198" s="17"/>
      <c r="M198" s="17"/>
      <c r="N198" s="17"/>
      <c r="O198" s="17"/>
      <c r="P198" s="17"/>
      <c r="Q198" s="17"/>
      <c r="R198" s="17"/>
      <c r="S198" s="17"/>
      <c r="T198" s="17"/>
      <c r="U198" s="17"/>
      <c r="V198" s="17"/>
      <c r="W198" s="17"/>
      <c r="X198" s="17"/>
      <c r="Y198" s="17"/>
      <c r="Z198" s="17"/>
    </row>
    <row r="199" ht="15.75" customHeight="1">
      <c r="A199" s="17"/>
      <c r="B199" s="17"/>
      <c r="C199" s="17"/>
      <c r="D199" s="17"/>
      <c r="E199" s="17"/>
      <c r="F199" s="17"/>
      <c r="G199" s="17"/>
      <c r="H199" s="17"/>
      <c r="I199" s="17"/>
      <c r="J199" s="17"/>
      <c r="K199" s="17"/>
      <c r="L199" s="17"/>
      <c r="M199" s="17"/>
      <c r="N199" s="17"/>
      <c r="O199" s="17"/>
      <c r="P199" s="17"/>
      <c r="Q199" s="17"/>
      <c r="R199" s="17"/>
      <c r="S199" s="17"/>
      <c r="T199" s="17"/>
      <c r="U199" s="17"/>
      <c r="V199" s="17"/>
      <c r="W199" s="17"/>
      <c r="X199" s="17"/>
      <c r="Y199" s="17"/>
      <c r="Z199" s="17"/>
    </row>
    <row r="200" ht="15.75" customHeight="1">
      <c r="A200" s="17"/>
      <c r="B200" s="17"/>
      <c r="C200" s="17"/>
      <c r="D200" s="17"/>
      <c r="E200" s="17"/>
      <c r="F200" s="17"/>
      <c r="G200" s="17"/>
      <c r="H200" s="17"/>
      <c r="I200" s="17"/>
      <c r="J200" s="17"/>
      <c r="K200" s="17"/>
      <c r="L200" s="17"/>
      <c r="M200" s="17"/>
      <c r="N200" s="17"/>
      <c r="O200" s="17"/>
      <c r="P200" s="17"/>
      <c r="Q200" s="17"/>
      <c r="R200" s="17"/>
      <c r="S200" s="17"/>
      <c r="T200" s="17"/>
      <c r="U200" s="17"/>
      <c r="V200" s="17"/>
      <c r="W200" s="17"/>
      <c r="X200" s="17"/>
      <c r="Y200" s="17"/>
      <c r="Z200" s="17"/>
    </row>
    <row r="201" ht="15.75" customHeight="1">
      <c r="A201" s="17"/>
      <c r="B201" s="17"/>
      <c r="C201" s="17"/>
      <c r="D201" s="17"/>
      <c r="E201" s="17"/>
      <c r="F201" s="17"/>
      <c r="G201" s="17"/>
      <c r="H201" s="17"/>
      <c r="I201" s="17"/>
      <c r="J201" s="17"/>
      <c r="K201" s="17"/>
      <c r="L201" s="17"/>
      <c r="M201" s="17"/>
      <c r="N201" s="17"/>
      <c r="O201" s="17"/>
      <c r="P201" s="17"/>
      <c r="Q201" s="17"/>
      <c r="R201" s="17"/>
      <c r="S201" s="17"/>
      <c r="T201" s="17"/>
      <c r="U201" s="17"/>
      <c r="V201" s="17"/>
      <c r="W201" s="17"/>
      <c r="X201" s="17"/>
      <c r="Y201" s="17"/>
      <c r="Z201" s="17"/>
    </row>
    <row r="202" ht="15.75" customHeight="1">
      <c r="A202" s="17"/>
      <c r="B202" s="17"/>
      <c r="C202" s="17"/>
      <c r="D202" s="17"/>
      <c r="E202" s="17"/>
      <c r="F202" s="17"/>
      <c r="G202" s="17"/>
      <c r="H202" s="17"/>
      <c r="I202" s="17"/>
      <c r="J202" s="17"/>
      <c r="K202" s="17"/>
      <c r="L202" s="17"/>
      <c r="M202" s="17"/>
      <c r="N202" s="17"/>
      <c r="O202" s="17"/>
      <c r="P202" s="17"/>
      <c r="Q202" s="17"/>
      <c r="R202" s="17"/>
      <c r="S202" s="17"/>
      <c r="T202" s="17"/>
      <c r="U202" s="17"/>
      <c r="V202" s="17"/>
      <c r="W202" s="17"/>
      <c r="X202" s="17"/>
      <c r="Y202" s="17"/>
      <c r="Z202" s="17"/>
    </row>
    <row r="203" ht="15.75" customHeight="1">
      <c r="A203" s="17"/>
      <c r="B203" s="17"/>
      <c r="C203" s="17"/>
      <c r="D203" s="17"/>
      <c r="E203" s="17"/>
      <c r="F203" s="17"/>
      <c r="G203" s="17"/>
      <c r="H203" s="17"/>
      <c r="I203" s="17"/>
      <c r="J203" s="17"/>
      <c r="K203" s="17"/>
      <c r="L203" s="17"/>
      <c r="M203" s="17"/>
      <c r="N203" s="17"/>
      <c r="O203" s="17"/>
      <c r="P203" s="17"/>
      <c r="Q203" s="17"/>
      <c r="R203" s="17"/>
      <c r="S203" s="17"/>
      <c r="T203" s="17"/>
      <c r="U203" s="17"/>
      <c r="V203" s="17"/>
      <c r="W203" s="17"/>
      <c r="X203" s="17"/>
      <c r="Y203" s="17"/>
      <c r="Z203" s="17"/>
    </row>
    <row r="204" ht="15.75" customHeight="1">
      <c r="A204" s="17"/>
      <c r="B204" s="17"/>
      <c r="C204" s="17"/>
      <c r="D204" s="17"/>
      <c r="E204" s="17"/>
      <c r="F204" s="17"/>
      <c r="G204" s="17"/>
      <c r="H204" s="17"/>
      <c r="I204" s="17"/>
      <c r="J204" s="17"/>
      <c r="K204" s="17"/>
      <c r="L204" s="17"/>
      <c r="M204" s="17"/>
      <c r="N204" s="17"/>
      <c r="O204" s="17"/>
      <c r="P204" s="17"/>
      <c r="Q204" s="17"/>
      <c r="R204" s="17"/>
      <c r="S204" s="17"/>
      <c r="T204" s="17"/>
      <c r="U204" s="17"/>
      <c r="V204" s="17"/>
      <c r="W204" s="17"/>
      <c r="X204" s="17"/>
      <c r="Y204" s="17"/>
      <c r="Z204" s="17"/>
    </row>
    <row r="205" ht="15.75" customHeight="1">
      <c r="A205" s="17"/>
      <c r="B205" s="17"/>
      <c r="C205" s="17"/>
      <c r="D205" s="17"/>
      <c r="E205" s="17"/>
      <c r="F205" s="17"/>
      <c r="G205" s="17"/>
      <c r="H205" s="17"/>
      <c r="I205" s="17"/>
      <c r="J205" s="17"/>
      <c r="K205" s="17"/>
      <c r="L205" s="17"/>
      <c r="M205" s="17"/>
      <c r="N205" s="17"/>
      <c r="O205" s="17"/>
      <c r="P205" s="17"/>
      <c r="Q205" s="17"/>
      <c r="R205" s="17"/>
      <c r="S205" s="17"/>
      <c r="T205" s="17"/>
      <c r="U205" s="17"/>
      <c r="V205" s="17"/>
      <c r="W205" s="17"/>
      <c r="X205" s="17"/>
      <c r="Y205" s="17"/>
      <c r="Z205" s="17"/>
    </row>
    <row r="206" ht="15.75" customHeight="1">
      <c r="A206" s="17"/>
      <c r="B206" s="17"/>
      <c r="C206" s="17"/>
      <c r="D206" s="17"/>
      <c r="E206" s="17"/>
      <c r="F206" s="17"/>
      <c r="G206" s="17"/>
      <c r="H206" s="17"/>
      <c r="I206" s="17"/>
      <c r="J206" s="17"/>
      <c r="K206" s="17"/>
      <c r="L206" s="17"/>
      <c r="M206" s="17"/>
      <c r="N206" s="17"/>
      <c r="O206" s="17"/>
      <c r="P206" s="17"/>
      <c r="Q206" s="17"/>
      <c r="R206" s="17"/>
      <c r="S206" s="17"/>
      <c r="T206" s="17"/>
      <c r="U206" s="17"/>
      <c r="V206" s="17"/>
      <c r="W206" s="17"/>
      <c r="X206" s="17"/>
      <c r="Y206" s="17"/>
      <c r="Z206" s="17"/>
    </row>
    <row r="207" ht="15.75" customHeight="1">
      <c r="A207" s="17"/>
      <c r="B207" s="17"/>
      <c r="C207" s="17"/>
      <c r="D207" s="17"/>
      <c r="E207" s="17"/>
      <c r="F207" s="17"/>
      <c r="G207" s="17"/>
      <c r="H207" s="17"/>
      <c r="I207" s="17"/>
      <c r="J207" s="17"/>
      <c r="K207" s="17"/>
      <c r="L207" s="17"/>
      <c r="M207" s="17"/>
      <c r="N207" s="17"/>
      <c r="O207" s="17"/>
      <c r="P207" s="17"/>
      <c r="Q207" s="17"/>
      <c r="R207" s="17"/>
      <c r="S207" s="17"/>
      <c r="T207" s="17"/>
      <c r="U207" s="17"/>
      <c r="V207" s="17"/>
      <c r="W207" s="17"/>
      <c r="X207" s="17"/>
      <c r="Y207" s="17"/>
      <c r="Z207" s="17"/>
    </row>
    <row r="208" ht="15.75" customHeight="1">
      <c r="A208" s="17"/>
      <c r="B208" s="17"/>
      <c r="C208" s="17"/>
      <c r="D208" s="17"/>
      <c r="E208" s="17"/>
      <c r="F208" s="17"/>
      <c r="G208" s="17"/>
      <c r="H208" s="17"/>
      <c r="I208" s="17"/>
      <c r="J208" s="17"/>
      <c r="K208" s="17"/>
      <c r="L208" s="17"/>
      <c r="M208" s="17"/>
      <c r="N208" s="17"/>
      <c r="O208" s="17"/>
      <c r="P208" s="17"/>
      <c r="Q208" s="17"/>
      <c r="R208" s="17"/>
      <c r="S208" s="17"/>
      <c r="T208" s="17"/>
      <c r="U208" s="17"/>
      <c r="V208" s="17"/>
      <c r="W208" s="17"/>
      <c r="X208" s="17"/>
      <c r="Y208" s="17"/>
      <c r="Z208" s="17"/>
    </row>
    <row r="209" ht="15.75" customHeight="1">
      <c r="A209" s="17"/>
      <c r="B209" s="17"/>
      <c r="C209" s="17"/>
      <c r="D209" s="17"/>
      <c r="E209" s="17"/>
      <c r="F209" s="17"/>
      <c r="G209" s="17"/>
      <c r="H209" s="17"/>
      <c r="I209" s="17"/>
      <c r="J209" s="17"/>
      <c r="K209" s="17"/>
      <c r="L209" s="17"/>
      <c r="M209" s="17"/>
      <c r="N209" s="17"/>
      <c r="O209" s="17"/>
      <c r="P209" s="17"/>
      <c r="Q209" s="17"/>
      <c r="R209" s="17"/>
      <c r="S209" s="17"/>
      <c r="T209" s="17"/>
      <c r="U209" s="17"/>
      <c r="V209" s="17"/>
      <c r="W209" s="17"/>
      <c r="X209" s="17"/>
      <c r="Y209" s="17"/>
      <c r="Z209" s="17"/>
    </row>
    <row r="210" ht="15.75" customHeight="1">
      <c r="A210" s="17"/>
      <c r="B210" s="17"/>
      <c r="C210" s="17"/>
      <c r="D210" s="17"/>
      <c r="E210" s="17"/>
      <c r="F210" s="17"/>
      <c r="G210" s="17"/>
      <c r="H210" s="17"/>
      <c r="I210" s="17"/>
      <c r="J210" s="17"/>
      <c r="K210" s="17"/>
      <c r="L210" s="17"/>
      <c r="M210" s="17"/>
      <c r="N210" s="17"/>
      <c r="O210" s="17"/>
      <c r="P210" s="17"/>
      <c r="Q210" s="17"/>
      <c r="R210" s="17"/>
      <c r="S210" s="17"/>
      <c r="T210" s="17"/>
      <c r="U210" s="17"/>
      <c r="V210" s="17"/>
      <c r="W210" s="17"/>
      <c r="X210" s="17"/>
      <c r="Y210" s="17"/>
      <c r="Z210" s="17"/>
    </row>
    <row r="211" ht="15.75" customHeight="1">
      <c r="A211" s="17"/>
      <c r="B211" s="17"/>
      <c r="C211" s="17"/>
      <c r="D211" s="17"/>
      <c r="E211" s="17"/>
      <c r="F211" s="17"/>
      <c r="G211" s="17"/>
      <c r="H211" s="17"/>
      <c r="I211" s="17"/>
      <c r="J211" s="17"/>
      <c r="K211" s="17"/>
      <c r="L211" s="17"/>
      <c r="M211" s="17"/>
      <c r="N211" s="17"/>
      <c r="O211" s="17"/>
      <c r="P211" s="17"/>
      <c r="Q211" s="17"/>
      <c r="R211" s="17"/>
      <c r="S211" s="17"/>
      <c r="T211" s="17"/>
      <c r="U211" s="17"/>
      <c r="V211" s="17"/>
      <c r="W211" s="17"/>
      <c r="X211" s="17"/>
      <c r="Y211" s="17"/>
      <c r="Z211" s="17"/>
    </row>
    <row r="212" ht="15.75" customHeight="1">
      <c r="A212" s="17"/>
      <c r="B212" s="17"/>
      <c r="C212" s="17"/>
      <c r="D212" s="17"/>
      <c r="E212" s="17"/>
      <c r="F212" s="17"/>
      <c r="G212" s="17"/>
      <c r="H212" s="17"/>
      <c r="I212" s="17"/>
      <c r="J212" s="17"/>
      <c r="K212" s="17"/>
      <c r="L212" s="17"/>
      <c r="M212" s="17"/>
      <c r="N212" s="17"/>
      <c r="O212" s="17"/>
      <c r="P212" s="17"/>
      <c r="Q212" s="17"/>
      <c r="R212" s="17"/>
      <c r="S212" s="17"/>
      <c r="T212" s="17"/>
      <c r="U212" s="17"/>
      <c r="V212" s="17"/>
      <c r="W212" s="17"/>
      <c r="X212" s="17"/>
      <c r="Y212" s="17"/>
      <c r="Z212" s="17"/>
    </row>
    <row r="213" ht="15.75" customHeight="1">
      <c r="A213" s="17"/>
      <c r="B213" s="17"/>
      <c r="C213" s="17"/>
      <c r="D213" s="17"/>
      <c r="E213" s="17"/>
      <c r="F213" s="17"/>
      <c r="G213" s="17"/>
      <c r="H213" s="17"/>
      <c r="I213" s="17"/>
      <c r="J213" s="17"/>
      <c r="K213" s="17"/>
      <c r="L213" s="17"/>
      <c r="M213" s="17"/>
      <c r="N213" s="17"/>
      <c r="O213" s="17"/>
      <c r="P213" s="17"/>
      <c r="Q213" s="17"/>
      <c r="R213" s="17"/>
      <c r="S213" s="17"/>
      <c r="T213" s="17"/>
      <c r="U213" s="17"/>
      <c r="V213" s="17"/>
      <c r="W213" s="17"/>
      <c r="X213" s="17"/>
      <c r="Y213" s="17"/>
      <c r="Z213" s="17"/>
    </row>
    <row r="214" ht="15.75" customHeight="1">
      <c r="A214" s="17"/>
      <c r="B214" s="17"/>
      <c r="C214" s="17"/>
      <c r="D214" s="17"/>
      <c r="E214" s="17"/>
      <c r="F214" s="17"/>
      <c r="G214" s="17"/>
      <c r="H214" s="17"/>
      <c r="I214" s="17"/>
      <c r="J214" s="17"/>
      <c r="K214" s="17"/>
      <c r="L214" s="17"/>
      <c r="M214" s="17"/>
      <c r="N214" s="17"/>
      <c r="O214" s="17"/>
      <c r="P214" s="17"/>
      <c r="Q214" s="17"/>
      <c r="R214" s="17"/>
      <c r="S214" s="17"/>
      <c r="T214" s="17"/>
      <c r="U214" s="17"/>
      <c r="V214" s="17"/>
      <c r="W214" s="17"/>
      <c r="X214" s="17"/>
      <c r="Y214" s="17"/>
      <c r="Z214" s="17"/>
    </row>
    <row r="215" ht="15.75" customHeight="1">
      <c r="A215" s="17"/>
      <c r="B215" s="17"/>
      <c r="C215" s="17"/>
      <c r="D215" s="17"/>
      <c r="E215" s="17"/>
      <c r="F215" s="17"/>
      <c r="G215" s="17"/>
      <c r="H215" s="17"/>
      <c r="I215" s="17"/>
      <c r="J215" s="17"/>
      <c r="K215" s="17"/>
      <c r="L215" s="17"/>
      <c r="M215" s="17"/>
      <c r="N215" s="17"/>
      <c r="O215" s="17"/>
      <c r="P215" s="17"/>
      <c r="Q215" s="17"/>
      <c r="R215" s="17"/>
      <c r="S215" s="17"/>
      <c r="T215" s="17"/>
      <c r="U215" s="17"/>
      <c r="V215" s="17"/>
      <c r="W215" s="17"/>
      <c r="X215" s="17"/>
      <c r="Y215" s="17"/>
      <c r="Z215" s="17"/>
    </row>
    <row r="216" ht="15.75" customHeight="1">
      <c r="A216" s="17"/>
      <c r="B216" s="17"/>
      <c r="C216" s="17"/>
      <c r="D216" s="17"/>
      <c r="E216" s="17"/>
      <c r="F216" s="17"/>
      <c r="G216" s="17"/>
      <c r="H216" s="17"/>
      <c r="I216" s="17"/>
      <c r="J216" s="17"/>
      <c r="K216" s="17"/>
      <c r="L216" s="17"/>
      <c r="M216" s="17"/>
      <c r="N216" s="17"/>
      <c r="O216" s="17"/>
      <c r="P216" s="17"/>
      <c r="Q216" s="17"/>
      <c r="R216" s="17"/>
      <c r="S216" s="17"/>
      <c r="T216" s="17"/>
      <c r="U216" s="17"/>
      <c r="V216" s="17"/>
      <c r="W216" s="17"/>
      <c r="X216" s="17"/>
      <c r="Y216" s="17"/>
      <c r="Z216" s="17"/>
    </row>
    <row r="217" ht="15.75" customHeight="1">
      <c r="A217" s="17"/>
      <c r="B217" s="17"/>
      <c r="C217" s="17"/>
      <c r="D217" s="17"/>
      <c r="E217" s="17"/>
      <c r="F217" s="17"/>
      <c r="G217" s="17"/>
      <c r="H217" s="17"/>
      <c r="I217" s="17"/>
      <c r="J217" s="17"/>
      <c r="K217" s="17"/>
      <c r="L217" s="17"/>
      <c r="M217" s="17"/>
      <c r="N217" s="17"/>
      <c r="O217" s="17"/>
      <c r="P217" s="17"/>
      <c r="Q217" s="17"/>
      <c r="R217" s="17"/>
      <c r="S217" s="17"/>
      <c r="T217" s="17"/>
      <c r="U217" s="17"/>
      <c r="V217" s="17"/>
      <c r="W217" s="17"/>
      <c r="X217" s="17"/>
      <c r="Y217" s="17"/>
      <c r="Z217" s="17"/>
    </row>
    <row r="218" ht="15.75" customHeight="1">
      <c r="A218" s="17"/>
      <c r="B218" s="17"/>
      <c r="C218" s="17"/>
      <c r="D218" s="17"/>
      <c r="E218" s="17"/>
      <c r="F218" s="17"/>
      <c r="G218" s="17"/>
      <c r="H218" s="17"/>
      <c r="I218" s="17"/>
      <c r="J218" s="17"/>
      <c r="K218" s="17"/>
      <c r="L218" s="17"/>
      <c r="M218" s="17"/>
      <c r="N218" s="17"/>
      <c r="O218" s="17"/>
      <c r="P218" s="17"/>
      <c r="Q218" s="17"/>
      <c r="R218" s="17"/>
      <c r="S218" s="17"/>
      <c r="T218" s="17"/>
      <c r="U218" s="17"/>
      <c r="V218" s="17"/>
      <c r="W218" s="17"/>
      <c r="X218" s="17"/>
      <c r="Y218" s="17"/>
      <c r="Z218" s="17"/>
    </row>
    <row r="219" ht="15.75" customHeight="1">
      <c r="A219" s="17"/>
      <c r="B219" s="17"/>
      <c r="C219" s="17"/>
      <c r="D219" s="17"/>
      <c r="E219" s="17"/>
      <c r="F219" s="17"/>
      <c r="G219" s="17"/>
      <c r="H219" s="17"/>
      <c r="I219" s="17"/>
      <c r="J219" s="17"/>
      <c r="K219" s="17"/>
      <c r="L219" s="17"/>
      <c r="M219" s="17"/>
      <c r="N219" s="17"/>
      <c r="O219" s="17"/>
      <c r="P219" s="17"/>
      <c r="Q219" s="17"/>
      <c r="R219" s="17"/>
      <c r="S219" s="17"/>
      <c r="T219" s="17"/>
      <c r="U219" s="17"/>
      <c r="V219" s="17"/>
      <c r="W219" s="17"/>
      <c r="X219" s="17"/>
      <c r="Y219" s="17"/>
      <c r="Z219" s="17"/>
    </row>
    <row r="220" ht="15.75" customHeight="1">
      <c r="A220" s="17"/>
      <c r="B220" s="17"/>
      <c r="C220" s="17"/>
      <c r="D220" s="17"/>
      <c r="E220" s="17"/>
      <c r="F220" s="17"/>
      <c r="G220" s="17"/>
      <c r="H220" s="17"/>
      <c r="I220" s="17"/>
      <c r="J220" s="17"/>
      <c r="K220" s="17"/>
      <c r="L220" s="17"/>
      <c r="M220" s="17"/>
      <c r="N220" s="17"/>
      <c r="O220" s="17"/>
      <c r="P220" s="17"/>
      <c r="Q220" s="17"/>
      <c r="R220" s="17"/>
      <c r="S220" s="17"/>
      <c r="T220" s="17"/>
      <c r="U220" s="17"/>
      <c r="V220" s="17"/>
      <c r="W220" s="17"/>
      <c r="X220" s="17"/>
      <c r="Y220" s="17"/>
      <c r="Z220" s="17"/>
    </row>
    <row r="221" ht="15.75" customHeight="1">
      <c r="A221" s="17"/>
      <c r="B221" s="17"/>
      <c r="C221" s="17"/>
      <c r="D221" s="17"/>
      <c r="E221" s="17"/>
      <c r="F221" s="17"/>
      <c r="G221" s="17"/>
      <c r="H221" s="17"/>
      <c r="I221" s="17"/>
      <c r="J221" s="17"/>
      <c r="K221" s="17"/>
      <c r="L221" s="17"/>
      <c r="M221" s="17"/>
      <c r="N221" s="17"/>
      <c r="O221" s="17"/>
      <c r="P221" s="17"/>
      <c r="Q221" s="17"/>
      <c r="R221" s="17"/>
      <c r="S221" s="17"/>
      <c r="T221" s="17"/>
      <c r="U221" s="17"/>
      <c r="V221" s="17"/>
      <c r="W221" s="17"/>
      <c r="X221" s="17"/>
      <c r="Y221" s="17"/>
      <c r="Z221" s="17"/>
    </row>
    <row r="222" ht="15.75" customHeight="1">
      <c r="A222" s="17"/>
      <c r="B222" s="17"/>
      <c r="C222" s="17"/>
      <c r="D222" s="17"/>
      <c r="E222" s="17"/>
      <c r="F222" s="17"/>
      <c r="G222" s="17"/>
      <c r="H222" s="17"/>
      <c r="I222" s="17"/>
      <c r="J222" s="17"/>
      <c r="K222" s="17"/>
      <c r="L222" s="17"/>
      <c r="M222" s="17"/>
      <c r="N222" s="17"/>
      <c r="O222" s="17"/>
      <c r="P222" s="17"/>
      <c r="Q222" s="17"/>
      <c r="R222" s="17"/>
      <c r="S222" s="17"/>
      <c r="T222" s="17"/>
      <c r="U222" s="17"/>
      <c r="V222" s="17"/>
      <c r="W222" s="17"/>
      <c r="X222" s="17"/>
      <c r="Y222" s="17"/>
      <c r="Z222" s="17"/>
    </row>
    <row r="223" ht="15.75" customHeight="1">
      <c r="A223" s="17"/>
      <c r="B223" s="17"/>
      <c r="C223" s="17"/>
      <c r="D223" s="17"/>
      <c r="E223" s="17"/>
      <c r="F223" s="17"/>
      <c r="G223" s="17"/>
      <c r="H223" s="17"/>
      <c r="I223" s="17"/>
      <c r="J223" s="17"/>
      <c r="K223" s="17"/>
      <c r="L223" s="17"/>
      <c r="M223" s="17"/>
      <c r="N223" s="17"/>
      <c r="O223" s="17"/>
      <c r="P223" s="17"/>
      <c r="Q223" s="17"/>
      <c r="R223" s="17"/>
      <c r="S223" s="17"/>
      <c r="T223" s="17"/>
      <c r="U223" s="17"/>
      <c r="V223" s="17"/>
      <c r="W223" s="17"/>
      <c r="X223" s="17"/>
      <c r="Y223" s="17"/>
      <c r="Z223" s="17"/>
    </row>
    <row r="224" ht="15.75" customHeight="1">
      <c r="A224" s="17"/>
      <c r="B224" s="17"/>
      <c r="C224" s="17"/>
      <c r="D224" s="17"/>
      <c r="E224" s="17"/>
      <c r="F224" s="17"/>
      <c r="G224" s="17"/>
      <c r="H224" s="17"/>
      <c r="I224" s="17"/>
      <c r="J224" s="17"/>
      <c r="K224" s="17"/>
      <c r="L224" s="17"/>
      <c r="M224" s="17"/>
      <c r="N224" s="17"/>
      <c r="O224" s="17"/>
      <c r="P224" s="17"/>
      <c r="Q224" s="17"/>
      <c r="R224" s="17"/>
      <c r="S224" s="17"/>
      <c r="T224" s="17"/>
      <c r="U224" s="17"/>
      <c r="V224" s="17"/>
      <c r="W224" s="17"/>
      <c r="X224" s="17"/>
      <c r="Y224" s="17"/>
      <c r="Z224" s="17"/>
    </row>
    <row r="225" ht="15.75" customHeight="1">
      <c r="A225" s="17"/>
      <c r="B225" s="17"/>
      <c r="C225" s="17"/>
      <c r="D225" s="17"/>
      <c r="E225" s="17"/>
      <c r="F225" s="17"/>
      <c r="G225" s="17"/>
      <c r="H225" s="17"/>
      <c r="I225" s="17"/>
      <c r="J225" s="17"/>
      <c r="K225" s="17"/>
      <c r="L225" s="17"/>
      <c r="M225" s="17"/>
      <c r="N225" s="17"/>
      <c r="O225" s="17"/>
      <c r="P225" s="17"/>
      <c r="Q225" s="17"/>
      <c r="R225" s="17"/>
      <c r="S225" s="17"/>
      <c r="T225" s="17"/>
      <c r="U225" s="17"/>
      <c r="V225" s="17"/>
      <c r="W225" s="17"/>
      <c r="X225" s="17"/>
      <c r="Y225" s="17"/>
      <c r="Z225" s="17"/>
    </row>
    <row r="226" ht="15.75" customHeight="1">
      <c r="A226" s="17"/>
      <c r="B226" s="17"/>
      <c r="C226" s="17"/>
      <c r="D226" s="17"/>
      <c r="E226" s="17"/>
      <c r="F226" s="17"/>
      <c r="G226" s="17"/>
      <c r="H226" s="17"/>
      <c r="I226" s="17"/>
      <c r="J226" s="17"/>
      <c r="K226" s="17"/>
      <c r="L226" s="17"/>
      <c r="M226" s="17"/>
      <c r="N226" s="17"/>
      <c r="O226" s="17"/>
      <c r="P226" s="17"/>
      <c r="Q226" s="17"/>
      <c r="R226" s="17"/>
      <c r="S226" s="17"/>
      <c r="T226" s="17"/>
      <c r="U226" s="17"/>
      <c r="V226" s="17"/>
      <c r="W226" s="17"/>
      <c r="X226" s="17"/>
      <c r="Y226" s="17"/>
      <c r="Z226" s="17"/>
    </row>
    <row r="227" ht="15.75" customHeight="1">
      <c r="A227" s="17"/>
      <c r="B227" s="17"/>
      <c r="C227" s="17"/>
      <c r="D227" s="17"/>
      <c r="E227" s="17"/>
      <c r="F227" s="17"/>
      <c r="G227" s="17"/>
      <c r="H227" s="17"/>
      <c r="I227" s="17"/>
      <c r="J227" s="17"/>
      <c r="K227" s="17"/>
      <c r="L227" s="17"/>
      <c r="M227" s="17"/>
      <c r="N227" s="17"/>
      <c r="O227" s="17"/>
      <c r="P227" s="17"/>
      <c r="Q227" s="17"/>
      <c r="R227" s="17"/>
      <c r="S227" s="17"/>
      <c r="T227" s="17"/>
      <c r="U227" s="17"/>
      <c r="V227" s="17"/>
      <c r="W227" s="17"/>
      <c r="X227" s="17"/>
      <c r="Y227" s="17"/>
      <c r="Z227" s="17"/>
    </row>
    <row r="228" ht="15.75" customHeight="1">
      <c r="A228" s="17"/>
      <c r="B228" s="17"/>
      <c r="C228" s="17"/>
      <c r="D228" s="17"/>
      <c r="E228" s="17"/>
      <c r="F228" s="17"/>
      <c r="G228" s="17"/>
      <c r="H228" s="17"/>
      <c r="I228" s="17"/>
      <c r="J228" s="17"/>
      <c r="K228" s="17"/>
      <c r="L228" s="17"/>
      <c r="M228" s="17"/>
      <c r="N228" s="17"/>
      <c r="O228" s="17"/>
      <c r="P228" s="17"/>
      <c r="Q228" s="17"/>
      <c r="R228" s="17"/>
      <c r="S228" s="17"/>
      <c r="T228" s="17"/>
      <c r="U228" s="17"/>
      <c r="V228" s="17"/>
      <c r="W228" s="17"/>
      <c r="X228" s="17"/>
      <c r="Y228" s="17"/>
      <c r="Z228" s="17"/>
    </row>
    <row r="229" ht="15.75" customHeight="1">
      <c r="A229" s="17"/>
      <c r="B229" s="17"/>
      <c r="C229" s="17"/>
      <c r="D229" s="17"/>
      <c r="E229" s="17"/>
      <c r="F229" s="17"/>
      <c r="G229" s="17"/>
      <c r="H229" s="17"/>
      <c r="I229" s="17"/>
      <c r="J229" s="17"/>
      <c r="K229" s="17"/>
      <c r="L229" s="17"/>
      <c r="M229" s="17"/>
      <c r="N229" s="17"/>
      <c r="O229" s="17"/>
      <c r="P229" s="17"/>
      <c r="Q229" s="17"/>
      <c r="R229" s="17"/>
      <c r="S229" s="17"/>
      <c r="T229" s="17"/>
      <c r="U229" s="17"/>
      <c r="V229" s="17"/>
      <c r="W229" s="17"/>
      <c r="X229" s="17"/>
      <c r="Y229" s="17"/>
      <c r="Z229" s="17"/>
    </row>
    <row r="230" ht="15.75" customHeight="1">
      <c r="A230" s="17"/>
      <c r="B230" s="17"/>
      <c r="C230" s="17"/>
      <c r="D230" s="17"/>
      <c r="E230" s="17"/>
      <c r="F230" s="17"/>
      <c r="G230" s="17"/>
      <c r="H230" s="17"/>
      <c r="I230" s="17"/>
      <c r="J230" s="17"/>
      <c r="K230" s="17"/>
      <c r="L230" s="17"/>
      <c r="M230" s="17"/>
      <c r="N230" s="17"/>
      <c r="O230" s="17"/>
      <c r="P230" s="17"/>
      <c r="Q230" s="17"/>
      <c r="R230" s="17"/>
      <c r="S230" s="17"/>
      <c r="T230" s="17"/>
      <c r="U230" s="17"/>
      <c r="V230" s="17"/>
      <c r="W230" s="17"/>
      <c r="X230" s="17"/>
      <c r="Y230" s="17"/>
      <c r="Z230" s="17"/>
    </row>
    <row r="231" ht="15.75" customHeight="1">
      <c r="A231" s="17"/>
      <c r="B231" s="17"/>
      <c r="C231" s="17"/>
      <c r="D231" s="17"/>
      <c r="E231" s="17"/>
      <c r="F231" s="17"/>
      <c r="G231" s="17"/>
      <c r="H231" s="17"/>
      <c r="I231" s="17"/>
      <c r="J231" s="17"/>
      <c r="K231" s="17"/>
      <c r="L231" s="17"/>
      <c r="M231" s="17"/>
      <c r="N231" s="17"/>
      <c r="O231" s="17"/>
      <c r="P231" s="17"/>
      <c r="Q231" s="17"/>
      <c r="R231" s="17"/>
      <c r="S231" s="17"/>
      <c r="T231" s="17"/>
      <c r="U231" s="17"/>
      <c r="V231" s="17"/>
      <c r="W231" s="17"/>
      <c r="X231" s="17"/>
      <c r="Y231" s="17"/>
      <c r="Z231" s="17"/>
    </row>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9">
    <mergeCell ref="C8:J8"/>
    <mergeCell ref="C9:H9"/>
    <mergeCell ref="I9:J10"/>
    <mergeCell ref="C10:C11"/>
    <mergeCell ref="D10:G10"/>
    <mergeCell ref="I11:J11"/>
    <mergeCell ref="I12:J12"/>
    <mergeCell ref="I20:J20"/>
    <mergeCell ref="C21:G21"/>
    <mergeCell ref="C22:G22"/>
    <mergeCell ref="C23:G23"/>
    <mergeCell ref="C24:H24"/>
    <mergeCell ref="I13:J13"/>
    <mergeCell ref="I14:J14"/>
    <mergeCell ref="I15:J15"/>
    <mergeCell ref="I16:J16"/>
    <mergeCell ref="I17:J17"/>
    <mergeCell ref="I18:J18"/>
    <mergeCell ref="I19:J19"/>
  </mergeCells>
  <printOptions/>
  <pageMargins bottom="0.75" footer="0.0" header="0.0" left="0.7" right="0.7" top="0.75"/>
  <pageSetup orientation="portrait"/>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showGridLines="0" workbookViewId="0"/>
  </sheetViews>
  <sheetFormatPr customHeight="1" defaultColWidth="14.43" defaultRowHeight="15.0"/>
  <cols>
    <col customWidth="1" min="1" max="1" width="9.14"/>
    <col customWidth="1" min="2" max="2" width="7.14"/>
    <col customWidth="1" min="3" max="3" width="19.0"/>
    <col customWidth="1" min="4" max="4" width="26.86"/>
    <col customWidth="1" min="5" max="5" width="10.29"/>
    <col customWidth="1" min="6" max="6" width="7.29"/>
    <col customWidth="1" min="7" max="7" width="9.71"/>
    <col customWidth="1" min="8" max="8" width="12.71"/>
    <col customWidth="1" min="9" max="9" width="11.71"/>
    <col customWidth="1" min="10" max="10" width="14.14"/>
    <col customWidth="1" min="11" max="11" width="7.86"/>
    <col customWidth="1" min="12" max="26" width="9.14"/>
  </cols>
  <sheetData>
    <row r="1">
      <c r="A1" s="17"/>
      <c r="B1" s="17"/>
      <c r="C1" s="17"/>
      <c r="D1" s="17"/>
      <c r="E1" s="248" t="s">
        <v>212</v>
      </c>
      <c r="F1" s="17"/>
      <c r="G1" s="17"/>
      <c r="H1" s="17"/>
      <c r="I1" s="17"/>
      <c r="J1" s="17"/>
      <c r="K1" s="17"/>
      <c r="L1" s="17"/>
      <c r="M1" s="17"/>
      <c r="N1" s="17"/>
      <c r="O1" s="17"/>
      <c r="P1" s="17"/>
      <c r="Q1" s="17"/>
      <c r="R1" s="17"/>
      <c r="S1" s="17"/>
      <c r="T1" s="17"/>
      <c r="U1" s="17"/>
      <c r="V1" s="17"/>
      <c r="W1" s="17"/>
      <c r="X1" s="17"/>
      <c r="Y1" s="17"/>
      <c r="Z1" s="17"/>
    </row>
    <row r="2">
      <c r="A2" s="17"/>
      <c r="B2" s="17"/>
      <c r="C2" s="17"/>
      <c r="D2" s="17"/>
      <c r="E2" s="17"/>
      <c r="F2" s="17"/>
      <c r="G2" s="17"/>
      <c r="H2" s="17"/>
      <c r="I2" s="17"/>
      <c r="J2" s="17"/>
      <c r="K2" s="17"/>
      <c r="L2" s="17"/>
      <c r="M2" s="17"/>
      <c r="N2" s="17"/>
      <c r="O2" s="17"/>
      <c r="P2" s="17"/>
      <c r="Q2" s="17"/>
      <c r="R2" s="17"/>
      <c r="S2" s="17"/>
      <c r="T2" s="17"/>
      <c r="U2" s="17"/>
      <c r="V2" s="17"/>
      <c r="W2" s="17"/>
      <c r="X2" s="17"/>
      <c r="Y2" s="17"/>
      <c r="Z2" s="17"/>
    </row>
    <row r="3">
      <c r="A3" s="17"/>
      <c r="B3" s="56"/>
      <c r="C3" s="57" t="s">
        <v>1</v>
      </c>
      <c r="D3" s="203" t="str">
        <f>'CO_attainment for Indirect'!D4</f>
        <v>Data Structures Using _C</v>
      </c>
      <c r="E3" s="17"/>
      <c r="F3" s="17"/>
      <c r="G3" s="17"/>
      <c r="H3" s="17"/>
      <c r="I3" s="17"/>
      <c r="J3" s="17"/>
      <c r="K3" s="17"/>
      <c r="L3" s="17"/>
      <c r="M3" s="17"/>
      <c r="N3" s="17"/>
      <c r="O3" s="17"/>
      <c r="P3" s="17"/>
      <c r="Q3" s="17"/>
      <c r="R3" s="17"/>
      <c r="S3" s="17"/>
      <c r="T3" s="17"/>
      <c r="U3" s="17"/>
      <c r="V3" s="17"/>
      <c r="W3" s="17"/>
      <c r="X3" s="17"/>
      <c r="Y3" s="17"/>
      <c r="Z3" s="17"/>
    </row>
    <row r="4">
      <c r="A4" s="17"/>
      <c r="B4" s="56"/>
      <c r="C4" s="57" t="s">
        <v>3</v>
      </c>
      <c r="D4" s="203">
        <f>'CO_attainment for Indirect'!D5</f>
        <v>22317</v>
      </c>
      <c r="E4" s="17"/>
      <c r="F4" s="17"/>
      <c r="G4" s="17"/>
      <c r="H4" s="17"/>
      <c r="I4" s="17"/>
      <c r="J4" s="17"/>
      <c r="K4" s="17"/>
      <c r="L4" s="17"/>
      <c r="M4" s="17"/>
      <c r="N4" s="17"/>
      <c r="O4" s="17"/>
      <c r="P4" s="17"/>
      <c r="Q4" s="17"/>
      <c r="R4" s="17"/>
      <c r="S4" s="17"/>
      <c r="T4" s="17"/>
      <c r="U4" s="17"/>
      <c r="V4" s="17"/>
      <c r="W4" s="17"/>
      <c r="X4" s="17"/>
      <c r="Y4" s="17"/>
      <c r="Z4" s="17"/>
    </row>
    <row r="5">
      <c r="A5" s="17"/>
      <c r="B5" s="56"/>
      <c r="C5" s="57" t="s">
        <v>54</v>
      </c>
      <c r="D5" s="203" t="str">
        <f>'CO_attainment for Indirect'!D6</f>
        <v>3rd SEM(CO3I SCHEME)</v>
      </c>
      <c r="E5" s="17"/>
      <c r="F5" s="17"/>
      <c r="G5" s="17"/>
      <c r="H5" s="17"/>
      <c r="I5" s="17"/>
      <c r="J5" s="17"/>
      <c r="K5" s="17"/>
      <c r="L5" s="17"/>
      <c r="M5" s="17"/>
      <c r="N5" s="17"/>
      <c r="O5" s="17"/>
      <c r="P5" s="17"/>
      <c r="Q5" s="17"/>
      <c r="R5" s="17"/>
      <c r="S5" s="17"/>
      <c r="T5" s="17"/>
      <c r="U5" s="17"/>
      <c r="V5" s="17"/>
      <c r="W5" s="17"/>
      <c r="X5" s="17"/>
      <c r="Y5" s="17"/>
      <c r="Z5" s="17"/>
    </row>
    <row r="6">
      <c r="A6" s="17"/>
      <c r="B6" s="56"/>
      <c r="C6" s="57" t="s">
        <v>159</v>
      </c>
      <c r="D6" s="203" t="str">
        <f>'CO_attain_SLA_FA-PR_SA-PR'!D7</f>
        <v>2023-24</v>
      </c>
      <c r="E6" s="17"/>
      <c r="F6" s="17"/>
      <c r="G6" s="17"/>
      <c r="H6" s="17"/>
      <c r="I6" s="17"/>
      <c r="J6" s="17"/>
      <c r="K6" s="17"/>
      <c r="L6" s="17"/>
      <c r="M6" s="17"/>
      <c r="N6" s="17"/>
      <c r="O6" s="17"/>
      <c r="P6" s="17"/>
      <c r="Q6" s="17"/>
      <c r="R6" s="17"/>
      <c r="S6" s="17"/>
      <c r="T6" s="17"/>
      <c r="U6" s="17"/>
      <c r="V6" s="17"/>
      <c r="W6" s="17"/>
      <c r="X6" s="17"/>
      <c r="Y6" s="17"/>
      <c r="Z6" s="17"/>
    </row>
    <row r="7">
      <c r="A7" s="17"/>
      <c r="B7" s="56"/>
      <c r="C7" s="57"/>
      <c r="D7" s="208"/>
      <c r="E7" s="17"/>
      <c r="F7" s="17"/>
      <c r="G7" s="17"/>
      <c r="H7" s="17"/>
      <c r="I7" s="17"/>
      <c r="J7" s="17"/>
      <c r="K7" s="17"/>
      <c r="L7" s="17"/>
      <c r="M7" s="17"/>
      <c r="N7" s="17"/>
      <c r="O7" s="17"/>
      <c r="P7" s="17"/>
      <c r="Q7" s="17"/>
      <c r="R7" s="17"/>
      <c r="S7" s="17"/>
      <c r="T7" s="17"/>
      <c r="U7" s="17"/>
      <c r="V7" s="17"/>
      <c r="W7" s="17"/>
      <c r="X7" s="17"/>
      <c r="Y7" s="17"/>
      <c r="Z7" s="17"/>
    </row>
    <row r="8">
      <c r="A8" s="17"/>
      <c r="B8" s="56"/>
      <c r="C8" s="288" t="s">
        <v>236</v>
      </c>
      <c r="D8" s="289"/>
      <c r="E8" s="290" t="s">
        <v>237</v>
      </c>
      <c r="F8" s="225"/>
      <c r="G8" s="180"/>
      <c r="H8" s="291" t="s">
        <v>161</v>
      </c>
      <c r="I8" s="291" t="s">
        <v>162</v>
      </c>
      <c r="J8" s="291" t="s">
        <v>238</v>
      </c>
      <c r="K8" s="292" t="s">
        <v>239</v>
      </c>
      <c r="L8" s="17"/>
      <c r="M8" s="17"/>
      <c r="N8" s="17"/>
      <c r="O8" s="17"/>
      <c r="P8" s="17"/>
      <c r="Q8" s="17"/>
      <c r="R8" s="17"/>
      <c r="S8" s="17"/>
      <c r="T8" s="17"/>
      <c r="U8" s="17"/>
      <c r="V8" s="17"/>
      <c r="W8" s="17"/>
      <c r="X8" s="17"/>
      <c r="Y8" s="17"/>
      <c r="Z8" s="17"/>
    </row>
    <row r="9">
      <c r="A9" s="17"/>
      <c r="B9" s="56"/>
      <c r="C9" s="31"/>
      <c r="D9" s="293"/>
      <c r="E9" s="294" t="s">
        <v>240</v>
      </c>
      <c r="F9" s="294" t="s">
        <v>241</v>
      </c>
      <c r="G9" s="294" t="s">
        <v>242</v>
      </c>
      <c r="H9" s="294" t="s">
        <v>220</v>
      </c>
      <c r="I9" s="294" t="s">
        <v>243</v>
      </c>
      <c r="J9" s="295" t="s">
        <v>222</v>
      </c>
      <c r="K9" s="296"/>
      <c r="L9" s="17"/>
      <c r="M9" s="17"/>
      <c r="N9" s="17"/>
      <c r="O9" s="17"/>
      <c r="P9" s="17"/>
      <c r="Q9" s="17"/>
      <c r="R9" s="17"/>
      <c r="S9" s="17"/>
      <c r="T9" s="17"/>
      <c r="U9" s="17"/>
      <c r="V9" s="17"/>
      <c r="W9" s="17"/>
      <c r="X9" s="17"/>
      <c r="Y9" s="17"/>
      <c r="Z9" s="17"/>
    </row>
    <row r="10" ht="19.5" customHeight="1">
      <c r="A10" s="17"/>
      <c r="B10" s="56"/>
      <c r="C10" s="297" t="s">
        <v>244</v>
      </c>
      <c r="D10" s="180"/>
      <c r="E10" s="298">
        <v>20.0</v>
      </c>
      <c r="F10" s="180"/>
      <c r="G10" s="299">
        <v>10.0</v>
      </c>
      <c r="H10" s="299">
        <v>25.0</v>
      </c>
      <c r="I10" s="299">
        <v>25.0</v>
      </c>
      <c r="J10" s="299">
        <v>70.0</v>
      </c>
      <c r="K10" s="264">
        <f t="shared" ref="K10:K11" si="2">SUM(E10:J10)</f>
        <v>150</v>
      </c>
      <c r="L10" s="17"/>
      <c r="M10" s="17"/>
      <c r="N10" s="17"/>
      <c r="O10" s="17"/>
      <c r="P10" s="17"/>
      <c r="Q10" s="17"/>
      <c r="R10" s="17"/>
      <c r="S10" s="17"/>
      <c r="T10" s="17"/>
      <c r="U10" s="17"/>
      <c r="V10" s="17"/>
      <c r="W10" s="17"/>
      <c r="X10" s="17"/>
      <c r="Y10" s="17"/>
      <c r="Z10" s="17"/>
    </row>
    <row r="11" ht="17.25" customHeight="1">
      <c r="A11" s="17"/>
      <c r="B11" s="56"/>
      <c r="C11" s="300" t="s">
        <v>245</v>
      </c>
      <c r="D11" s="182"/>
      <c r="E11" s="301">
        <f>(E10/$K10)*100</f>
        <v>13.33333333</v>
      </c>
      <c r="F11" s="182"/>
      <c r="G11" s="302">
        <f t="shared" ref="G11:J11" si="1">(G10/$K10)*100</f>
        <v>6.666666667</v>
      </c>
      <c r="H11" s="302">
        <f t="shared" si="1"/>
        <v>16.66666667</v>
      </c>
      <c r="I11" s="302">
        <f t="shared" si="1"/>
        <v>16.66666667</v>
      </c>
      <c r="J11" s="302">
        <f t="shared" si="1"/>
        <v>46.66666667</v>
      </c>
      <c r="K11" s="303">
        <f t="shared" si="2"/>
        <v>100</v>
      </c>
      <c r="L11" s="17"/>
      <c r="M11" s="17"/>
      <c r="N11" s="17"/>
      <c r="O11" s="17"/>
      <c r="P11" s="17"/>
      <c r="Q11" s="17"/>
      <c r="R11" s="17"/>
      <c r="S11" s="17"/>
      <c r="T11" s="17"/>
      <c r="U11" s="17"/>
      <c r="V11" s="17"/>
      <c r="W11" s="17"/>
      <c r="X11" s="17"/>
      <c r="Y11" s="17"/>
      <c r="Z11" s="17"/>
    </row>
    <row r="12">
      <c r="A12" s="17"/>
      <c r="B12" s="56"/>
      <c r="C12" s="57"/>
      <c r="D12" s="208"/>
      <c r="E12" s="17"/>
      <c r="F12" s="17"/>
      <c r="G12" s="17"/>
      <c r="H12" s="17"/>
      <c r="I12" s="17"/>
      <c r="J12" s="17"/>
      <c r="K12" s="17"/>
      <c r="L12" s="17"/>
      <c r="M12" s="17"/>
      <c r="N12" s="17"/>
      <c r="O12" s="17"/>
      <c r="P12" s="17"/>
      <c r="Q12" s="17"/>
      <c r="R12" s="17"/>
      <c r="S12" s="17"/>
      <c r="T12" s="17"/>
      <c r="U12" s="17"/>
      <c r="V12" s="17"/>
      <c r="W12" s="17"/>
      <c r="X12" s="17"/>
      <c r="Y12" s="17"/>
      <c r="Z12" s="17"/>
    </row>
    <row r="13">
      <c r="A13" s="17"/>
      <c r="B13" s="56"/>
      <c r="C13" s="57"/>
      <c r="D13" s="208"/>
      <c r="E13" s="17"/>
      <c r="F13" s="17"/>
      <c r="G13" s="17"/>
      <c r="H13" s="17"/>
      <c r="I13" s="17"/>
      <c r="J13" s="17"/>
      <c r="K13" s="17"/>
      <c r="L13" s="17"/>
      <c r="M13" s="17"/>
      <c r="N13" s="17"/>
      <c r="O13" s="17"/>
      <c r="P13" s="17"/>
      <c r="Q13" s="17"/>
      <c r="R13" s="17"/>
      <c r="S13" s="17"/>
      <c r="T13" s="17"/>
      <c r="U13" s="17"/>
      <c r="V13" s="17"/>
      <c r="W13" s="17"/>
      <c r="X13" s="17"/>
      <c r="Y13" s="17"/>
      <c r="Z13" s="17"/>
    </row>
    <row r="14">
      <c r="A14" s="17"/>
      <c r="B14" s="17"/>
      <c r="C14" s="17"/>
      <c r="D14" s="17"/>
      <c r="E14" s="17"/>
      <c r="F14" s="17"/>
      <c r="G14" s="17"/>
      <c r="H14" s="17"/>
      <c r="I14" s="17"/>
      <c r="J14" s="17"/>
      <c r="K14" s="17"/>
      <c r="L14" s="17"/>
      <c r="M14" s="17"/>
      <c r="N14" s="17"/>
      <c r="O14" s="17"/>
      <c r="P14" s="17"/>
      <c r="Q14" s="17"/>
      <c r="R14" s="17"/>
      <c r="S14" s="17"/>
      <c r="T14" s="17"/>
      <c r="U14" s="17"/>
      <c r="V14" s="17"/>
      <c r="W14" s="17"/>
      <c r="X14" s="17"/>
      <c r="Y14" s="17"/>
      <c r="Z14" s="17"/>
    </row>
    <row r="15">
      <c r="A15" s="17"/>
      <c r="B15" s="17"/>
      <c r="C15" s="304" t="s">
        <v>213</v>
      </c>
      <c r="D15" s="24"/>
      <c r="E15" s="24"/>
      <c r="F15" s="24"/>
      <c r="G15" s="24"/>
      <c r="H15" s="24"/>
      <c r="I15" s="24"/>
      <c r="J15" s="25"/>
      <c r="K15" s="17"/>
      <c r="L15" s="17"/>
      <c r="M15" s="17"/>
      <c r="N15" s="17"/>
      <c r="O15" s="17"/>
      <c r="P15" s="17"/>
      <c r="Q15" s="17"/>
      <c r="R15" s="17"/>
      <c r="S15" s="17"/>
      <c r="T15" s="17"/>
      <c r="U15" s="17"/>
      <c r="V15" s="17"/>
      <c r="W15" s="17"/>
      <c r="X15" s="17"/>
      <c r="Y15" s="17"/>
      <c r="Z15" s="17"/>
    </row>
    <row r="16">
      <c r="A16" s="17"/>
      <c r="B16" s="17"/>
      <c r="C16" s="305" t="s">
        <v>214</v>
      </c>
      <c r="D16" s="24"/>
      <c r="E16" s="24"/>
      <c r="F16" s="24"/>
      <c r="G16" s="24"/>
      <c r="H16" s="25"/>
      <c r="I16" s="306"/>
      <c r="J16" s="22"/>
      <c r="K16" s="17"/>
      <c r="L16" s="17"/>
      <c r="M16" s="17"/>
      <c r="N16" s="17"/>
      <c r="O16" s="17"/>
      <c r="P16" s="17"/>
      <c r="Q16" s="17"/>
      <c r="R16" s="17"/>
      <c r="S16" s="17"/>
      <c r="T16" s="17"/>
      <c r="U16" s="17"/>
      <c r="V16" s="17"/>
      <c r="W16" s="17"/>
      <c r="X16" s="17"/>
      <c r="Y16" s="17"/>
      <c r="Z16" s="17"/>
    </row>
    <row r="17">
      <c r="A17" s="17"/>
      <c r="B17" s="17"/>
      <c r="C17" s="307" t="s">
        <v>246</v>
      </c>
      <c r="D17" s="308"/>
      <c r="E17" s="309" t="s">
        <v>217</v>
      </c>
      <c r="F17" s="310"/>
      <c r="G17" s="311"/>
      <c r="H17" s="312" t="s">
        <v>218</v>
      </c>
      <c r="I17" s="31"/>
      <c r="J17" s="32"/>
      <c r="K17" s="17"/>
      <c r="L17" s="17"/>
      <c r="M17" s="17"/>
      <c r="N17" s="17"/>
      <c r="O17" s="17"/>
      <c r="P17" s="17"/>
      <c r="Q17" s="17"/>
      <c r="R17" s="17"/>
      <c r="S17" s="17"/>
      <c r="T17" s="17"/>
      <c r="U17" s="17"/>
      <c r="V17" s="17"/>
      <c r="W17" s="17"/>
      <c r="X17" s="17"/>
      <c r="Y17" s="17"/>
      <c r="Z17" s="17"/>
    </row>
    <row r="18" ht="45.75" customHeight="1">
      <c r="A18" s="17"/>
      <c r="B18" s="17"/>
      <c r="C18" s="30"/>
      <c r="D18" s="313" t="s">
        <v>219</v>
      </c>
      <c r="E18" s="314" t="s">
        <v>220</v>
      </c>
      <c r="F18" s="314" t="s">
        <v>221</v>
      </c>
      <c r="G18" s="315" t="s">
        <v>162</v>
      </c>
      <c r="H18" s="316" t="s">
        <v>222</v>
      </c>
      <c r="I18" s="317"/>
      <c r="J18" s="25"/>
      <c r="K18" s="17"/>
      <c r="L18" s="17"/>
      <c r="M18" s="17"/>
      <c r="N18" s="17"/>
      <c r="O18" s="17"/>
      <c r="P18" s="17"/>
      <c r="Q18" s="17"/>
      <c r="R18" s="17"/>
      <c r="S18" s="17"/>
      <c r="T18" s="17"/>
      <c r="U18" s="17"/>
      <c r="V18" s="17"/>
      <c r="W18" s="17"/>
      <c r="X18" s="17"/>
      <c r="Y18" s="17"/>
      <c r="Z18" s="17"/>
    </row>
    <row r="19">
      <c r="A19" s="17"/>
      <c r="B19" s="17"/>
      <c r="C19" s="318" t="s">
        <v>9</v>
      </c>
      <c r="D19" s="319">
        <f>'CO_Attainment for Unit Tests'!D109</f>
        <v>3</v>
      </c>
      <c r="E19" s="291">
        <f>'CO_attain_SLA_FA-PR_SA-PR'!C111</f>
        <v>3</v>
      </c>
      <c r="F19" s="291">
        <f>'CO_attain_SLA_FA-PR_SA-PR'!C110</f>
        <v>0</v>
      </c>
      <c r="G19" s="291">
        <f>'CO_attain_SLA_FA-PR_SA-PR'!C112</f>
        <v>3</v>
      </c>
      <c r="H19" s="320">
        <f>'CO_attainment for FA-TH ESE'!C110</f>
        <v>3</v>
      </c>
      <c r="I19" s="321"/>
      <c r="J19" s="166"/>
      <c r="K19" s="17"/>
      <c r="L19" s="17"/>
      <c r="M19" s="17"/>
      <c r="N19" s="17"/>
      <c r="O19" s="17"/>
      <c r="P19" s="17"/>
      <c r="Q19" s="17"/>
      <c r="R19" s="17"/>
      <c r="S19" s="17"/>
      <c r="T19" s="17"/>
      <c r="U19" s="17"/>
      <c r="V19" s="17"/>
      <c r="W19" s="17"/>
      <c r="X19" s="17"/>
      <c r="Y19" s="17"/>
      <c r="Z19" s="17"/>
    </row>
    <row r="20">
      <c r="A20" s="17"/>
      <c r="B20" s="17"/>
      <c r="C20" s="322" t="s">
        <v>11</v>
      </c>
      <c r="D20" s="323">
        <f>'CO_Attainment for Unit Tests'!E109</f>
        <v>2</v>
      </c>
      <c r="E20" s="324">
        <f t="shared" ref="E20:E24" si="3">$E19</f>
        <v>3</v>
      </c>
      <c r="F20" s="324">
        <f t="shared" ref="F20:F24" si="4">$F19</f>
        <v>0</v>
      </c>
      <c r="G20" s="324">
        <f t="shared" ref="G20:G24" si="5">$G19</f>
        <v>3</v>
      </c>
      <c r="H20" s="325">
        <f t="shared" ref="H20:H24" si="6">$H19</f>
        <v>3</v>
      </c>
      <c r="I20" s="326"/>
      <c r="J20" s="130"/>
      <c r="K20" s="17"/>
      <c r="L20" s="17"/>
      <c r="M20" s="17"/>
      <c r="N20" s="17"/>
      <c r="O20" s="17"/>
      <c r="P20" s="17"/>
      <c r="Q20" s="17"/>
      <c r="R20" s="17"/>
      <c r="S20" s="17"/>
      <c r="T20" s="17"/>
      <c r="U20" s="17"/>
      <c r="V20" s="17"/>
      <c r="W20" s="17"/>
      <c r="X20" s="17"/>
      <c r="Y20" s="17"/>
      <c r="Z20" s="17"/>
    </row>
    <row r="21" ht="15.75" customHeight="1">
      <c r="A21" s="17"/>
      <c r="B21" s="17"/>
      <c r="C21" s="322" t="s">
        <v>13</v>
      </c>
      <c r="D21" s="323">
        <f>'CO_Attainment for Unit Tests'!F109</f>
        <v>3</v>
      </c>
      <c r="E21" s="324">
        <f t="shared" si="3"/>
        <v>3</v>
      </c>
      <c r="F21" s="324">
        <f t="shared" si="4"/>
        <v>0</v>
      </c>
      <c r="G21" s="324">
        <f t="shared" si="5"/>
        <v>3</v>
      </c>
      <c r="H21" s="325">
        <f t="shared" si="6"/>
        <v>3</v>
      </c>
      <c r="I21" s="326"/>
      <c r="J21" s="130"/>
      <c r="K21" s="17"/>
      <c r="L21" s="17"/>
      <c r="M21" s="17"/>
      <c r="N21" s="17"/>
      <c r="O21" s="17"/>
      <c r="P21" s="17"/>
      <c r="Q21" s="17"/>
      <c r="R21" s="17"/>
      <c r="S21" s="17"/>
      <c r="T21" s="17"/>
      <c r="U21" s="17"/>
      <c r="V21" s="17"/>
      <c r="W21" s="17"/>
      <c r="X21" s="17"/>
      <c r="Y21" s="17"/>
      <c r="Z21" s="17"/>
    </row>
    <row r="22" ht="15.75" customHeight="1">
      <c r="A22" s="17"/>
      <c r="B22" s="17"/>
      <c r="C22" s="322" t="s">
        <v>15</v>
      </c>
      <c r="D22" s="323">
        <f>'CO_Attainment for Unit Tests'!G109</f>
        <v>3</v>
      </c>
      <c r="E22" s="324">
        <f t="shared" si="3"/>
        <v>3</v>
      </c>
      <c r="F22" s="324">
        <f t="shared" si="4"/>
        <v>0</v>
      </c>
      <c r="G22" s="324">
        <f t="shared" si="5"/>
        <v>3</v>
      </c>
      <c r="H22" s="325">
        <f t="shared" si="6"/>
        <v>3</v>
      </c>
      <c r="I22" s="326"/>
      <c r="J22" s="130"/>
      <c r="K22" s="17"/>
      <c r="L22" s="17"/>
      <c r="M22" s="17"/>
      <c r="N22" s="17"/>
      <c r="O22" s="17"/>
      <c r="P22" s="17"/>
      <c r="Q22" s="17"/>
      <c r="R22" s="17"/>
      <c r="S22" s="17"/>
      <c r="T22" s="17"/>
      <c r="U22" s="17"/>
      <c r="V22" s="17"/>
      <c r="W22" s="17"/>
      <c r="X22" s="17"/>
      <c r="Y22" s="17"/>
      <c r="Z22" s="17"/>
    </row>
    <row r="23" ht="15.75" customHeight="1">
      <c r="A23" s="17"/>
      <c r="B23" s="17"/>
      <c r="C23" s="322" t="s">
        <v>17</v>
      </c>
      <c r="D23" s="323">
        <f>'CO_Attainment for Unit Tests'!H109</f>
        <v>3</v>
      </c>
      <c r="E23" s="324">
        <f t="shared" si="3"/>
        <v>3</v>
      </c>
      <c r="F23" s="324">
        <f t="shared" si="4"/>
        <v>0</v>
      </c>
      <c r="G23" s="324">
        <f t="shared" si="5"/>
        <v>3</v>
      </c>
      <c r="H23" s="325">
        <f t="shared" si="6"/>
        <v>3</v>
      </c>
      <c r="I23" s="326"/>
      <c r="J23" s="130"/>
      <c r="K23" s="17"/>
      <c r="L23" s="17"/>
      <c r="M23" s="17"/>
      <c r="N23" s="17"/>
      <c r="O23" s="17"/>
      <c r="P23" s="17"/>
      <c r="Q23" s="17"/>
      <c r="R23" s="17"/>
      <c r="S23" s="17"/>
      <c r="T23" s="17"/>
      <c r="U23" s="17"/>
      <c r="V23" s="17"/>
      <c r="W23" s="17"/>
      <c r="X23" s="17"/>
      <c r="Y23" s="17"/>
      <c r="Z23" s="17"/>
    </row>
    <row r="24" ht="15.75" customHeight="1">
      <c r="A24" s="17"/>
      <c r="B24" s="17"/>
      <c r="C24" s="327" t="s">
        <v>207</v>
      </c>
      <c r="D24" s="328">
        <f>'CO_Attainment for Unit Tests'!I109</f>
        <v>0</v>
      </c>
      <c r="E24" s="295">
        <f t="shared" si="3"/>
        <v>3</v>
      </c>
      <c r="F24" s="295">
        <f t="shared" si="4"/>
        <v>0</v>
      </c>
      <c r="G24" s="295">
        <f t="shared" si="5"/>
        <v>3</v>
      </c>
      <c r="H24" s="329">
        <f t="shared" si="6"/>
        <v>3</v>
      </c>
      <c r="I24" s="326"/>
      <c r="J24" s="130"/>
      <c r="K24" s="17"/>
      <c r="L24" s="17"/>
      <c r="M24" s="17"/>
      <c r="N24" s="17"/>
      <c r="O24" s="17"/>
      <c r="P24" s="17"/>
      <c r="Q24" s="17"/>
      <c r="R24" s="17"/>
      <c r="S24" s="17"/>
      <c r="T24" s="17"/>
      <c r="U24" s="17"/>
      <c r="V24" s="17"/>
      <c r="W24" s="17"/>
      <c r="X24" s="17"/>
      <c r="Y24" s="17"/>
      <c r="Z24" s="17"/>
    </row>
    <row r="25" ht="15.75" customHeight="1">
      <c r="A25" s="17"/>
      <c r="B25" s="17"/>
      <c r="C25" s="318" t="s">
        <v>224</v>
      </c>
      <c r="D25" s="319">
        <f t="shared" ref="D25:H25" si="7">ROUND(AVERAGE(D19:D24),2)</f>
        <v>2.33</v>
      </c>
      <c r="E25" s="291">
        <f t="shared" si="7"/>
        <v>3</v>
      </c>
      <c r="F25" s="291">
        <f t="shared" si="7"/>
        <v>0</v>
      </c>
      <c r="G25" s="291">
        <f t="shared" si="7"/>
        <v>3</v>
      </c>
      <c r="H25" s="320">
        <f t="shared" si="7"/>
        <v>3</v>
      </c>
      <c r="I25" s="321"/>
      <c r="J25" s="166"/>
      <c r="K25" s="17"/>
      <c r="L25" s="17"/>
      <c r="M25" s="17"/>
      <c r="N25" s="17"/>
      <c r="O25" s="17"/>
      <c r="P25" s="17"/>
      <c r="Q25" s="17"/>
      <c r="R25" s="17"/>
      <c r="S25" s="17"/>
      <c r="T25" s="17"/>
      <c r="U25" s="17"/>
      <c r="V25" s="17"/>
      <c r="W25" s="17"/>
      <c r="X25" s="17"/>
      <c r="Y25" s="17"/>
      <c r="Z25" s="17"/>
    </row>
    <row r="26" ht="15.75" customHeight="1">
      <c r="A26" s="17"/>
      <c r="B26" s="17"/>
      <c r="C26" s="330" t="s">
        <v>225</v>
      </c>
      <c r="D26" s="331">
        <f>E11</f>
        <v>13.33333333</v>
      </c>
      <c r="E26" s="331">
        <f>H11</f>
        <v>16.66666667</v>
      </c>
      <c r="F26" s="331">
        <f>G11</f>
        <v>6.666666667</v>
      </c>
      <c r="G26" s="331">
        <f t="shared" ref="G26:H26" si="8">I11</f>
        <v>16.66666667</v>
      </c>
      <c r="H26" s="331">
        <f t="shared" si="8"/>
        <v>46.66666667</v>
      </c>
      <c r="I26" s="332"/>
      <c r="J26" s="130"/>
      <c r="K26" s="17"/>
      <c r="L26" s="17"/>
      <c r="M26" s="17"/>
      <c r="N26" s="17"/>
      <c r="O26" s="17"/>
      <c r="P26" s="17"/>
      <c r="Q26" s="17"/>
      <c r="R26" s="17"/>
      <c r="S26" s="17"/>
      <c r="T26" s="17"/>
      <c r="U26" s="17"/>
      <c r="V26" s="17"/>
      <c r="W26" s="17"/>
      <c r="X26" s="17"/>
      <c r="Y26" s="17"/>
      <c r="Z26" s="17"/>
    </row>
    <row r="27" ht="15.75" customHeight="1">
      <c r="A27" s="17"/>
      <c r="B27" s="17"/>
      <c r="C27" s="333" t="s">
        <v>226</v>
      </c>
      <c r="D27" s="334">
        <f t="shared" ref="D27:H27" si="9">D25*D26/100</f>
        <v>0.3106666667</v>
      </c>
      <c r="E27" s="334">
        <f t="shared" si="9"/>
        <v>0.5</v>
      </c>
      <c r="F27" s="334">
        <f t="shared" si="9"/>
        <v>0</v>
      </c>
      <c r="G27" s="334">
        <f t="shared" si="9"/>
        <v>0.5</v>
      </c>
      <c r="H27" s="334">
        <f t="shared" si="9"/>
        <v>1.4</v>
      </c>
      <c r="I27" s="335"/>
      <c r="J27" s="135"/>
      <c r="K27" s="17"/>
      <c r="L27" s="17"/>
      <c r="M27" s="17"/>
      <c r="N27" s="17"/>
      <c r="O27" s="17"/>
      <c r="P27" s="17"/>
      <c r="Q27" s="17"/>
      <c r="R27" s="17"/>
      <c r="S27" s="17"/>
      <c r="T27" s="17"/>
      <c r="U27" s="17"/>
      <c r="V27" s="17"/>
      <c r="W27" s="17"/>
      <c r="X27" s="17"/>
      <c r="Y27" s="17"/>
      <c r="Z27" s="17"/>
    </row>
    <row r="28" ht="30.0" customHeight="1">
      <c r="A28" s="17"/>
      <c r="B28" s="17"/>
      <c r="C28" s="336" t="s">
        <v>227</v>
      </c>
      <c r="D28" s="24"/>
      <c r="E28" s="24"/>
      <c r="F28" s="24"/>
      <c r="G28" s="25"/>
      <c r="H28" s="337">
        <f>SUM(D27:H27)</f>
        <v>2.710666667</v>
      </c>
      <c r="I28" s="338"/>
      <c r="J28" s="339"/>
      <c r="K28" s="17"/>
      <c r="L28" s="17"/>
      <c r="M28" s="17"/>
      <c r="N28" s="17"/>
      <c r="O28" s="17"/>
      <c r="P28" s="17"/>
      <c r="Q28" s="17"/>
      <c r="R28" s="17"/>
      <c r="S28" s="17"/>
      <c r="T28" s="17"/>
      <c r="U28" s="17"/>
      <c r="V28" s="17"/>
      <c r="W28" s="17"/>
      <c r="X28" s="17"/>
      <c r="Y28" s="17"/>
      <c r="Z28" s="17"/>
    </row>
    <row r="29" ht="15.75" customHeight="1">
      <c r="A29" s="17"/>
      <c r="B29" s="17"/>
      <c r="C29" s="336" t="s">
        <v>229</v>
      </c>
      <c r="D29" s="24"/>
      <c r="E29" s="24"/>
      <c r="F29" s="24"/>
      <c r="G29" s="25"/>
      <c r="H29" s="340">
        <v>1.0</v>
      </c>
      <c r="I29" s="341"/>
      <c r="J29" s="340"/>
      <c r="K29" s="17"/>
      <c r="L29" s="17"/>
      <c r="M29" s="17"/>
      <c r="N29" s="17"/>
      <c r="O29" s="17"/>
      <c r="P29" s="17"/>
      <c r="Q29" s="17"/>
      <c r="R29" s="17"/>
      <c r="S29" s="17"/>
      <c r="T29" s="17"/>
      <c r="U29" s="17"/>
      <c r="V29" s="17"/>
      <c r="W29" s="17"/>
      <c r="X29" s="17"/>
      <c r="Y29" s="17"/>
      <c r="Z29" s="17"/>
    </row>
    <row r="30" ht="62.25" customHeight="1">
      <c r="A30" s="17"/>
      <c r="B30" s="17"/>
      <c r="C30" s="336" t="s">
        <v>231</v>
      </c>
      <c r="D30" s="24"/>
      <c r="E30" s="24"/>
      <c r="F30" s="24"/>
      <c r="G30" s="25"/>
      <c r="H30" s="337">
        <f>H29*H28</f>
        <v>2.710666667</v>
      </c>
      <c r="I30" s="338"/>
      <c r="J30" s="341"/>
      <c r="K30" s="17"/>
      <c r="L30" s="17"/>
      <c r="M30" s="17"/>
      <c r="N30" s="17"/>
      <c r="O30" s="17"/>
      <c r="P30" s="17"/>
      <c r="Q30" s="17"/>
      <c r="R30" s="17"/>
      <c r="S30" s="17"/>
      <c r="T30" s="17"/>
      <c r="U30" s="17"/>
      <c r="V30" s="17"/>
      <c r="W30" s="17"/>
      <c r="X30" s="17"/>
      <c r="Y30" s="17"/>
      <c r="Z30" s="17"/>
    </row>
    <row r="31" ht="25.5" customHeight="1">
      <c r="A31" s="17"/>
      <c r="B31" s="17"/>
      <c r="C31" s="342" t="s">
        <v>233</v>
      </c>
      <c r="D31" s="24"/>
      <c r="E31" s="24"/>
      <c r="F31" s="24"/>
      <c r="G31" s="24"/>
      <c r="H31" s="25"/>
      <c r="I31" s="343">
        <f>H30+J30</f>
        <v>2.710666667</v>
      </c>
      <c r="J31" s="344"/>
      <c r="K31" s="17"/>
      <c r="L31" s="17"/>
      <c r="M31" s="17"/>
      <c r="N31" s="17"/>
      <c r="O31" s="17"/>
      <c r="P31" s="17"/>
      <c r="Q31" s="17"/>
      <c r="R31" s="17"/>
      <c r="S31" s="17"/>
      <c r="T31" s="17"/>
      <c r="U31" s="17"/>
      <c r="V31" s="17"/>
      <c r="W31" s="17"/>
      <c r="X31" s="17"/>
      <c r="Y31" s="17"/>
      <c r="Z31" s="17"/>
    </row>
    <row r="32" ht="15.75" customHeight="1">
      <c r="A32" s="17"/>
      <c r="B32" s="17"/>
      <c r="C32" s="17"/>
      <c r="D32" s="17"/>
      <c r="E32" s="17"/>
      <c r="F32" s="17"/>
      <c r="G32" s="17"/>
      <c r="H32" s="17"/>
      <c r="I32" s="17"/>
      <c r="J32" s="17"/>
      <c r="K32" s="17"/>
      <c r="L32" s="17"/>
      <c r="M32" s="17"/>
      <c r="N32" s="17"/>
      <c r="O32" s="17"/>
      <c r="P32" s="17"/>
      <c r="Q32" s="17"/>
      <c r="R32" s="17"/>
      <c r="S32" s="17"/>
      <c r="T32" s="17"/>
      <c r="U32" s="17"/>
      <c r="V32" s="17"/>
      <c r="W32" s="17"/>
      <c r="X32" s="17"/>
      <c r="Y32" s="17"/>
      <c r="Z32" s="17"/>
    </row>
    <row r="33" ht="15.75" customHeight="1">
      <c r="A33" s="17"/>
      <c r="B33" s="17"/>
      <c r="C33" s="17"/>
      <c r="D33" s="17"/>
      <c r="E33" s="17"/>
      <c r="F33" s="17"/>
      <c r="G33" s="17"/>
      <c r="H33" s="17"/>
      <c r="I33" s="17"/>
      <c r="J33" s="17"/>
      <c r="K33" s="17"/>
      <c r="L33" s="17"/>
      <c r="M33" s="17"/>
      <c r="N33" s="17"/>
      <c r="O33" s="17"/>
      <c r="P33" s="17"/>
      <c r="Q33" s="17"/>
      <c r="R33" s="17"/>
      <c r="S33" s="17"/>
      <c r="T33" s="17"/>
      <c r="U33" s="17"/>
      <c r="V33" s="17"/>
      <c r="W33" s="17"/>
      <c r="X33" s="17"/>
      <c r="Y33" s="17"/>
      <c r="Z33" s="17"/>
    </row>
    <row r="34" ht="15.75" customHeight="1">
      <c r="A34" s="17"/>
      <c r="B34" s="17"/>
      <c r="C34" s="17"/>
      <c r="D34" s="17"/>
      <c r="E34" s="17"/>
      <c r="F34" s="17"/>
      <c r="G34" s="17"/>
      <c r="H34" s="48" t="s">
        <v>47</v>
      </c>
      <c r="L34" s="17"/>
      <c r="M34" s="17"/>
      <c r="N34" s="17"/>
      <c r="O34" s="17"/>
      <c r="P34" s="17"/>
      <c r="Q34" s="17"/>
      <c r="R34" s="17"/>
      <c r="S34" s="17"/>
      <c r="T34" s="17"/>
      <c r="U34" s="17"/>
      <c r="V34" s="17"/>
      <c r="W34" s="17"/>
      <c r="X34" s="17"/>
      <c r="Y34" s="17"/>
      <c r="Z34" s="17"/>
    </row>
    <row r="35" ht="15.75" customHeight="1">
      <c r="A35" s="17"/>
      <c r="B35" s="17"/>
      <c r="C35" s="17"/>
      <c r="D35" s="17"/>
      <c r="E35" s="17"/>
      <c r="F35" s="17"/>
      <c r="G35" s="17"/>
      <c r="H35" s="345" t="s">
        <v>48</v>
      </c>
      <c r="I35" s="7"/>
      <c r="J35" s="7"/>
      <c r="K35" s="18"/>
      <c r="L35" s="18"/>
      <c r="M35" s="18"/>
      <c r="N35" s="17"/>
      <c r="O35" s="17"/>
      <c r="P35" s="17"/>
      <c r="Q35" s="17"/>
      <c r="R35" s="17"/>
      <c r="S35" s="17"/>
      <c r="T35" s="17"/>
      <c r="U35" s="17"/>
      <c r="V35" s="17"/>
      <c r="W35" s="17"/>
      <c r="X35" s="17"/>
      <c r="Y35" s="17"/>
      <c r="Z35" s="17"/>
    </row>
    <row r="36" ht="15.75" customHeight="1">
      <c r="A36" s="17"/>
      <c r="B36" s="17"/>
      <c r="C36" s="17"/>
      <c r="D36" s="17"/>
      <c r="E36" s="17"/>
      <c r="F36" s="17"/>
      <c r="G36" s="17"/>
      <c r="H36" s="17"/>
      <c r="I36" s="17"/>
      <c r="J36" s="17"/>
      <c r="K36" s="17"/>
      <c r="L36" s="17"/>
      <c r="M36" s="17"/>
      <c r="N36" s="17"/>
      <c r="O36" s="17"/>
      <c r="P36" s="17"/>
      <c r="Q36" s="17"/>
      <c r="R36" s="17"/>
      <c r="S36" s="17"/>
      <c r="T36" s="17"/>
      <c r="U36" s="17"/>
      <c r="V36" s="17"/>
      <c r="W36" s="17"/>
      <c r="X36" s="17"/>
      <c r="Y36" s="17"/>
      <c r="Z36" s="17"/>
    </row>
    <row r="37" ht="15.75" customHeight="1">
      <c r="A37" s="17"/>
      <c r="B37" s="17"/>
      <c r="C37" s="17"/>
      <c r="D37" s="17"/>
      <c r="E37" s="17"/>
      <c r="F37" s="17"/>
      <c r="G37" s="17"/>
      <c r="H37" s="17"/>
      <c r="I37" s="17"/>
      <c r="J37" s="17"/>
      <c r="K37" s="17"/>
      <c r="L37" s="17"/>
      <c r="M37" s="17"/>
      <c r="N37" s="17"/>
      <c r="O37" s="17"/>
      <c r="P37" s="17"/>
      <c r="Q37" s="17"/>
      <c r="R37" s="17"/>
      <c r="S37" s="17"/>
      <c r="T37" s="17"/>
      <c r="U37" s="17"/>
      <c r="V37" s="17"/>
      <c r="W37" s="17"/>
      <c r="X37" s="17"/>
      <c r="Y37" s="17"/>
      <c r="Z37" s="17"/>
    </row>
    <row r="38" ht="15.75" customHeight="1">
      <c r="A38" s="17"/>
      <c r="B38" s="17"/>
      <c r="C38" s="17"/>
      <c r="D38" s="17"/>
      <c r="E38" s="17"/>
      <c r="F38" s="17"/>
      <c r="G38" s="17"/>
      <c r="H38" s="17"/>
      <c r="I38" s="17"/>
      <c r="J38" s="17"/>
      <c r="K38" s="17"/>
      <c r="L38" s="17"/>
      <c r="M38" s="17"/>
      <c r="N38" s="17"/>
      <c r="O38" s="17"/>
      <c r="P38" s="17"/>
      <c r="Q38" s="17"/>
      <c r="R38" s="17"/>
      <c r="S38" s="17"/>
      <c r="T38" s="17"/>
      <c r="U38" s="17"/>
      <c r="V38" s="17"/>
      <c r="W38" s="17"/>
      <c r="X38" s="17"/>
      <c r="Y38" s="17"/>
      <c r="Z38" s="17"/>
    </row>
    <row r="39" ht="60.75" customHeight="1">
      <c r="A39" s="17"/>
      <c r="B39" s="17"/>
      <c r="C39" s="17"/>
      <c r="D39" s="17"/>
      <c r="E39" s="17"/>
      <c r="F39" s="17"/>
      <c r="G39" s="17"/>
      <c r="H39" s="17"/>
      <c r="I39" s="17"/>
      <c r="J39" s="17"/>
      <c r="K39" s="17"/>
      <c r="L39" s="17"/>
      <c r="M39" s="17"/>
      <c r="N39" s="17"/>
      <c r="O39" s="17"/>
      <c r="P39" s="17"/>
      <c r="Q39" s="17"/>
      <c r="R39" s="17"/>
      <c r="S39" s="17"/>
      <c r="T39" s="17"/>
      <c r="U39" s="17"/>
      <c r="V39" s="17"/>
      <c r="W39" s="17"/>
      <c r="X39" s="17"/>
      <c r="Y39" s="17"/>
      <c r="Z39" s="17"/>
    </row>
    <row r="40" ht="48.0" customHeight="1">
      <c r="A40" s="17"/>
      <c r="B40" s="17"/>
      <c r="C40" s="17"/>
      <c r="D40" s="17"/>
      <c r="E40" s="17"/>
      <c r="F40" s="17"/>
      <c r="G40" s="17"/>
      <c r="H40" s="17"/>
      <c r="I40" s="17"/>
      <c r="J40" s="17"/>
      <c r="K40" s="17"/>
      <c r="L40" s="17"/>
      <c r="M40" s="17"/>
      <c r="N40" s="17"/>
      <c r="O40" s="17"/>
      <c r="P40" s="17"/>
      <c r="Q40" s="17"/>
      <c r="R40" s="17"/>
      <c r="S40" s="17"/>
      <c r="T40" s="17"/>
      <c r="U40" s="17"/>
      <c r="V40" s="17"/>
      <c r="W40" s="17"/>
      <c r="X40" s="17"/>
      <c r="Y40" s="17"/>
      <c r="Z40" s="17"/>
    </row>
    <row r="41" ht="48.0" customHeight="1">
      <c r="A41" s="17"/>
      <c r="B41" s="17"/>
      <c r="C41" s="17"/>
      <c r="D41" s="17"/>
      <c r="E41" s="17"/>
      <c r="F41" s="17"/>
      <c r="G41" s="17"/>
      <c r="H41" s="17"/>
      <c r="I41" s="17"/>
      <c r="J41" s="17"/>
      <c r="K41" s="17"/>
      <c r="L41" s="17"/>
      <c r="M41" s="17"/>
      <c r="N41" s="17"/>
      <c r="O41" s="17"/>
      <c r="P41" s="17"/>
      <c r="Q41" s="17"/>
      <c r="R41" s="17"/>
      <c r="S41" s="17"/>
      <c r="T41" s="17"/>
      <c r="U41" s="17"/>
      <c r="V41" s="17"/>
      <c r="W41" s="17"/>
      <c r="X41" s="17"/>
      <c r="Y41" s="17"/>
      <c r="Z41" s="17"/>
    </row>
    <row r="42" ht="48.0" customHeight="1">
      <c r="A42" s="17"/>
      <c r="B42" s="17"/>
      <c r="C42" s="17"/>
      <c r="D42" s="17"/>
      <c r="E42" s="17"/>
      <c r="F42" s="17"/>
      <c r="G42" s="17"/>
      <c r="H42" s="17"/>
      <c r="I42" s="17"/>
      <c r="J42" s="17"/>
      <c r="K42" s="17"/>
      <c r="L42" s="17"/>
      <c r="M42" s="17"/>
      <c r="N42" s="17"/>
      <c r="O42" s="17"/>
      <c r="P42" s="17"/>
      <c r="Q42" s="17"/>
      <c r="R42" s="17"/>
      <c r="S42" s="17"/>
      <c r="T42" s="17"/>
      <c r="U42" s="17"/>
      <c r="V42" s="17"/>
      <c r="W42" s="17"/>
      <c r="X42" s="17"/>
      <c r="Y42" s="17"/>
      <c r="Z42" s="17"/>
    </row>
    <row r="43" ht="48.0" customHeight="1">
      <c r="A43" s="17"/>
      <c r="B43" s="17"/>
      <c r="C43" s="17"/>
      <c r="D43" s="17"/>
      <c r="E43" s="17"/>
      <c r="F43" s="17"/>
      <c r="G43" s="17"/>
      <c r="H43" s="17"/>
      <c r="I43" s="17"/>
      <c r="J43" s="17"/>
      <c r="K43" s="17"/>
      <c r="L43" s="17"/>
      <c r="M43" s="17"/>
      <c r="N43" s="17"/>
      <c r="O43" s="17"/>
      <c r="P43" s="17"/>
      <c r="Q43" s="17"/>
      <c r="R43" s="17"/>
      <c r="S43" s="17"/>
      <c r="T43" s="17"/>
      <c r="U43" s="17"/>
      <c r="V43" s="17"/>
      <c r="W43" s="17"/>
      <c r="X43" s="17"/>
      <c r="Y43" s="17"/>
      <c r="Z43" s="17"/>
    </row>
    <row r="44" ht="48.0" customHeight="1">
      <c r="A44" s="17"/>
      <c r="B44" s="17"/>
      <c r="C44" s="17"/>
      <c r="D44" s="17"/>
      <c r="E44" s="17"/>
      <c r="F44" s="17"/>
      <c r="G44" s="17"/>
      <c r="H44" s="17"/>
      <c r="I44" s="17"/>
      <c r="J44" s="17"/>
      <c r="K44" s="17"/>
      <c r="L44" s="17"/>
      <c r="M44" s="17"/>
      <c r="N44" s="17"/>
      <c r="O44" s="17"/>
      <c r="P44" s="17"/>
      <c r="Q44" s="17"/>
      <c r="R44" s="17"/>
      <c r="S44" s="17"/>
      <c r="T44" s="17"/>
      <c r="U44" s="17"/>
      <c r="V44" s="17"/>
      <c r="W44" s="17"/>
      <c r="X44" s="17"/>
      <c r="Y44" s="17"/>
      <c r="Z44" s="17"/>
    </row>
    <row r="45" ht="48.0" customHeight="1">
      <c r="A45" s="17"/>
      <c r="B45" s="17"/>
      <c r="C45" s="17"/>
      <c r="D45" s="17"/>
      <c r="E45" s="17"/>
      <c r="F45" s="17"/>
      <c r="G45" s="17"/>
      <c r="H45" s="17"/>
      <c r="I45" s="17"/>
      <c r="J45" s="17"/>
      <c r="K45" s="17"/>
      <c r="L45" s="17"/>
      <c r="M45" s="17"/>
      <c r="N45" s="17"/>
      <c r="O45" s="17"/>
      <c r="P45" s="17"/>
      <c r="Q45" s="17"/>
      <c r="R45" s="17"/>
      <c r="S45" s="17"/>
      <c r="T45" s="17"/>
      <c r="U45" s="17"/>
      <c r="V45" s="17"/>
      <c r="W45" s="17"/>
      <c r="X45" s="17"/>
      <c r="Y45" s="17"/>
      <c r="Z45" s="17"/>
    </row>
    <row r="46" ht="15.75" customHeight="1">
      <c r="A46" s="17"/>
      <c r="B46" s="17"/>
      <c r="C46" s="17"/>
      <c r="D46" s="17"/>
      <c r="E46" s="17"/>
      <c r="F46" s="17"/>
      <c r="G46" s="17"/>
      <c r="H46" s="17"/>
      <c r="I46" s="17"/>
      <c r="J46" s="17"/>
      <c r="K46" s="17"/>
      <c r="L46" s="17"/>
      <c r="M46" s="17"/>
      <c r="N46" s="17"/>
      <c r="O46" s="17"/>
      <c r="P46" s="17"/>
      <c r="Q46" s="17"/>
      <c r="R46" s="17"/>
      <c r="S46" s="17"/>
      <c r="T46" s="17"/>
      <c r="U46" s="17"/>
      <c r="V46" s="17"/>
      <c r="W46" s="17"/>
      <c r="X46" s="17"/>
      <c r="Y46" s="17"/>
      <c r="Z46" s="17"/>
    </row>
    <row r="47" ht="15.75" customHeight="1">
      <c r="A47" s="17"/>
      <c r="B47" s="17"/>
      <c r="C47" s="17"/>
      <c r="D47" s="17"/>
      <c r="E47" s="17"/>
      <c r="F47" s="17"/>
      <c r="G47" s="17"/>
      <c r="H47" s="17"/>
      <c r="I47" s="17"/>
      <c r="J47" s="17"/>
      <c r="K47" s="17"/>
      <c r="L47" s="17"/>
      <c r="M47" s="17"/>
      <c r="N47" s="17"/>
      <c r="O47" s="17"/>
      <c r="P47" s="17"/>
      <c r="Q47" s="17"/>
      <c r="R47" s="17"/>
      <c r="S47" s="17"/>
      <c r="T47" s="17"/>
      <c r="U47" s="17"/>
      <c r="V47" s="17"/>
      <c r="W47" s="17"/>
      <c r="X47" s="17"/>
      <c r="Y47" s="17"/>
      <c r="Z47" s="17"/>
    </row>
    <row r="48" ht="15.75" customHeight="1">
      <c r="A48" s="17"/>
      <c r="B48" s="17"/>
      <c r="C48" s="17"/>
      <c r="D48" s="17"/>
      <c r="E48" s="17"/>
      <c r="F48" s="17"/>
      <c r="G48" s="17"/>
      <c r="H48" s="17"/>
      <c r="I48" s="17"/>
      <c r="J48" s="17"/>
      <c r="K48" s="17"/>
      <c r="L48" s="17"/>
      <c r="M48" s="17"/>
      <c r="N48" s="17"/>
      <c r="O48" s="17"/>
      <c r="P48" s="17"/>
      <c r="Q48" s="17"/>
      <c r="R48" s="17"/>
      <c r="S48" s="17"/>
      <c r="T48" s="17"/>
      <c r="U48" s="17"/>
      <c r="V48" s="17"/>
      <c r="W48" s="17"/>
      <c r="X48" s="17"/>
      <c r="Y48" s="17"/>
      <c r="Z48" s="17"/>
    </row>
    <row r="49" ht="15.75" customHeight="1">
      <c r="A49" s="17"/>
      <c r="B49" s="17"/>
      <c r="C49" s="17"/>
      <c r="D49" s="17"/>
      <c r="E49" s="17"/>
      <c r="F49" s="17"/>
      <c r="G49" s="17"/>
      <c r="H49" s="17"/>
      <c r="I49" s="17"/>
      <c r="J49" s="17"/>
      <c r="K49" s="17"/>
      <c r="L49" s="17"/>
      <c r="M49" s="17"/>
      <c r="N49" s="17"/>
      <c r="O49" s="17"/>
      <c r="P49" s="17"/>
      <c r="Q49" s="17"/>
      <c r="R49" s="17"/>
      <c r="S49" s="17"/>
      <c r="T49" s="17"/>
      <c r="U49" s="17"/>
      <c r="V49" s="17"/>
      <c r="W49" s="17"/>
      <c r="X49" s="17"/>
      <c r="Y49" s="17"/>
      <c r="Z49" s="17"/>
    </row>
    <row r="50" ht="15.75" customHeight="1">
      <c r="A50" s="17"/>
      <c r="B50" s="17"/>
      <c r="C50" s="17"/>
      <c r="D50" s="17"/>
      <c r="E50" s="17"/>
      <c r="F50" s="17"/>
      <c r="G50" s="17"/>
      <c r="H50" s="17"/>
      <c r="I50" s="17"/>
      <c r="J50" s="17"/>
      <c r="K50" s="17"/>
      <c r="L50" s="17"/>
      <c r="M50" s="17"/>
      <c r="N50" s="17"/>
      <c r="O50" s="17"/>
      <c r="P50" s="17"/>
      <c r="Q50" s="17"/>
      <c r="R50" s="17"/>
      <c r="S50" s="17"/>
      <c r="T50" s="17"/>
      <c r="U50" s="17"/>
      <c r="V50" s="17"/>
      <c r="W50" s="17"/>
      <c r="X50" s="17"/>
      <c r="Y50" s="17"/>
      <c r="Z50" s="17"/>
    </row>
    <row r="51" ht="15.75" customHeight="1">
      <c r="A51" s="17"/>
      <c r="B51" s="17"/>
      <c r="C51" s="17"/>
      <c r="D51" s="17"/>
      <c r="E51" s="17"/>
      <c r="F51" s="17"/>
      <c r="G51" s="17"/>
      <c r="H51" s="17"/>
      <c r="I51" s="17"/>
      <c r="J51" s="17"/>
      <c r="K51" s="17"/>
      <c r="L51" s="17"/>
      <c r="M51" s="17"/>
      <c r="N51" s="17"/>
      <c r="O51" s="17"/>
      <c r="P51" s="17"/>
      <c r="Q51" s="17"/>
      <c r="R51" s="17"/>
      <c r="S51" s="17"/>
      <c r="T51" s="17"/>
      <c r="U51" s="17"/>
      <c r="V51" s="17"/>
      <c r="W51" s="17"/>
      <c r="X51" s="17"/>
      <c r="Y51" s="17"/>
      <c r="Z51" s="17"/>
    </row>
    <row r="52" ht="15.75" customHeight="1">
      <c r="A52" s="17"/>
      <c r="B52" s="17"/>
      <c r="C52" s="17"/>
      <c r="D52" s="17"/>
      <c r="E52" s="17"/>
      <c r="F52" s="17"/>
      <c r="G52" s="17"/>
      <c r="H52" s="17"/>
      <c r="I52" s="17"/>
      <c r="J52" s="17"/>
      <c r="K52" s="17"/>
      <c r="L52" s="17"/>
      <c r="M52" s="17"/>
      <c r="N52" s="17"/>
      <c r="O52" s="17"/>
      <c r="P52" s="17"/>
      <c r="Q52" s="17"/>
      <c r="R52" s="17"/>
      <c r="S52" s="17"/>
      <c r="T52" s="17"/>
      <c r="U52" s="17"/>
      <c r="V52" s="17"/>
      <c r="W52" s="17"/>
      <c r="X52" s="17"/>
      <c r="Y52" s="17"/>
      <c r="Z52" s="17"/>
    </row>
    <row r="53" ht="15.75" customHeight="1">
      <c r="A53" s="17"/>
      <c r="B53" s="17"/>
      <c r="C53" s="17"/>
      <c r="D53" s="17"/>
      <c r="E53" s="17"/>
      <c r="F53" s="17"/>
      <c r="G53" s="17"/>
      <c r="H53" s="17"/>
      <c r="I53" s="17"/>
      <c r="J53" s="17"/>
      <c r="K53" s="17"/>
      <c r="L53" s="17"/>
      <c r="M53" s="17"/>
      <c r="N53" s="17"/>
      <c r="O53" s="17"/>
      <c r="P53" s="17"/>
      <c r="Q53" s="17"/>
      <c r="R53" s="17"/>
      <c r="S53" s="17"/>
      <c r="T53" s="17"/>
      <c r="U53" s="17"/>
      <c r="V53" s="17"/>
      <c r="W53" s="17"/>
      <c r="X53" s="17"/>
      <c r="Y53" s="17"/>
      <c r="Z53" s="17"/>
    </row>
    <row r="54" ht="15.75" customHeight="1">
      <c r="A54" s="17"/>
      <c r="B54" s="17"/>
      <c r="C54" s="17"/>
      <c r="D54" s="17"/>
      <c r="E54" s="17"/>
      <c r="F54" s="17"/>
      <c r="G54" s="17"/>
      <c r="H54" s="17"/>
      <c r="I54" s="17"/>
      <c r="J54" s="17"/>
      <c r="K54" s="17"/>
      <c r="L54" s="17"/>
      <c r="M54" s="17"/>
      <c r="N54" s="17"/>
      <c r="O54" s="17"/>
      <c r="P54" s="17"/>
      <c r="Q54" s="17"/>
      <c r="R54" s="17"/>
      <c r="S54" s="17"/>
      <c r="T54" s="17"/>
      <c r="U54" s="17"/>
      <c r="V54" s="17"/>
      <c r="W54" s="17"/>
      <c r="X54" s="17"/>
      <c r="Y54" s="17"/>
      <c r="Z54" s="17"/>
    </row>
    <row r="55" ht="15.75" customHeight="1">
      <c r="A55" s="17"/>
      <c r="B55" s="17"/>
      <c r="C55" s="17"/>
      <c r="D55" s="17"/>
      <c r="E55" s="17"/>
      <c r="F55" s="17"/>
      <c r="G55" s="17"/>
      <c r="H55" s="17"/>
      <c r="I55" s="17"/>
      <c r="J55" s="17"/>
      <c r="K55" s="17"/>
      <c r="L55" s="17"/>
      <c r="M55" s="17"/>
      <c r="N55" s="17"/>
      <c r="O55" s="17"/>
      <c r="P55" s="17"/>
      <c r="Q55" s="17"/>
      <c r="R55" s="17"/>
      <c r="S55" s="17"/>
      <c r="T55" s="17"/>
      <c r="U55" s="17"/>
      <c r="V55" s="17"/>
      <c r="W55" s="17"/>
      <c r="X55" s="17"/>
      <c r="Y55" s="17"/>
      <c r="Z55" s="17"/>
    </row>
    <row r="56" ht="15.75" customHeight="1">
      <c r="A56" s="17"/>
      <c r="B56" s="17"/>
      <c r="C56" s="17"/>
      <c r="D56" s="17"/>
      <c r="E56" s="17"/>
      <c r="F56" s="17"/>
      <c r="G56" s="17"/>
      <c r="H56" s="17"/>
      <c r="I56" s="17"/>
      <c r="J56" s="17"/>
      <c r="K56" s="17"/>
      <c r="L56" s="17"/>
      <c r="M56" s="17"/>
      <c r="N56" s="17"/>
      <c r="O56" s="17"/>
      <c r="P56" s="17"/>
      <c r="Q56" s="17"/>
      <c r="R56" s="17"/>
      <c r="S56" s="17"/>
      <c r="T56" s="17"/>
      <c r="U56" s="17"/>
      <c r="V56" s="17"/>
      <c r="W56" s="17"/>
      <c r="X56" s="17"/>
      <c r="Y56" s="17"/>
      <c r="Z56" s="17"/>
    </row>
    <row r="57" ht="15.75" customHeight="1">
      <c r="A57" s="17"/>
      <c r="B57" s="17"/>
      <c r="C57" s="17"/>
      <c r="D57" s="17"/>
      <c r="E57" s="17"/>
      <c r="F57" s="17"/>
      <c r="G57" s="17"/>
      <c r="H57" s="17"/>
      <c r="I57" s="17"/>
      <c r="J57" s="17"/>
      <c r="K57" s="17"/>
      <c r="L57" s="17"/>
      <c r="M57" s="17"/>
      <c r="N57" s="17"/>
      <c r="O57" s="17"/>
      <c r="P57" s="17"/>
      <c r="Q57" s="17"/>
      <c r="R57" s="17"/>
      <c r="S57" s="17"/>
      <c r="T57" s="17"/>
      <c r="U57" s="17"/>
      <c r="V57" s="17"/>
      <c r="W57" s="17"/>
      <c r="X57" s="17"/>
      <c r="Y57" s="17"/>
      <c r="Z57" s="17"/>
    </row>
    <row r="58" ht="15.75" customHeight="1">
      <c r="A58" s="17"/>
      <c r="B58" s="17"/>
      <c r="C58" s="17"/>
      <c r="D58" s="17"/>
      <c r="E58" s="17"/>
      <c r="F58" s="17"/>
      <c r="G58" s="17"/>
      <c r="H58" s="17"/>
      <c r="I58" s="17"/>
      <c r="J58" s="17"/>
      <c r="K58" s="17"/>
      <c r="L58" s="17"/>
      <c r="M58" s="17"/>
      <c r="N58" s="17"/>
      <c r="O58" s="17"/>
      <c r="P58" s="17"/>
      <c r="Q58" s="17"/>
      <c r="R58" s="17"/>
      <c r="S58" s="17"/>
      <c r="T58" s="17"/>
      <c r="U58" s="17"/>
      <c r="V58" s="17"/>
      <c r="W58" s="17"/>
      <c r="X58" s="17"/>
      <c r="Y58" s="17"/>
      <c r="Z58" s="17"/>
    </row>
    <row r="59" ht="15.75" customHeight="1">
      <c r="A59" s="17"/>
      <c r="B59" s="17"/>
      <c r="C59" s="17"/>
      <c r="D59" s="17"/>
      <c r="E59" s="17"/>
      <c r="F59" s="17"/>
      <c r="G59" s="17"/>
      <c r="H59" s="17"/>
      <c r="I59" s="17"/>
      <c r="J59" s="17"/>
      <c r="K59" s="17"/>
      <c r="L59" s="17"/>
      <c r="M59" s="17"/>
      <c r="N59" s="17"/>
      <c r="O59" s="17"/>
      <c r="P59" s="17"/>
      <c r="Q59" s="17"/>
      <c r="R59" s="17"/>
      <c r="S59" s="17"/>
      <c r="T59" s="17"/>
      <c r="U59" s="17"/>
      <c r="V59" s="17"/>
      <c r="W59" s="17"/>
      <c r="X59" s="17"/>
      <c r="Y59" s="17"/>
      <c r="Z59" s="17"/>
    </row>
    <row r="60" ht="15.75" customHeight="1">
      <c r="A60" s="17"/>
      <c r="B60" s="17"/>
      <c r="C60" s="17"/>
      <c r="D60" s="17"/>
      <c r="E60" s="17"/>
      <c r="F60" s="17"/>
      <c r="G60" s="17"/>
      <c r="H60" s="17"/>
      <c r="I60" s="17"/>
      <c r="J60" s="17"/>
      <c r="K60" s="17"/>
      <c r="L60" s="17"/>
      <c r="M60" s="17"/>
      <c r="N60" s="17"/>
      <c r="O60" s="17"/>
      <c r="P60" s="17"/>
      <c r="Q60" s="17"/>
      <c r="R60" s="17"/>
      <c r="S60" s="17"/>
      <c r="T60" s="17"/>
      <c r="U60" s="17"/>
      <c r="V60" s="17"/>
      <c r="W60" s="17"/>
      <c r="X60" s="17"/>
      <c r="Y60" s="17"/>
      <c r="Z60" s="17"/>
    </row>
    <row r="61" ht="15.75" customHeight="1">
      <c r="A61" s="17"/>
      <c r="B61" s="17"/>
      <c r="C61" s="17"/>
      <c r="D61" s="17"/>
      <c r="E61" s="17"/>
      <c r="F61" s="17"/>
      <c r="G61" s="17"/>
      <c r="H61" s="17"/>
      <c r="I61" s="17"/>
      <c r="J61" s="17"/>
      <c r="K61" s="17"/>
      <c r="L61" s="17"/>
      <c r="M61" s="17"/>
      <c r="N61" s="17"/>
      <c r="O61" s="17"/>
      <c r="P61" s="17"/>
      <c r="Q61" s="17"/>
      <c r="R61" s="17"/>
      <c r="S61" s="17"/>
      <c r="T61" s="17"/>
      <c r="U61" s="17"/>
      <c r="V61" s="17"/>
      <c r="W61" s="17"/>
      <c r="X61" s="17"/>
      <c r="Y61" s="17"/>
      <c r="Z61" s="17"/>
    </row>
    <row r="62" ht="15.75" customHeight="1">
      <c r="A62" s="17"/>
      <c r="B62" s="17"/>
      <c r="C62" s="17"/>
      <c r="D62" s="17"/>
      <c r="E62" s="17"/>
      <c r="F62" s="17"/>
      <c r="G62" s="17"/>
      <c r="H62" s="17"/>
      <c r="I62" s="17"/>
      <c r="J62" s="17"/>
      <c r="K62" s="17"/>
      <c r="L62" s="17"/>
      <c r="M62" s="17"/>
      <c r="N62" s="17"/>
      <c r="O62" s="17"/>
      <c r="P62" s="17"/>
      <c r="Q62" s="17"/>
      <c r="R62" s="17"/>
      <c r="S62" s="17"/>
      <c r="T62" s="17"/>
      <c r="U62" s="17"/>
      <c r="V62" s="17"/>
      <c r="W62" s="17"/>
      <c r="X62" s="17"/>
      <c r="Y62" s="17"/>
      <c r="Z62" s="17"/>
    </row>
    <row r="63" ht="15.75" customHeight="1">
      <c r="A63" s="17"/>
      <c r="B63" s="17"/>
      <c r="C63" s="17"/>
      <c r="D63" s="17"/>
      <c r="E63" s="17"/>
      <c r="F63" s="17"/>
      <c r="G63" s="17"/>
      <c r="H63" s="17"/>
      <c r="I63" s="17"/>
      <c r="J63" s="17"/>
      <c r="K63" s="17"/>
      <c r="L63" s="17"/>
      <c r="M63" s="17"/>
      <c r="N63" s="17"/>
      <c r="O63" s="17"/>
      <c r="P63" s="17"/>
      <c r="Q63" s="17"/>
      <c r="R63" s="17"/>
      <c r="S63" s="17"/>
      <c r="T63" s="17"/>
      <c r="U63" s="17"/>
      <c r="V63" s="17"/>
      <c r="W63" s="17"/>
      <c r="X63" s="17"/>
      <c r="Y63" s="17"/>
      <c r="Z63" s="17"/>
    </row>
    <row r="64" ht="15.75" customHeight="1">
      <c r="A64" s="17"/>
      <c r="B64" s="17"/>
      <c r="C64" s="17"/>
      <c r="D64" s="17"/>
      <c r="E64" s="17"/>
      <c r="F64" s="17"/>
      <c r="G64" s="17"/>
      <c r="H64" s="17"/>
      <c r="I64" s="17"/>
      <c r="J64" s="17"/>
      <c r="K64" s="17"/>
      <c r="L64" s="17"/>
      <c r="M64" s="17"/>
      <c r="N64" s="17"/>
      <c r="O64" s="17"/>
      <c r="P64" s="17"/>
      <c r="Q64" s="17"/>
      <c r="R64" s="17"/>
      <c r="S64" s="17"/>
      <c r="T64" s="17"/>
      <c r="U64" s="17"/>
      <c r="V64" s="17"/>
      <c r="W64" s="17"/>
      <c r="X64" s="17"/>
      <c r="Y64" s="17"/>
      <c r="Z64" s="17"/>
    </row>
    <row r="65" ht="15.75" customHeight="1">
      <c r="A65" s="17"/>
      <c r="B65" s="17"/>
      <c r="C65" s="17"/>
      <c r="D65" s="17"/>
      <c r="E65" s="17"/>
      <c r="F65" s="17"/>
      <c r="G65" s="17"/>
      <c r="H65" s="17"/>
      <c r="I65" s="17"/>
      <c r="J65" s="17"/>
      <c r="K65" s="17"/>
      <c r="L65" s="17"/>
      <c r="M65" s="17"/>
      <c r="N65" s="17"/>
      <c r="O65" s="17"/>
      <c r="P65" s="17"/>
      <c r="Q65" s="17"/>
      <c r="R65" s="17"/>
      <c r="S65" s="17"/>
      <c r="T65" s="17"/>
      <c r="U65" s="17"/>
      <c r="V65" s="17"/>
      <c r="W65" s="17"/>
      <c r="X65" s="17"/>
      <c r="Y65" s="17"/>
      <c r="Z65" s="17"/>
    </row>
    <row r="66" ht="15.75" customHeight="1">
      <c r="A66" s="17"/>
      <c r="B66" s="17"/>
      <c r="C66" s="17"/>
      <c r="D66" s="17"/>
      <c r="E66" s="17"/>
      <c r="F66" s="17"/>
      <c r="G66" s="17"/>
      <c r="H66" s="17"/>
      <c r="I66" s="17"/>
      <c r="J66" s="17"/>
      <c r="K66" s="17"/>
      <c r="L66" s="17"/>
      <c r="M66" s="17"/>
      <c r="N66" s="17"/>
      <c r="O66" s="17"/>
      <c r="P66" s="17"/>
      <c r="Q66" s="17"/>
      <c r="R66" s="17"/>
      <c r="S66" s="17"/>
      <c r="T66" s="17"/>
      <c r="U66" s="17"/>
      <c r="V66" s="17"/>
      <c r="W66" s="17"/>
      <c r="X66" s="17"/>
      <c r="Y66" s="17"/>
      <c r="Z66" s="17"/>
    </row>
    <row r="67" ht="15.75" customHeight="1">
      <c r="A67" s="17"/>
      <c r="B67" s="17"/>
      <c r="C67" s="17"/>
      <c r="D67" s="17"/>
      <c r="E67" s="17"/>
      <c r="F67" s="17"/>
      <c r="G67" s="17"/>
      <c r="H67" s="17"/>
      <c r="I67" s="17"/>
      <c r="J67" s="17"/>
      <c r="K67" s="17"/>
      <c r="L67" s="17"/>
      <c r="M67" s="17"/>
      <c r="N67" s="17"/>
      <c r="O67" s="17"/>
      <c r="P67" s="17"/>
      <c r="Q67" s="17"/>
      <c r="R67" s="17"/>
      <c r="S67" s="17"/>
      <c r="T67" s="17"/>
      <c r="U67" s="17"/>
      <c r="V67" s="17"/>
      <c r="W67" s="17"/>
      <c r="X67" s="17"/>
      <c r="Y67" s="17"/>
      <c r="Z67" s="17"/>
    </row>
    <row r="68" ht="15.75" customHeight="1">
      <c r="A68" s="17"/>
      <c r="B68" s="17"/>
      <c r="C68" s="17"/>
      <c r="D68" s="17"/>
      <c r="E68" s="17"/>
      <c r="F68" s="17"/>
      <c r="G68" s="17"/>
      <c r="H68" s="17"/>
      <c r="I68" s="17"/>
      <c r="J68" s="17"/>
      <c r="K68" s="17"/>
      <c r="L68" s="17"/>
      <c r="M68" s="17"/>
      <c r="N68" s="17"/>
      <c r="O68" s="17"/>
      <c r="P68" s="17"/>
      <c r="Q68" s="17"/>
      <c r="R68" s="17"/>
      <c r="S68" s="17"/>
      <c r="T68" s="17"/>
      <c r="U68" s="17"/>
      <c r="V68" s="17"/>
      <c r="W68" s="17"/>
      <c r="X68" s="17"/>
      <c r="Y68" s="17"/>
      <c r="Z68" s="17"/>
    </row>
    <row r="69" ht="15.75" customHeight="1">
      <c r="A69" s="17"/>
      <c r="B69" s="17"/>
      <c r="C69" s="17"/>
      <c r="D69" s="17"/>
      <c r="E69" s="17"/>
      <c r="F69" s="17"/>
      <c r="G69" s="17"/>
      <c r="H69" s="17"/>
      <c r="I69" s="17"/>
      <c r="J69" s="17"/>
      <c r="K69" s="17"/>
      <c r="L69" s="17"/>
      <c r="M69" s="17"/>
      <c r="N69" s="17"/>
      <c r="O69" s="17"/>
      <c r="P69" s="17"/>
      <c r="Q69" s="17"/>
      <c r="R69" s="17"/>
      <c r="S69" s="17"/>
      <c r="T69" s="17"/>
      <c r="U69" s="17"/>
      <c r="V69" s="17"/>
      <c r="W69" s="17"/>
      <c r="X69" s="17"/>
      <c r="Y69" s="17"/>
      <c r="Z69" s="17"/>
    </row>
    <row r="70" ht="15.75" customHeight="1">
      <c r="A70" s="17"/>
      <c r="B70" s="17"/>
      <c r="C70" s="17"/>
      <c r="D70" s="17"/>
      <c r="E70" s="17"/>
      <c r="F70" s="17"/>
      <c r="G70" s="17"/>
      <c r="H70" s="17"/>
      <c r="I70" s="17"/>
      <c r="J70" s="17"/>
      <c r="K70" s="17"/>
      <c r="L70" s="17"/>
      <c r="M70" s="17"/>
      <c r="N70" s="17"/>
      <c r="O70" s="17"/>
      <c r="P70" s="17"/>
      <c r="Q70" s="17"/>
      <c r="R70" s="17"/>
      <c r="S70" s="17"/>
      <c r="T70" s="17"/>
      <c r="U70" s="17"/>
      <c r="V70" s="17"/>
      <c r="W70" s="17"/>
      <c r="X70" s="17"/>
      <c r="Y70" s="17"/>
      <c r="Z70" s="17"/>
    </row>
    <row r="71" ht="15.75" customHeight="1">
      <c r="A71" s="17"/>
      <c r="B71" s="17"/>
      <c r="C71" s="17"/>
      <c r="D71" s="17"/>
      <c r="E71" s="17"/>
      <c r="F71" s="17"/>
      <c r="G71" s="17"/>
      <c r="H71" s="17"/>
      <c r="I71" s="17"/>
      <c r="J71" s="17"/>
      <c r="K71" s="17"/>
      <c r="L71" s="17"/>
      <c r="M71" s="17"/>
      <c r="N71" s="17"/>
      <c r="O71" s="17"/>
      <c r="P71" s="17"/>
      <c r="Q71" s="17"/>
      <c r="R71" s="17"/>
      <c r="S71" s="17"/>
      <c r="T71" s="17"/>
      <c r="U71" s="17"/>
      <c r="V71" s="17"/>
      <c r="W71" s="17"/>
      <c r="X71" s="17"/>
      <c r="Y71" s="17"/>
      <c r="Z71" s="17"/>
    </row>
    <row r="72" ht="15.75" customHeight="1">
      <c r="A72" s="17"/>
      <c r="B72" s="17"/>
      <c r="C72" s="17"/>
      <c r="D72" s="17"/>
      <c r="E72" s="17"/>
      <c r="F72" s="17"/>
      <c r="G72" s="17"/>
      <c r="H72" s="17"/>
      <c r="I72" s="17"/>
      <c r="J72" s="17"/>
      <c r="K72" s="17"/>
      <c r="L72" s="17"/>
      <c r="M72" s="17"/>
      <c r="N72" s="17"/>
      <c r="O72" s="17"/>
      <c r="P72" s="17"/>
      <c r="Q72" s="17"/>
      <c r="R72" s="17"/>
      <c r="S72" s="17"/>
      <c r="T72" s="17"/>
      <c r="U72" s="17"/>
      <c r="V72" s="17"/>
      <c r="W72" s="17"/>
      <c r="X72" s="17"/>
      <c r="Y72" s="17"/>
      <c r="Z72" s="17"/>
    </row>
    <row r="73" ht="15.75" customHeight="1">
      <c r="A73" s="17"/>
      <c r="B73" s="17"/>
      <c r="C73" s="17"/>
      <c r="D73" s="17"/>
      <c r="E73" s="17"/>
      <c r="F73" s="17"/>
      <c r="G73" s="17"/>
      <c r="H73" s="17"/>
      <c r="I73" s="17"/>
      <c r="J73" s="17"/>
      <c r="K73" s="17"/>
      <c r="L73" s="17"/>
      <c r="M73" s="17"/>
      <c r="N73" s="17"/>
      <c r="O73" s="17"/>
      <c r="P73" s="17"/>
      <c r="Q73" s="17"/>
      <c r="R73" s="17"/>
      <c r="S73" s="17"/>
      <c r="T73" s="17"/>
      <c r="U73" s="17"/>
      <c r="V73" s="17"/>
      <c r="W73" s="17"/>
      <c r="X73" s="17"/>
      <c r="Y73" s="17"/>
      <c r="Z73" s="17"/>
    </row>
    <row r="74" ht="15.75" customHeight="1">
      <c r="A74" s="17"/>
      <c r="B74" s="17"/>
      <c r="C74" s="17"/>
      <c r="D74" s="17"/>
      <c r="E74" s="17"/>
      <c r="F74" s="17"/>
      <c r="G74" s="17"/>
      <c r="H74" s="17"/>
      <c r="I74" s="17"/>
      <c r="J74" s="17"/>
      <c r="K74" s="17"/>
      <c r="L74" s="17"/>
      <c r="M74" s="17"/>
      <c r="N74" s="17"/>
      <c r="O74" s="17"/>
      <c r="P74" s="17"/>
      <c r="Q74" s="17"/>
      <c r="R74" s="17"/>
      <c r="S74" s="17"/>
      <c r="T74" s="17"/>
      <c r="U74" s="17"/>
      <c r="V74" s="17"/>
      <c r="W74" s="17"/>
      <c r="X74" s="17"/>
      <c r="Y74" s="17"/>
      <c r="Z74" s="17"/>
    </row>
    <row r="75" ht="15.75" customHeight="1">
      <c r="A75" s="17"/>
      <c r="B75" s="17"/>
      <c r="C75" s="17"/>
      <c r="D75" s="17"/>
      <c r="E75" s="17"/>
      <c r="F75" s="17"/>
      <c r="G75" s="17"/>
      <c r="H75" s="17"/>
      <c r="I75" s="17"/>
      <c r="J75" s="17"/>
      <c r="K75" s="17"/>
      <c r="L75" s="17"/>
      <c r="M75" s="17"/>
      <c r="N75" s="17"/>
      <c r="O75" s="17"/>
      <c r="P75" s="17"/>
      <c r="Q75" s="17"/>
      <c r="R75" s="17"/>
      <c r="S75" s="17"/>
      <c r="T75" s="17"/>
      <c r="U75" s="17"/>
      <c r="V75" s="17"/>
      <c r="W75" s="17"/>
      <c r="X75" s="17"/>
      <c r="Y75" s="17"/>
      <c r="Z75" s="17"/>
    </row>
    <row r="76" ht="15.75" customHeight="1">
      <c r="A76" s="17"/>
      <c r="B76" s="17"/>
      <c r="C76" s="17"/>
      <c r="D76" s="17"/>
      <c r="E76" s="17"/>
      <c r="F76" s="17"/>
      <c r="G76" s="17"/>
      <c r="H76" s="17"/>
      <c r="I76" s="17"/>
      <c r="J76" s="17"/>
      <c r="K76" s="17"/>
      <c r="L76" s="17"/>
      <c r="M76" s="17"/>
      <c r="N76" s="17"/>
      <c r="O76" s="17"/>
      <c r="P76" s="17"/>
      <c r="Q76" s="17"/>
      <c r="R76" s="17"/>
      <c r="S76" s="17"/>
      <c r="T76" s="17"/>
      <c r="U76" s="17"/>
      <c r="V76" s="17"/>
      <c r="W76" s="17"/>
      <c r="X76" s="17"/>
      <c r="Y76" s="17"/>
      <c r="Z76" s="17"/>
    </row>
    <row r="77" ht="15.75" customHeight="1">
      <c r="A77" s="17"/>
      <c r="B77" s="17"/>
      <c r="C77" s="17"/>
      <c r="D77" s="17"/>
      <c r="E77" s="17"/>
      <c r="F77" s="17"/>
      <c r="G77" s="17"/>
      <c r="H77" s="17"/>
      <c r="I77" s="17"/>
      <c r="J77" s="17"/>
      <c r="K77" s="17"/>
      <c r="L77" s="17"/>
      <c r="M77" s="17"/>
      <c r="N77" s="17"/>
      <c r="O77" s="17"/>
      <c r="P77" s="17"/>
      <c r="Q77" s="17"/>
      <c r="R77" s="17"/>
      <c r="S77" s="17"/>
      <c r="T77" s="17"/>
      <c r="U77" s="17"/>
      <c r="V77" s="17"/>
      <c r="W77" s="17"/>
      <c r="X77" s="17"/>
      <c r="Y77" s="17"/>
      <c r="Z77" s="17"/>
    </row>
    <row r="78" ht="15.75" customHeight="1">
      <c r="A78" s="17"/>
      <c r="B78" s="17"/>
      <c r="C78" s="17"/>
      <c r="D78" s="17"/>
      <c r="E78" s="17"/>
      <c r="F78" s="17"/>
      <c r="G78" s="17"/>
      <c r="H78" s="17"/>
      <c r="I78" s="17"/>
      <c r="J78" s="17"/>
      <c r="K78" s="17"/>
      <c r="L78" s="17"/>
      <c r="M78" s="17"/>
      <c r="N78" s="17"/>
      <c r="O78" s="17"/>
      <c r="P78" s="17"/>
      <c r="Q78" s="17"/>
      <c r="R78" s="17"/>
      <c r="S78" s="17"/>
      <c r="T78" s="17"/>
      <c r="U78" s="17"/>
      <c r="V78" s="17"/>
      <c r="W78" s="17"/>
      <c r="X78" s="17"/>
      <c r="Y78" s="17"/>
      <c r="Z78" s="17"/>
    </row>
    <row r="79" ht="15.75" customHeight="1">
      <c r="A79" s="17"/>
      <c r="B79" s="17"/>
      <c r="C79" s="17"/>
      <c r="D79" s="17"/>
      <c r="E79" s="17"/>
      <c r="F79" s="17"/>
      <c r="G79" s="17"/>
      <c r="H79" s="17"/>
      <c r="I79" s="17"/>
      <c r="J79" s="17"/>
      <c r="K79" s="17"/>
      <c r="L79" s="17"/>
      <c r="M79" s="17"/>
      <c r="N79" s="17"/>
      <c r="O79" s="17"/>
      <c r="P79" s="17"/>
      <c r="Q79" s="17"/>
      <c r="R79" s="17"/>
      <c r="S79" s="17"/>
      <c r="T79" s="17"/>
      <c r="U79" s="17"/>
      <c r="V79" s="17"/>
      <c r="W79" s="17"/>
      <c r="X79" s="17"/>
      <c r="Y79" s="17"/>
      <c r="Z79" s="17"/>
    </row>
    <row r="80" ht="15.75" customHeight="1">
      <c r="A80" s="17"/>
      <c r="B80" s="17"/>
      <c r="C80" s="17"/>
      <c r="D80" s="17"/>
      <c r="E80" s="17"/>
      <c r="F80" s="17"/>
      <c r="G80" s="17"/>
      <c r="H80" s="17"/>
      <c r="I80" s="17"/>
      <c r="J80" s="17"/>
      <c r="K80" s="17"/>
      <c r="L80" s="17"/>
      <c r="M80" s="17"/>
      <c r="N80" s="17"/>
      <c r="O80" s="17"/>
      <c r="P80" s="17"/>
      <c r="Q80" s="17"/>
      <c r="R80" s="17"/>
      <c r="S80" s="17"/>
      <c r="T80" s="17"/>
      <c r="U80" s="17"/>
      <c r="V80" s="17"/>
      <c r="W80" s="17"/>
      <c r="X80" s="17"/>
      <c r="Y80" s="17"/>
      <c r="Z80" s="17"/>
    </row>
    <row r="81" ht="15.75" customHeight="1">
      <c r="A81" s="17"/>
      <c r="B81" s="17"/>
      <c r="C81" s="17"/>
      <c r="D81" s="17"/>
      <c r="E81" s="17"/>
      <c r="F81" s="17"/>
      <c r="G81" s="17"/>
      <c r="H81" s="17"/>
      <c r="I81" s="17"/>
      <c r="J81" s="17"/>
      <c r="K81" s="17"/>
      <c r="L81" s="17"/>
      <c r="M81" s="17"/>
      <c r="N81" s="17"/>
      <c r="O81" s="17"/>
      <c r="P81" s="17"/>
      <c r="Q81" s="17"/>
      <c r="R81" s="17"/>
      <c r="S81" s="17"/>
      <c r="T81" s="17"/>
      <c r="U81" s="17"/>
      <c r="V81" s="17"/>
      <c r="W81" s="17"/>
      <c r="X81" s="17"/>
      <c r="Y81" s="17"/>
      <c r="Z81" s="17"/>
    </row>
    <row r="82" ht="15.75" customHeight="1">
      <c r="A82" s="17"/>
      <c r="B82" s="17"/>
      <c r="C82" s="17"/>
      <c r="D82" s="17"/>
      <c r="E82" s="17"/>
      <c r="F82" s="17"/>
      <c r="G82" s="17"/>
      <c r="H82" s="17"/>
      <c r="I82" s="17"/>
      <c r="J82" s="17"/>
      <c r="K82" s="17"/>
      <c r="L82" s="17"/>
      <c r="M82" s="17"/>
      <c r="N82" s="17"/>
      <c r="O82" s="17"/>
      <c r="P82" s="17"/>
      <c r="Q82" s="17"/>
      <c r="R82" s="17"/>
      <c r="S82" s="17"/>
      <c r="T82" s="17"/>
      <c r="U82" s="17"/>
      <c r="V82" s="17"/>
      <c r="W82" s="17"/>
      <c r="X82" s="17"/>
      <c r="Y82" s="17"/>
      <c r="Z82" s="17"/>
    </row>
    <row r="83" ht="15.75" customHeight="1">
      <c r="A83" s="17"/>
      <c r="B83" s="17"/>
      <c r="C83" s="17"/>
      <c r="D83" s="17"/>
      <c r="E83" s="17"/>
      <c r="F83" s="17"/>
      <c r="G83" s="17"/>
      <c r="H83" s="17"/>
      <c r="I83" s="17"/>
      <c r="J83" s="17"/>
      <c r="K83" s="17"/>
      <c r="L83" s="17"/>
      <c r="M83" s="17"/>
      <c r="N83" s="17"/>
      <c r="O83" s="17"/>
      <c r="P83" s="17"/>
      <c r="Q83" s="17"/>
      <c r="R83" s="17"/>
      <c r="S83" s="17"/>
      <c r="T83" s="17"/>
      <c r="U83" s="17"/>
      <c r="V83" s="17"/>
      <c r="W83" s="17"/>
      <c r="X83" s="17"/>
      <c r="Y83" s="17"/>
      <c r="Z83" s="17"/>
    </row>
    <row r="84" ht="15.75" customHeight="1">
      <c r="A84" s="17"/>
      <c r="B84" s="17"/>
      <c r="C84" s="17"/>
      <c r="D84" s="17"/>
      <c r="E84" s="17"/>
      <c r="F84" s="17"/>
      <c r="G84" s="17"/>
      <c r="H84" s="17"/>
      <c r="I84" s="17"/>
      <c r="J84" s="17"/>
      <c r="K84" s="17"/>
      <c r="L84" s="17"/>
      <c r="M84" s="17"/>
      <c r="N84" s="17"/>
      <c r="O84" s="17"/>
      <c r="P84" s="17"/>
      <c r="Q84" s="17"/>
      <c r="R84" s="17"/>
      <c r="S84" s="17"/>
      <c r="T84" s="17"/>
      <c r="U84" s="17"/>
      <c r="V84" s="17"/>
      <c r="W84" s="17"/>
      <c r="X84" s="17"/>
      <c r="Y84" s="17"/>
      <c r="Z84" s="17"/>
    </row>
    <row r="85" ht="15.75" customHeight="1">
      <c r="A85" s="17"/>
      <c r="B85" s="17"/>
      <c r="C85" s="17"/>
      <c r="D85" s="17"/>
      <c r="E85" s="17"/>
      <c r="F85" s="17"/>
      <c r="G85" s="17"/>
      <c r="H85" s="17"/>
      <c r="I85" s="17"/>
      <c r="J85" s="17"/>
      <c r="K85" s="17"/>
      <c r="L85" s="17"/>
      <c r="M85" s="17"/>
      <c r="N85" s="17"/>
      <c r="O85" s="17"/>
      <c r="P85" s="17"/>
      <c r="Q85" s="17"/>
      <c r="R85" s="17"/>
      <c r="S85" s="17"/>
      <c r="T85" s="17"/>
      <c r="U85" s="17"/>
      <c r="V85" s="17"/>
      <c r="W85" s="17"/>
      <c r="X85" s="17"/>
      <c r="Y85" s="17"/>
      <c r="Z85" s="17"/>
    </row>
    <row r="86" ht="15.75" customHeight="1">
      <c r="A86" s="17"/>
      <c r="B86" s="17"/>
      <c r="C86" s="17"/>
      <c r="D86" s="17"/>
      <c r="E86" s="17"/>
      <c r="F86" s="17"/>
      <c r="G86" s="17"/>
      <c r="H86" s="17"/>
      <c r="I86" s="17"/>
      <c r="J86" s="17"/>
      <c r="K86" s="17"/>
      <c r="L86" s="17"/>
      <c r="M86" s="17"/>
      <c r="N86" s="17"/>
      <c r="O86" s="17"/>
      <c r="P86" s="17"/>
      <c r="Q86" s="17"/>
      <c r="R86" s="17"/>
      <c r="S86" s="17"/>
      <c r="T86" s="17"/>
      <c r="U86" s="17"/>
      <c r="V86" s="17"/>
      <c r="W86" s="17"/>
      <c r="X86" s="17"/>
      <c r="Y86" s="17"/>
      <c r="Z86" s="17"/>
    </row>
    <row r="87" ht="15.75" customHeight="1">
      <c r="A87" s="17"/>
      <c r="B87" s="17"/>
      <c r="C87" s="17"/>
      <c r="D87" s="17"/>
      <c r="E87" s="17"/>
      <c r="F87" s="17"/>
      <c r="G87" s="17"/>
      <c r="H87" s="17"/>
      <c r="I87" s="17"/>
      <c r="J87" s="17"/>
      <c r="K87" s="17"/>
      <c r="L87" s="17"/>
      <c r="M87" s="17"/>
      <c r="N87" s="17"/>
      <c r="O87" s="17"/>
      <c r="P87" s="17"/>
      <c r="Q87" s="17"/>
      <c r="R87" s="17"/>
      <c r="S87" s="17"/>
      <c r="T87" s="17"/>
      <c r="U87" s="17"/>
      <c r="V87" s="17"/>
      <c r="W87" s="17"/>
      <c r="X87" s="17"/>
      <c r="Y87" s="17"/>
      <c r="Z87" s="17"/>
    </row>
    <row r="88" ht="15.75" customHeight="1">
      <c r="A88" s="17"/>
      <c r="B88" s="17"/>
      <c r="C88" s="17"/>
      <c r="D88" s="17"/>
      <c r="E88" s="17"/>
      <c r="F88" s="17"/>
      <c r="G88" s="17"/>
      <c r="H88" s="17"/>
      <c r="I88" s="17"/>
      <c r="J88" s="17"/>
      <c r="K88" s="17"/>
      <c r="L88" s="17"/>
      <c r="M88" s="17"/>
      <c r="N88" s="17"/>
      <c r="O88" s="17"/>
      <c r="P88" s="17"/>
      <c r="Q88" s="17"/>
      <c r="R88" s="17"/>
      <c r="S88" s="17"/>
      <c r="T88" s="17"/>
      <c r="U88" s="17"/>
      <c r="V88" s="17"/>
      <c r="W88" s="17"/>
      <c r="X88" s="17"/>
      <c r="Y88" s="17"/>
      <c r="Z88" s="17"/>
    </row>
    <row r="89" ht="15.75" customHeight="1">
      <c r="A89" s="17"/>
      <c r="B89" s="17"/>
      <c r="C89" s="17"/>
      <c r="D89" s="17"/>
      <c r="E89" s="17"/>
      <c r="F89" s="17"/>
      <c r="G89" s="17"/>
      <c r="H89" s="17"/>
      <c r="I89" s="17"/>
      <c r="J89" s="17"/>
      <c r="K89" s="17"/>
      <c r="L89" s="17"/>
      <c r="M89" s="17"/>
      <c r="N89" s="17"/>
      <c r="O89" s="17"/>
      <c r="P89" s="17"/>
      <c r="Q89" s="17"/>
      <c r="R89" s="17"/>
      <c r="S89" s="17"/>
      <c r="T89" s="17"/>
      <c r="U89" s="17"/>
      <c r="V89" s="17"/>
      <c r="W89" s="17"/>
      <c r="X89" s="17"/>
      <c r="Y89" s="17"/>
      <c r="Z89" s="17"/>
    </row>
    <row r="90" ht="15.75" customHeight="1">
      <c r="A90" s="17"/>
      <c r="B90" s="17"/>
      <c r="C90" s="17"/>
      <c r="D90" s="17"/>
      <c r="E90" s="17"/>
      <c r="F90" s="17"/>
      <c r="G90" s="17"/>
      <c r="H90" s="17"/>
      <c r="I90" s="17"/>
      <c r="J90" s="17"/>
      <c r="K90" s="17"/>
      <c r="L90" s="17"/>
      <c r="M90" s="17"/>
      <c r="N90" s="17"/>
      <c r="O90" s="17"/>
      <c r="P90" s="17"/>
      <c r="Q90" s="17"/>
      <c r="R90" s="17"/>
      <c r="S90" s="17"/>
      <c r="T90" s="17"/>
      <c r="U90" s="17"/>
      <c r="V90" s="17"/>
      <c r="W90" s="17"/>
      <c r="X90" s="17"/>
      <c r="Y90" s="17"/>
      <c r="Z90" s="17"/>
    </row>
    <row r="91" ht="15.75" customHeight="1">
      <c r="A91" s="17"/>
      <c r="B91" s="17"/>
      <c r="C91" s="17"/>
      <c r="D91" s="17"/>
      <c r="E91" s="17"/>
      <c r="F91" s="17"/>
      <c r="G91" s="17"/>
      <c r="H91" s="17"/>
      <c r="I91" s="17"/>
      <c r="J91" s="17"/>
      <c r="K91" s="17"/>
      <c r="L91" s="17"/>
      <c r="M91" s="17"/>
      <c r="N91" s="17"/>
      <c r="O91" s="17"/>
      <c r="P91" s="17"/>
      <c r="Q91" s="17"/>
      <c r="R91" s="17"/>
      <c r="S91" s="17"/>
      <c r="T91" s="17"/>
      <c r="U91" s="17"/>
      <c r="V91" s="17"/>
      <c r="W91" s="17"/>
      <c r="X91" s="17"/>
      <c r="Y91" s="17"/>
      <c r="Z91" s="17"/>
    </row>
    <row r="92" ht="15.75" customHeight="1">
      <c r="A92" s="17"/>
      <c r="B92" s="17"/>
      <c r="C92" s="17"/>
      <c r="D92" s="17"/>
      <c r="E92" s="17"/>
      <c r="F92" s="17"/>
      <c r="G92" s="17"/>
      <c r="H92" s="17"/>
      <c r="I92" s="17"/>
      <c r="J92" s="17"/>
      <c r="K92" s="17"/>
      <c r="L92" s="17"/>
      <c r="M92" s="17"/>
      <c r="N92" s="17"/>
      <c r="O92" s="17"/>
      <c r="P92" s="17"/>
      <c r="Q92" s="17"/>
      <c r="R92" s="17"/>
      <c r="S92" s="17"/>
      <c r="T92" s="17"/>
      <c r="U92" s="17"/>
      <c r="V92" s="17"/>
      <c r="W92" s="17"/>
      <c r="X92" s="17"/>
      <c r="Y92" s="17"/>
      <c r="Z92" s="17"/>
    </row>
    <row r="93" ht="15.75" customHeight="1">
      <c r="A93" s="17"/>
      <c r="B93" s="17"/>
      <c r="C93" s="17"/>
      <c r="D93" s="17"/>
      <c r="E93" s="17"/>
      <c r="F93" s="17"/>
      <c r="G93" s="17"/>
      <c r="H93" s="17"/>
      <c r="I93" s="17"/>
      <c r="J93" s="17"/>
      <c r="K93" s="17"/>
      <c r="L93" s="17"/>
      <c r="M93" s="17"/>
      <c r="N93" s="17"/>
      <c r="O93" s="17"/>
      <c r="P93" s="17"/>
      <c r="Q93" s="17"/>
      <c r="R93" s="17"/>
      <c r="S93" s="17"/>
      <c r="T93" s="17"/>
      <c r="U93" s="17"/>
      <c r="V93" s="17"/>
      <c r="W93" s="17"/>
      <c r="X93" s="17"/>
      <c r="Y93" s="17"/>
      <c r="Z93" s="17"/>
    </row>
    <row r="94" ht="15.75" customHeight="1">
      <c r="A94" s="17"/>
      <c r="B94" s="17"/>
      <c r="C94" s="17"/>
      <c r="D94" s="17"/>
      <c r="E94" s="17"/>
      <c r="F94" s="17"/>
      <c r="G94" s="17"/>
      <c r="H94" s="17"/>
      <c r="I94" s="17"/>
      <c r="J94" s="17"/>
      <c r="K94" s="17"/>
      <c r="L94" s="17"/>
      <c r="M94" s="17"/>
      <c r="N94" s="17"/>
      <c r="O94" s="17"/>
      <c r="P94" s="17"/>
      <c r="Q94" s="17"/>
      <c r="R94" s="17"/>
      <c r="S94" s="17"/>
      <c r="T94" s="17"/>
      <c r="U94" s="17"/>
      <c r="V94" s="17"/>
      <c r="W94" s="17"/>
      <c r="X94" s="17"/>
      <c r="Y94" s="17"/>
      <c r="Z94" s="17"/>
    </row>
    <row r="95" ht="15.75" customHeight="1">
      <c r="A95" s="17"/>
      <c r="B95" s="17"/>
      <c r="C95" s="17"/>
      <c r="D95" s="17"/>
      <c r="E95" s="17"/>
      <c r="F95" s="17"/>
      <c r="G95" s="17"/>
      <c r="H95" s="17"/>
      <c r="I95" s="17"/>
      <c r="J95" s="17"/>
      <c r="K95" s="17"/>
      <c r="L95" s="17"/>
      <c r="M95" s="17"/>
      <c r="N95" s="17"/>
      <c r="O95" s="17"/>
      <c r="P95" s="17"/>
      <c r="Q95" s="17"/>
      <c r="R95" s="17"/>
      <c r="S95" s="17"/>
      <c r="T95" s="17"/>
      <c r="U95" s="17"/>
      <c r="V95" s="17"/>
      <c r="W95" s="17"/>
      <c r="X95" s="17"/>
      <c r="Y95" s="17"/>
      <c r="Z95" s="17"/>
    </row>
    <row r="96" ht="15.75" customHeight="1">
      <c r="A96" s="17"/>
      <c r="B96" s="17"/>
      <c r="C96" s="17"/>
      <c r="D96" s="17"/>
      <c r="E96" s="17"/>
      <c r="F96" s="17"/>
      <c r="G96" s="17"/>
      <c r="H96" s="17"/>
      <c r="I96" s="17"/>
      <c r="J96" s="17"/>
      <c r="K96" s="17"/>
      <c r="L96" s="17"/>
      <c r="M96" s="17"/>
      <c r="N96" s="17"/>
      <c r="O96" s="17"/>
      <c r="P96" s="17"/>
      <c r="Q96" s="17"/>
      <c r="R96" s="17"/>
      <c r="S96" s="17"/>
      <c r="T96" s="17"/>
      <c r="U96" s="17"/>
      <c r="V96" s="17"/>
      <c r="W96" s="17"/>
      <c r="X96" s="17"/>
      <c r="Y96" s="17"/>
      <c r="Z96" s="17"/>
    </row>
    <row r="97" ht="15.75" customHeight="1">
      <c r="A97" s="17"/>
      <c r="B97" s="17"/>
      <c r="C97" s="17"/>
      <c r="D97" s="17"/>
      <c r="E97" s="17"/>
      <c r="F97" s="17"/>
      <c r="G97" s="17"/>
      <c r="H97" s="17"/>
      <c r="I97" s="17"/>
      <c r="J97" s="17"/>
      <c r="K97" s="17"/>
      <c r="L97" s="17"/>
      <c r="M97" s="17"/>
      <c r="N97" s="17"/>
      <c r="O97" s="17"/>
      <c r="P97" s="17"/>
      <c r="Q97" s="17"/>
      <c r="R97" s="17"/>
      <c r="S97" s="17"/>
      <c r="T97" s="17"/>
      <c r="U97" s="17"/>
      <c r="V97" s="17"/>
      <c r="W97" s="17"/>
      <c r="X97" s="17"/>
      <c r="Y97" s="17"/>
      <c r="Z97" s="17"/>
    </row>
    <row r="98" ht="15.75" customHeight="1">
      <c r="A98" s="17"/>
      <c r="B98" s="17"/>
      <c r="C98" s="17"/>
      <c r="D98" s="17"/>
      <c r="E98" s="17"/>
      <c r="F98" s="17"/>
      <c r="G98" s="17"/>
      <c r="H98" s="17"/>
      <c r="I98" s="17"/>
      <c r="J98" s="17"/>
      <c r="K98" s="17"/>
      <c r="L98" s="17"/>
      <c r="M98" s="17"/>
      <c r="N98" s="17"/>
      <c r="O98" s="17"/>
      <c r="P98" s="17"/>
      <c r="Q98" s="17"/>
      <c r="R98" s="17"/>
      <c r="S98" s="17"/>
      <c r="T98" s="17"/>
      <c r="U98" s="17"/>
      <c r="V98" s="17"/>
      <c r="W98" s="17"/>
      <c r="X98" s="17"/>
      <c r="Y98" s="17"/>
      <c r="Z98" s="17"/>
    </row>
    <row r="99" ht="15.75" customHeight="1">
      <c r="A99" s="17"/>
      <c r="B99" s="17"/>
      <c r="C99" s="17"/>
      <c r="D99" s="17"/>
      <c r="E99" s="17"/>
      <c r="F99" s="17"/>
      <c r="G99" s="17"/>
      <c r="H99" s="17"/>
      <c r="I99" s="17"/>
      <c r="J99" s="17"/>
      <c r="K99" s="17"/>
      <c r="L99" s="17"/>
      <c r="M99" s="17"/>
      <c r="N99" s="17"/>
      <c r="O99" s="17"/>
      <c r="P99" s="17"/>
      <c r="Q99" s="17"/>
      <c r="R99" s="17"/>
      <c r="S99" s="17"/>
      <c r="T99" s="17"/>
      <c r="U99" s="17"/>
      <c r="V99" s="17"/>
      <c r="W99" s="17"/>
      <c r="X99" s="17"/>
      <c r="Y99" s="17"/>
      <c r="Z99" s="17"/>
    </row>
    <row r="100" ht="15.75" customHeight="1">
      <c r="A100" s="17"/>
      <c r="B100" s="17"/>
      <c r="C100" s="17"/>
      <c r="D100" s="17"/>
      <c r="E100" s="17"/>
      <c r="F100" s="17"/>
      <c r="G100" s="17"/>
      <c r="H100" s="17"/>
      <c r="I100" s="17"/>
      <c r="J100" s="17"/>
      <c r="K100" s="17"/>
      <c r="L100" s="17"/>
      <c r="M100" s="17"/>
      <c r="N100" s="17"/>
      <c r="O100" s="17"/>
      <c r="P100" s="17"/>
      <c r="Q100" s="17"/>
      <c r="R100" s="17"/>
      <c r="S100" s="17"/>
      <c r="T100" s="17"/>
      <c r="U100" s="17"/>
      <c r="V100" s="17"/>
      <c r="W100" s="17"/>
      <c r="X100" s="17"/>
      <c r="Y100" s="17"/>
      <c r="Z100" s="17"/>
    </row>
    <row r="101" ht="15.75" customHeight="1">
      <c r="A101" s="17"/>
      <c r="B101" s="17"/>
      <c r="C101" s="17"/>
      <c r="D101" s="17"/>
      <c r="E101" s="17"/>
      <c r="F101" s="17"/>
      <c r="G101" s="17"/>
      <c r="H101" s="17"/>
      <c r="I101" s="17"/>
      <c r="J101" s="17"/>
      <c r="K101" s="17"/>
      <c r="L101" s="17"/>
      <c r="M101" s="17"/>
      <c r="N101" s="17"/>
      <c r="O101" s="17"/>
      <c r="P101" s="17"/>
      <c r="Q101" s="17"/>
      <c r="R101" s="17"/>
      <c r="S101" s="17"/>
      <c r="T101" s="17"/>
      <c r="U101" s="17"/>
      <c r="V101" s="17"/>
      <c r="W101" s="17"/>
      <c r="X101" s="17"/>
      <c r="Y101" s="17"/>
      <c r="Z101" s="17"/>
    </row>
    <row r="102" ht="15.75" customHeight="1">
      <c r="A102" s="17"/>
      <c r="B102" s="17"/>
      <c r="C102" s="17"/>
      <c r="D102" s="17"/>
      <c r="E102" s="17"/>
      <c r="F102" s="17"/>
      <c r="G102" s="17"/>
      <c r="H102" s="17"/>
      <c r="I102" s="17"/>
      <c r="J102" s="17"/>
      <c r="K102" s="17"/>
      <c r="L102" s="17"/>
      <c r="M102" s="17"/>
      <c r="N102" s="17"/>
      <c r="O102" s="17"/>
      <c r="P102" s="17"/>
      <c r="Q102" s="17"/>
      <c r="R102" s="17"/>
      <c r="S102" s="17"/>
      <c r="T102" s="17"/>
      <c r="U102" s="17"/>
      <c r="V102" s="17"/>
      <c r="W102" s="17"/>
      <c r="X102" s="17"/>
      <c r="Y102" s="17"/>
      <c r="Z102" s="17"/>
    </row>
    <row r="103" ht="15.75" customHeight="1">
      <c r="A103" s="17"/>
      <c r="B103" s="17"/>
      <c r="C103" s="17"/>
      <c r="D103" s="17"/>
      <c r="E103" s="17"/>
      <c r="F103" s="17"/>
      <c r="G103" s="17"/>
      <c r="H103" s="17"/>
      <c r="I103" s="17"/>
      <c r="J103" s="17"/>
      <c r="K103" s="17"/>
      <c r="L103" s="17"/>
      <c r="M103" s="17"/>
      <c r="N103" s="17"/>
      <c r="O103" s="17"/>
      <c r="P103" s="17"/>
      <c r="Q103" s="17"/>
      <c r="R103" s="17"/>
      <c r="S103" s="17"/>
      <c r="T103" s="17"/>
      <c r="U103" s="17"/>
      <c r="V103" s="17"/>
      <c r="W103" s="17"/>
      <c r="X103" s="17"/>
      <c r="Y103" s="17"/>
      <c r="Z103" s="17"/>
    </row>
    <row r="104" ht="15.75" customHeight="1">
      <c r="A104" s="17"/>
      <c r="B104" s="17"/>
      <c r="C104" s="17"/>
      <c r="D104" s="17"/>
      <c r="E104" s="17"/>
      <c r="F104" s="17"/>
      <c r="G104" s="17"/>
      <c r="H104" s="17"/>
      <c r="I104" s="17"/>
      <c r="J104" s="17"/>
      <c r="K104" s="17"/>
      <c r="L104" s="17"/>
      <c r="M104" s="17"/>
      <c r="N104" s="17"/>
      <c r="O104" s="17"/>
      <c r="P104" s="17"/>
      <c r="Q104" s="17"/>
      <c r="R104" s="17"/>
      <c r="S104" s="17"/>
      <c r="T104" s="17"/>
      <c r="U104" s="17"/>
      <c r="V104" s="17"/>
      <c r="W104" s="17"/>
      <c r="X104" s="17"/>
      <c r="Y104" s="17"/>
      <c r="Z104" s="17"/>
    </row>
    <row r="105" ht="15.75" customHeight="1">
      <c r="A105" s="17"/>
      <c r="B105" s="17"/>
      <c r="C105" s="17"/>
      <c r="D105" s="17"/>
      <c r="E105" s="17"/>
      <c r="F105" s="17"/>
      <c r="G105" s="17"/>
      <c r="H105" s="17"/>
      <c r="I105" s="17"/>
      <c r="J105" s="17"/>
      <c r="K105" s="17"/>
      <c r="L105" s="17"/>
      <c r="M105" s="17"/>
      <c r="N105" s="17"/>
      <c r="O105" s="17"/>
      <c r="P105" s="17"/>
      <c r="Q105" s="17"/>
      <c r="R105" s="17"/>
      <c r="S105" s="17"/>
      <c r="T105" s="17"/>
      <c r="U105" s="17"/>
      <c r="V105" s="17"/>
      <c r="W105" s="17"/>
      <c r="X105" s="17"/>
      <c r="Y105" s="17"/>
      <c r="Z105" s="17"/>
    </row>
    <row r="106" ht="15.75" customHeight="1">
      <c r="A106" s="17"/>
      <c r="B106" s="17"/>
      <c r="C106" s="17"/>
      <c r="D106" s="17"/>
      <c r="E106" s="17"/>
      <c r="F106" s="17"/>
      <c r="G106" s="17"/>
      <c r="H106" s="17"/>
      <c r="I106" s="17"/>
      <c r="J106" s="17"/>
      <c r="K106" s="17"/>
      <c r="L106" s="17"/>
      <c r="M106" s="17"/>
      <c r="N106" s="17"/>
      <c r="O106" s="17"/>
      <c r="P106" s="17"/>
      <c r="Q106" s="17"/>
      <c r="R106" s="17"/>
      <c r="S106" s="17"/>
      <c r="T106" s="17"/>
      <c r="U106" s="17"/>
      <c r="V106" s="17"/>
      <c r="W106" s="17"/>
      <c r="X106" s="17"/>
      <c r="Y106" s="17"/>
      <c r="Z106" s="17"/>
    </row>
    <row r="107" ht="15.75" customHeight="1">
      <c r="A107" s="17"/>
      <c r="B107" s="17"/>
      <c r="C107" s="17"/>
      <c r="D107" s="17"/>
      <c r="E107" s="17"/>
      <c r="F107" s="17"/>
      <c r="G107" s="17"/>
      <c r="H107" s="17"/>
      <c r="I107" s="17"/>
      <c r="J107" s="17"/>
      <c r="K107" s="17"/>
      <c r="L107" s="17"/>
      <c r="M107" s="17"/>
      <c r="N107" s="17"/>
      <c r="O107" s="17"/>
      <c r="P107" s="17"/>
      <c r="Q107" s="17"/>
      <c r="R107" s="17"/>
      <c r="S107" s="17"/>
      <c r="T107" s="17"/>
      <c r="U107" s="17"/>
      <c r="V107" s="17"/>
      <c r="W107" s="17"/>
      <c r="X107" s="17"/>
      <c r="Y107" s="17"/>
      <c r="Z107" s="17"/>
    </row>
    <row r="108" ht="15.75" customHeight="1">
      <c r="A108" s="17"/>
      <c r="B108" s="17"/>
      <c r="C108" s="17"/>
      <c r="D108" s="17"/>
      <c r="E108" s="17"/>
      <c r="F108" s="17"/>
      <c r="G108" s="17"/>
      <c r="H108" s="17"/>
      <c r="I108" s="17"/>
      <c r="J108" s="17"/>
      <c r="K108" s="17"/>
      <c r="L108" s="17"/>
      <c r="M108" s="17"/>
      <c r="N108" s="17"/>
      <c r="O108" s="17"/>
      <c r="P108" s="17"/>
      <c r="Q108" s="17"/>
      <c r="R108" s="17"/>
      <c r="S108" s="17"/>
      <c r="T108" s="17"/>
      <c r="U108" s="17"/>
      <c r="V108" s="17"/>
      <c r="W108" s="17"/>
      <c r="X108" s="17"/>
      <c r="Y108" s="17"/>
      <c r="Z108" s="17"/>
    </row>
    <row r="109" ht="15.75" customHeight="1">
      <c r="A109" s="17"/>
      <c r="B109" s="17"/>
      <c r="C109" s="17"/>
      <c r="D109" s="17"/>
      <c r="E109" s="17"/>
      <c r="F109" s="17"/>
      <c r="G109" s="17"/>
      <c r="H109" s="17"/>
      <c r="I109" s="17"/>
      <c r="J109" s="17"/>
      <c r="K109" s="17"/>
      <c r="L109" s="17"/>
      <c r="M109" s="17"/>
      <c r="N109" s="17"/>
      <c r="O109" s="17"/>
      <c r="P109" s="17"/>
      <c r="Q109" s="17"/>
      <c r="R109" s="17"/>
      <c r="S109" s="17"/>
      <c r="T109" s="17"/>
      <c r="U109" s="17"/>
      <c r="V109" s="17"/>
      <c r="W109" s="17"/>
      <c r="X109" s="17"/>
      <c r="Y109" s="17"/>
      <c r="Z109" s="17"/>
    </row>
    <row r="110" ht="15.75" customHeight="1">
      <c r="A110" s="17"/>
      <c r="B110" s="17"/>
      <c r="C110" s="17"/>
      <c r="D110" s="17"/>
      <c r="E110" s="17"/>
      <c r="F110" s="17"/>
      <c r="G110" s="17"/>
      <c r="H110" s="17"/>
      <c r="I110" s="17"/>
      <c r="J110" s="17"/>
      <c r="K110" s="17"/>
      <c r="L110" s="17"/>
      <c r="M110" s="17"/>
      <c r="N110" s="17"/>
      <c r="O110" s="17"/>
      <c r="P110" s="17"/>
      <c r="Q110" s="17"/>
      <c r="R110" s="17"/>
      <c r="S110" s="17"/>
      <c r="T110" s="17"/>
      <c r="U110" s="17"/>
      <c r="V110" s="17"/>
      <c r="W110" s="17"/>
      <c r="X110" s="17"/>
      <c r="Y110" s="17"/>
      <c r="Z110" s="17"/>
    </row>
    <row r="111" ht="15.75" customHeight="1">
      <c r="A111" s="17"/>
      <c r="B111" s="17"/>
      <c r="C111" s="17"/>
      <c r="D111" s="17"/>
      <c r="E111" s="17"/>
      <c r="F111" s="17"/>
      <c r="G111" s="17"/>
      <c r="H111" s="17"/>
      <c r="I111" s="17"/>
      <c r="J111" s="17"/>
      <c r="K111" s="17"/>
      <c r="L111" s="17"/>
      <c r="M111" s="17"/>
      <c r="N111" s="17"/>
      <c r="O111" s="17"/>
      <c r="P111" s="17"/>
      <c r="Q111" s="17"/>
      <c r="R111" s="17"/>
      <c r="S111" s="17"/>
      <c r="T111" s="17"/>
      <c r="U111" s="17"/>
      <c r="V111" s="17"/>
      <c r="W111" s="17"/>
      <c r="X111" s="17"/>
      <c r="Y111" s="17"/>
      <c r="Z111" s="17"/>
    </row>
    <row r="112" ht="15.75" customHeight="1">
      <c r="A112" s="17"/>
      <c r="B112" s="17"/>
      <c r="C112" s="17"/>
      <c r="D112" s="17"/>
      <c r="E112" s="17"/>
      <c r="F112" s="17"/>
      <c r="G112" s="17"/>
      <c r="H112" s="17"/>
      <c r="I112" s="17"/>
      <c r="J112" s="17"/>
      <c r="K112" s="17"/>
      <c r="L112" s="17"/>
      <c r="M112" s="17"/>
      <c r="N112" s="17"/>
      <c r="O112" s="17"/>
      <c r="P112" s="17"/>
      <c r="Q112" s="17"/>
      <c r="R112" s="17"/>
      <c r="S112" s="17"/>
      <c r="T112" s="17"/>
      <c r="U112" s="17"/>
      <c r="V112" s="17"/>
      <c r="W112" s="17"/>
      <c r="X112" s="17"/>
      <c r="Y112" s="17"/>
      <c r="Z112" s="17"/>
    </row>
    <row r="113" ht="15.75" customHeight="1">
      <c r="A113" s="17"/>
      <c r="B113" s="17"/>
      <c r="C113" s="17"/>
      <c r="D113" s="17"/>
      <c r="E113" s="17"/>
      <c r="F113" s="17"/>
      <c r="G113" s="17"/>
      <c r="H113" s="17"/>
      <c r="I113" s="17"/>
      <c r="J113" s="17"/>
      <c r="K113" s="17"/>
      <c r="L113" s="17"/>
      <c r="M113" s="17"/>
      <c r="N113" s="17"/>
      <c r="O113" s="17"/>
      <c r="P113" s="17"/>
      <c r="Q113" s="17"/>
      <c r="R113" s="17"/>
      <c r="S113" s="17"/>
      <c r="T113" s="17"/>
      <c r="U113" s="17"/>
      <c r="V113" s="17"/>
      <c r="W113" s="17"/>
      <c r="X113" s="17"/>
      <c r="Y113" s="17"/>
      <c r="Z113" s="17"/>
    </row>
    <row r="114" ht="15.75" customHeight="1">
      <c r="A114" s="17"/>
      <c r="B114" s="17"/>
      <c r="C114" s="17"/>
      <c r="D114" s="17"/>
      <c r="E114" s="17"/>
      <c r="F114" s="17"/>
      <c r="G114" s="17"/>
      <c r="H114" s="17"/>
      <c r="I114" s="17"/>
      <c r="J114" s="17"/>
      <c r="K114" s="17"/>
      <c r="L114" s="17"/>
      <c r="M114" s="17"/>
      <c r="N114" s="17"/>
      <c r="O114" s="17"/>
      <c r="P114" s="17"/>
      <c r="Q114" s="17"/>
      <c r="R114" s="17"/>
      <c r="S114" s="17"/>
      <c r="T114" s="17"/>
      <c r="U114" s="17"/>
      <c r="V114" s="17"/>
      <c r="W114" s="17"/>
      <c r="X114" s="17"/>
      <c r="Y114" s="17"/>
      <c r="Z114" s="17"/>
    </row>
    <row r="115" ht="15.75" customHeight="1">
      <c r="A115" s="17"/>
      <c r="B115" s="17"/>
      <c r="C115" s="17"/>
      <c r="D115" s="17"/>
      <c r="E115" s="17"/>
      <c r="F115" s="17"/>
      <c r="G115" s="17"/>
      <c r="H115" s="17"/>
      <c r="I115" s="17"/>
      <c r="J115" s="17"/>
      <c r="K115" s="17"/>
      <c r="L115" s="17"/>
      <c r="M115" s="17"/>
      <c r="N115" s="17"/>
      <c r="O115" s="17"/>
      <c r="P115" s="17"/>
      <c r="Q115" s="17"/>
      <c r="R115" s="17"/>
      <c r="S115" s="17"/>
      <c r="T115" s="17"/>
      <c r="U115" s="17"/>
      <c r="V115" s="17"/>
      <c r="W115" s="17"/>
      <c r="X115" s="17"/>
      <c r="Y115" s="17"/>
      <c r="Z115" s="17"/>
    </row>
    <row r="116" ht="15.75" customHeight="1">
      <c r="A116" s="17"/>
      <c r="B116" s="17"/>
      <c r="C116" s="17"/>
      <c r="D116" s="17"/>
      <c r="E116" s="17"/>
      <c r="F116" s="17"/>
      <c r="G116" s="17"/>
      <c r="H116" s="17"/>
      <c r="I116" s="17"/>
      <c r="J116" s="17"/>
      <c r="K116" s="17"/>
      <c r="L116" s="17"/>
      <c r="M116" s="17"/>
      <c r="N116" s="17"/>
      <c r="O116" s="17"/>
      <c r="P116" s="17"/>
      <c r="Q116" s="17"/>
      <c r="R116" s="17"/>
      <c r="S116" s="17"/>
      <c r="T116" s="17"/>
      <c r="U116" s="17"/>
      <c r="V116" s="17"/>
      <c r="W116" s="17"/>
      <c r="X116" s="17"/>
      <c r="Y116" s="17"/>
      <c r="Z116" s="17"/>
    </row>
    <row r="117" ht="15.75" customHeight="1">
      <c r="A117" s="17"/>
      <c r="B117" s="17"/>
      <c r="C117" s="17"/>
      <c r="D117" s="17"/>
      <c r="E117" s="17"/>
      <c r="F117" s="17"/>
      <c r="G117" s="17"/>
      <c r="H117" s="17"/>
      <c r="I117" s="17"/>
      <c r="J117" s="17"/>
      <c r="K117" s="17"/>
      <c r="L117" s="17"/>
      <c r="M117" s="17"/>
      <c r="N117" s="17"/>
      <c r="O117" s="17"/>
      <c r="P117" s="17"/>
      <c r="Q117" s="17"/>
      <c r="R117" s="17"/>
      <c r="S117" s="17"/>
      <c r="T117" s="17"/>
      <c r="U117" s="17"/>
      <c r="V117" s="17"/>
      <c r="W117" s="17"/>
      <c r="X117" s="17"/>
      <c r="Y117" s="17"/>
      <c r="Z117" s="17"/>
    </row>
    <row r="118" ht="15.75" customHeight="1">
      <c r="A118" s="17"/>
      <c r="B118" s="17"/>
      <c r="C118" s="17"/>
      <c r="D118" s="17"/>
      <c r="E118" s="17"/>
      <c r="F118" s="17"/>
      <c r="G118" s="17"/>
      <c r="H118" s="17"/>
      <c r="I118" s="17"/>
      <c r="J118" s="17"/>
      <c r="K118" s="17"/>
      <c r="L118" s="17"/>
      <c r="M118" s="17"/>
      <c r="N118" s="17"/>
      <c r="O118" s="17"/>
      <c r="P118" s="17"/>
      <c r="Q118" s="17"/>
      <c r="R118" s="17"/>
      <c r="S118" s="17"/>
      <c r="T118" s="17"/>
      <c r="U118" s="17"/>
      <c r="V118" s="17"/>
      <c r="W118" s="17"/>
      <c r="X118" s="17"/>
      <c r="Y118" s="17"/>
      <c r="Z118" s="17"/>
    </row>
    <row r="119" ht="15.75" customHeight="1">
      <c r="A119" s="17"/>
      <c r="B119" s="17"/>
      <c r="C119" s="17"/>
      <c r="D119" s="17"/>
      <c r="E119" s="17"/>
      <c r="F119" s="17"/>
      <c r="G119" s="17"/>
      <c r="H119" s="17"/>
      <c r="I119" s="17"/>
      <c r="J119" s="17"/>
      <c r="K119" s="17"/>
      <c r="L119" s="17"/>
      <c r="M119" s="17"/>
      <c r="N119" s="17"/>
      <c r="O119" s="17"/>
      <c r="P119" s="17"/>
      <c r="Q119" s="17"/>
      <c r="R119" s="17"/>
      <c r="S119" s="17"/>
      <c r="T119" s="17"/>
      <c r="U119" s="17"/>
      <c r="V119" s="17"/>
      <c r="W119" s="17"/>
      <c r="X119" s="17"/>
      <c r="Y119" s="17"/>
      <c r="Z119" s="17"/>
    </row>
    <row r="120" ht="15.75" customHeight="1">
      <c r="A120" s="17"/>
      <c r="B120" s="17"/>
      <c r="C120" s="17"/>
      <c r="D120" s="17"/>
      <c r="E120" s="17"/>
      <c r="F120" s="17"/>
      <c r="G120" s="17"/>
      <c r="H120" s="17"/>
      <c r="I120" s="17"/>
      <c r="J120" s="17"/>
      <c r="K120" s="17"/>
      <c r="L120" s="17"/>
      <c r="M120" s="17"/>
      <c r="N120" s="17"/>
      <c r="O120" s="17"/>
      <c r="P120" s="17"/>
      <c r="Q120" s="17"/>
      <c r="R120" s="17"/>
      <c r="S120" s="17"/>
      <c r="T120" s="17"/>
      <c r="U120" s="17"/>
      <c r="V120" s="17"/>
      <c r="W120" s="17"/>
      <c r="X120" s="17"/>
      <c r="Y120" s="17"/>
      <c r="Z120" s="17"/>
    </row>
    <row r="121" ht="15.75" customHeight="1">
      <c r="A121" s="17"/>
      <c r="B121" s="17"/>
      <c r="C121" s="17"/>
      <c r="D121" s="17"/>
      <c r="E121" s="17"/>
      <c r="F121" s="17"/>
      <c r="G121" s="17"/>
      <c r="H121" s="17"/>
      <c r="I121" s="17"/>
      <c r="J121" s="17"/>
      <c r="K121" s="17"/>
      <c r="L121" s="17"/>
      <c r="M121" s="17"/>
      <c r="N121" s="17"/>
      <c r="O121" s="17"/>
      <c r="P121" s="17"/>
      <c r="Q121" s="17"/>
      <c r="R121" s="17"/>
      <c r="S121" s="17"/>
      <c r="T121" s="17"/>
      <c r="U121" s="17"/>
      <c r="V121" s="17"/>
      <c r="W121" s="17"/>
      <c r="X121" s="17"/>
      <c r="Y121" s="17"/>
      <c r="Z121" s="17"/>
    </row>
    <row r="122" ht="15.75" customHeight="1">
      <c r="A122" s="17"/>
      <c r="B122" s="17"/>
      <c r="C122" s="17"/>
      <c r="D122" s="17"/>
      <c r="E122" s="17"/>
      <c r="F122" s="17"/>
      <c r="G122" s="17"/>
      <c r="H122" s="17"/>
      <c r="I122" s="17"/>
      <c r="J122" s="17"/>
      <c r="K122" s="17"/>
      <c r="L122" s="17"/>
      <c r="M122" s="17"/>
      <c r="N122" s="17"/>
      <c r="O122" s="17"/>
      <c r="P122" s="17"/>
      <c r="Q122" s="17"/>
      <c r="R122" s="17"/>
      <c r="S122" s="17"/>
      <c r="T122" s="17"/>
      <c r="U122" s="17"/>
      <c r="V122" s="17"/>
      <c r="W122" s="17"/>
      <c r="X122" s="17"/>
      <c r="Y122" s="17"/>
      <c r="Z122" s="17"/>
    </row>
    <row r="123" ht="15.75" customHeight="1">
      <c r="A123" s="17"/>
      <c r="B123" s="17"/>
      <c r="C123" s="17"/>
      <c r="D123" s="17"/>
      <c r="E123" s="17"/>
      <c r="F123" s="17"/>
      <c r="G123" s="17"/>
      <c r="H123" s="17"/>
      <c r="I123" s="17"/>
      <c r="J123" s="17"/>
      <c r="K123" s="17"/>
      <c r="L123" s="17"/>
      <c r="M123" s="17"/>
      <c r="N123" s="17"/>
      <c r="O123" s="17"/>
      <c r="P123" s="17"/>
      <c r="Q123" s="17"/>
      <c r="R123" s="17"/>
      <c r="S123" s="17"/>
      <c r="T123" s="17"/>
      <c r="U123" s="17"/>
      <c r="V123" s="17"/>
      <c r="W123" s="17"/>
      <c r="X123" s="17"/>
      <c r="Y123" s="17"/>
      <c r="Z123" s="17"/>
    </row>
    <row r="124" ht="15.75" customHeight="1">
      <c r="A124" s="17"/>
      <c r="B124" s="17"/>
      <c r="C124" s="17"/>
      <c r="D124" s="17"/>
      <c r="E124" s="17"/>
      <c r="F124" s="17"/>
      <c r="G124" s="17"/>
      <c r="H124" s="17"/>
      <c r="I124" s="17"/>
      <c r="J124" s="17"/>
      <c r="K124" s="17"/>
      <c r="L124" s="17"/>
      <c r="M124" s="17"/>
      <c r="N124" s="17"/>
      <c r="O124" s="17"/>
      <c r="P124" s="17"/>
      <c r="Q124" s="17"/>
      <c r="R124" s="17"/>
      <c r="S124" s="17"/>
      <c r="T124" s="17"/>
      <c r="U124" s="17"/>
      <c r="V124" s="17"/>
      <c r="W124" s="17"/>
      <c r="X124" s="17"/>
      <c r="Y124" s="17"/>
      <c r="Z124" s="17"/>
    </row>
    <row r="125" ht="15.75" customHeight="1">
      <c r="A125" s="17"/>
      <c r="B125" s="17"/>
      <c r="C125" s="17"/>
      <c r="D125" s="17"/>
      <c r="E125" s="17"/>
      <c r="F125" s="17"/>
      <c r="G125" s="17"/>
      <c r="H125" s="17"/>
      <c r="I125" s="17"/>
      <c r="J125" s="17"/>
      <c r="K125" s="17"/>
      <c r="L125" s="17"/>
      <c r="M125" s="17"/>
      <c r="N125" s="17"/>
      <c r="O125" s="17"/>
      <c r="P125" s="17"/>
      <c r="Q125" s="17"/>
      <c r="R125" s="17"/>
      <c r="S125" s="17"/>
      <c r="T125" s="17"/>
      <c r="U125" s="17"/>
      <c r="V125" s="17"/>
      <c r="W125" s="17"/>
      <c r="X125" s="17"/>
      <c r="Y125" s="17"/>
      <c r="Z125" s="17"/>
    </row>
    <row r="126" ht="15.75" customHeight="1">
      <c r="A126" s="17"/>
      <c r="B126" s="17"/>
      <c r="C126" s="17"/>
      <c r="D126" s="17"/>
      <c r="E126" s="17"/>
      <c r="F126" s="17"/>
      <c r="G126" s="17"/>
      <c r="H126" s="17"/>
      <c r="I126" s="17"/>
      <c r="J126" s="17"/>
      <c r="K126" s="17"/>
      <c r="L126" s="17"/>
      <c r="M126" s="17"/>
      <c r="N126" s="17"/>
      <c r="O126" s="17"/>
      <c r="P126" s="17"/>
      <c r="Q126" s="17"/>
      <c r="R126" s="17"/>
      <c r="S126" s="17"/>
      <c r="T126" s="17"/>
      <c r="U126" s="17"/>
      <c r="V126" s="17"/>
      <c r="W126" s="17"/>
      <c r="X126" s="17"/>
      <c r="Y126" s="17"/>
      <c r="Z126" s="17"/>
    </row>
    <row r="127" ht="15.75" customHeight="1">
      <c r="A127" s="17"/>
      <c r="B127" s="17"/>
      <c r="C127" s="17"/>
      <c r="D127" s="17"/>
      <c r="E127" s="17"/>
      <c r="F127" s="17"/>
      <c r="G127" s="17"/>
      <c r="H127" s="17"/>
      <c r="I127" s="17"/>
      <c r="J127" s="17"/>
      <c r="K127" s="17"/>
      <c r="L127" s="17"/>
      <c r="M127" s="17"/>
      <c r="N127" s="17"/>
      <c r="O127" s="17"/>
      <c r="P127" s="17"/>
      <c r="Q127" s="17"/>
      <c r="R127" s="17"/>
      <c r="S127" s="17"/>
      <c r="T127" s="17"/>
      <c r="U127" s="17"/>
      <c r="V127" s="17"/>
      <c r="W127" s="17"/>
      <c r="X127" s="17"/>
      <c r="Y127" s="17"/>
      <c r="Z127" s="17"/>
    </row>
    <row r="128" ht="15.75" customHeight="1">
      <c r="A128" s="17"/>
      <c r="B128" s="17"/>
      <c r="C128" s="17"/>
      <c r="D128" s="17"/>
      <c r="E128" s="17"/>
      <c r="F128" s="17"/>
      <c r="G128" s="17"/>
      <c r="H128" s="17"/>
      <c r="I128" s="17"/>
      <c r="J128" s="17"/>
      <c r="K128" s="17"/>
      <c r="L128" s="17"/>
      <c r="M128" s="17"/>
      <c r="N128" s="17"/>
      <c r="O128" s="17"/>
      <c r="P128" s="17"/>
      <c r="Q128" s="17"/>
      <c r="R128" s="17"/>
      <c r="S128" s="17"/>
      <c r="T128" s="17"/>
      <c r="U128" s="17"/>
      <c r="V128" s="17"/>
      <c r="W128" s="17"/>
      <c r="X128" s="17"/>
      <c r="Y128" s="17"/>
      <c r="Z128" s="17"/>
    </row>
    <row r="129" ht="15.75" customHeight="1">
      <c r="A129" s="17"/>
      <c r="B129" s="17"/>
      <c r="C129" s="17"/>
      <c r="D129" s="17"/>
      <c r="E129" s="17"/>
      <c r="F129" s="17"/>
      <c r="G129" s="17"/>
      <c r="H129" s="17"/>
      <c r="I129" s="17"/>
      <c r="J129" s="17"/>
      <c r="K129" s="17"/>
      <c r="L129" s="17"/>
      <c r="M129" s="17"/>
      <c r="N129" s="17"/>
      <c r="O129" s="17"/>
      <c r="P129" s="17"/>
      <c r="Q129" s="17"/>
      <c r="R129" s="17"/>
      <c r="S129" s="17"/>
      <c r="T129" s="17"/>
      <c r="U129" s="17"/>
      <c r="V129" s="17"/>
      <c r="W129" s="17"/>
      <c r="X129" s="17"/>
      <c r="Y129" s="17"/>
      <c r="Z129" s="17"/>
    </row>
    <row r="130" ht="15.75" customHeight="1">
      <c r="A130" s="17"/>
      <c r="B130" s="17"/>
      <c r="C130" s="17"/>
      <c r="D130" s="17"/>
      <c r="E130" s="17"/>
      <c r="F130" s="17"/>
      <c r="G130" s="17"/>
      <c r="H130" s="17"/>
      <c r="I130" s="17"/>
      <c r="J130" s="17"/>
      <c r="K130" s="17"/>
      <c r="L130" s="17"/>
      <c r="M130" s="17"/>
      <c r="N130" s="17"/>
      <c r="O130" s="17"/>
      <c r="P130" s="17"/>
      <c r="Q130" s="17"/>
      <c r="R130" s="17"/>
      <c r="S130" s="17"/>
      <c r="T130" s="17"/>
      <c r="U130" s="17"/>
      <c r="V130" s="17"/>
      <c r="W130" s="17"/>
      <c r="X130" s="17"/>
      <c r="Y130" s="17"/>
      <c r="Z130" s="17"/>
    </row>
    <row r="131" ht="15.75" customHeight="1">
      <c r="A131" s="17"/>
      <c r="B131" s="17"/>
      <c r="C131" s="17"/>
      <c r="D131" s="17"/>
      <c r="E131" s="17"/>
      <c r="F131" s="17"/>
      <c r="G131" s="17"/>
      <c r="H131" s="17"/>
      <c r="I131" s="17"/>
      <c r="J131" s="17"/>
      <c r="K131" s="17"/>
      <c r="L131" s="17"/>
      <c r="M131" s="17"/>
      <c r="N131" s="17"/>
      <c r="O131" s="17"/>
      <c r="P131" s="17"/>
      <c r="Q131" s="17"/>
      <c r="R131" s="17"/>
      <c r="S131" s="17"/>
      <c r="T131" s="17"/>
      <c r="U131" s="17"/>
      <c r="V131" s="17"/>
      <c r="W131" s="17"/>
      <c r="X131" s="17"/>
      <c r="Y131" s="17"/>
      <c r="Z131" s="17"/>
    </row>
    <row r="132" ht="15.75" customHeight="1">
      <c r="A132" s="17"/>
      <c r="B132" s="17"/>
      <c r="C132" s="17"/>
      <c r="D132" s="17"/>
      <c r="E132" s="17"/>
      <c r="F132" s="17"/>
      <c r="G132" s="17"/>
      <c r="H132" s="17"/>
      <c r="I132" s="17"/>
      <c r="J132" s="17"/>
      <c r="K132" s="17"/>
      <c r="L132" s="17"/>
      <c r="M132" s="17"/>
      <c r="N132" s="17"/>
      <c r="O132" s="17"/>
      <c r="P132" s="17"/>
      <c r="Q132" s="17"/>
      <c r="R132" s="17"/>
      <c r="S132" s="17"/>
      <c r="T132" s="17"/>
      <c r="U132" s="17"/>
      <c r="V132" s="17"/>
      <c r="W132" s="17"/>
      <c r="X132" s="17"/>
      <c r="Y132" s="17"/>
      <c r="Z132" s="17"/>
    </row>
    <row r="133" ht="15.75" customHeight="1">
      <c r="A133" s="17"/>
      <c r="B133" s="17"/>
      <c r="C133" s="17"/>
      <c r="D133" s="17"/>
      <c r="E133" s="17"/>
      <c r="F133" s="17"/>
      <c r="G133" s="17"/>
      <c r="H133" s="17"/>
      <c r="I133" s="17"/>
      <c r="J133" s="17"/>
      <c r="K133" s="17"/>
      <c r="L133" s="17"/>
      <c r="M133" s="17"/>
      <c r="N133" s="17"/>
      <c r="O133" s="17"/>
      <c r="P133" s="17"/>
      <c r="Q133" s="17"/>
      <c r="R133" s="17"/>
      <c r="S133" s="17"/>
      <c r="T133" s="17"/>
      <c r="U133" s="17"/>
      <c r="V133" s="17"/>
      <c r="W133" s="17"/>
      <c r="X133" s="17"/>
      <c r="Y133" s="17"/>
      <c r="Z133" s="17"/>
    </row>
    <row r="134" ht="15.75" customHeight="1">
      <c r="A134" s="17"/>
      <c r="B134" s="17"/>
      <c r="C134" s="17"/>
      <c r="D134" s="17"/>
      <c r="E134" s="17"/>
      <c r="F134" s="17"/>
      <c r="G134" s="17"/>
      <c r="H134" s="17"/>
      <c r="I134" s="17"/>
      <c r="J134" s="17"/>
      <c r="K134" s="17"/>
      <c r="L134" s="17"/>
      <c r="M134" s="17"/>
      <c r="N134" s="17"/>
      <c r="O134" s="17"/>
      <c r="P134" s="17"/>
      <c r="Q134" s="17"/>
      <c r="R134" s="17"/>
      <c r="S134" s="17"/>
      <c r="T134" s="17"/>
      <c r="U134" s="17"/>
      <c r="V134" s="17"/>
      <c r="W134" s="17"/>
      <c r="X134" s="17"/>
      <c r="Y134" s="17"/>
      <c r="Z134" s="17"/>
    </row>
    <row r="135" ht="15.75" customHeight="1">
      <c r="A135" s="17"/>
      <c r="B135" s="17"/>
      <c r="C135" s="17"/>
      <c r="D135" s="17"/>
      <c r="E135" s="17"/>
      <c r="F135" s="17"/>
      <c r="G135" s="17"/>
      <c r="H135" s="17"/>
      <c r="I135" s="17"/>
      <c r="J135" s="17"/>
      <c r="K135" s="17"/>
      <c r="L135" s="17"/>
      <c r="M135" s="17"/>
      <c r="N135" s="17"/>
      <c r="O135" s="17"/>
      <c r="P135" s="17"/>
      <c r="Q135" s="17"/>
      <c r="R135" s="17"/>
      <c r="S135" s="17"/>
      <c r="T135" s="17"/>
      <c r="U135" s="17"/>
      <c r="V135" s="17"/>
      <c r="W135" s="17"/>
      <c r="X135" s="17"/>
      <c r="Y135" s="17"/>
      <c r="Z135" s="17"/>
    </row>
    <row r="136" ht="15.75" customHeight="1">
      <c r="A136" s="17"/>
      <c r="B136" s="17"/>
      <c r="C136" s="17"/>
      <c r="D136" s="17"/>
      <c r="E136" s="17"/>
      <c r="F136" s="17"/>
      <c r="G136" s="17"/>
      <c r="H136" s="17"/>
      <c r="I136" s="17"/>
      <c r="J136" s="17"/>
      <c r="K136" s="17"/>
      <c r="L136" s="17"/>
      <c r="M136" s="17"/>
      <c r="N136" s="17"/>
      <c r="O136" s="17"/>
      <c r="P136" s="17"/>
      <c r="Q136" s="17"/>
      <c r="R136" s="17"/>
      <c r="S136" s="17"/>
      <c r="T136" s="17"/>
      <c r="U136" s="17"/>
      <c r="V136" s="17"/>
      <c r="W136" s="17"/>
      <c r="X136" s="17"/>
      <c r="Y136" s="17"/>
      <c r="Z136" s="17"/>
    </row>
    <row r="137" ht="15.75" customHeight="1">
      <c r="A137" s="17"/>
      <c r="B137" s="17"/>
      <c r="C137" s="17"/>
      <c r="D137" s="17"/>
      <c r="E137" s="17"/>
      <c r="F137" s="17"/>
      <c r="G137" s="17"/>
      <c r="H137" s="17"/>
      <c r="I137" s="17"/>
      <c r="J137" s="17"/>
      <c r="K137" s="17"/>
      <c r="L137" s="17"/>
      <c r="M137" s="17"/>
      <c r="N137" s="17"/>
      <c r="O137" s="17"/>
      <c r="P137" s="17"/>
      <c r="Q137" s="17"/>
      <c r="R137" s="17"/>
      <c r="S137" s="17"/>
      <c r="T137" s="17"/>
      <c r="U137" s="17"/>
      <c r="V137" s="17"/>
      <c r="W137" s="17"/>
      <c r="X137" s="17"/>
      <c r="Y137" s="17"/>
      <c r="Z137" s="17"/>
    </row>
    <row r="138" ht="15.75" customHeight="1">
      <c r="A138" s="17"/>
      <c r="B138" s="17"/>
      <c r="C138" s="17"/>
      <c r="D138" s="17"/>
      <c r="E138" s="17"/>
      <c r="F138" s="17"/>
      <c r="G138" s="17"/>
      <c r="H138" s="17"/>
      <c r="I138" s="17"/>
      <c r="J138" s="17"/>
      <c r="K138" s="17"/>
      <c r="L138" s="17"/>
      <c r="M138" s="17"/>
      <c r="N138" s="17"/>
      <c r="O138" s="17"/>
      <c r="P138" s="17"/>
      <c r="Q138" s="17"/>
      <c r="R138" s="17"/>
      <c r="S138" s="17"/>
      <c r="T138" s="17"/>
      <c r="U138" s="17"/>
      <c r="V138" s="17"/>
      <c r="W138" s="17"/>
      <c r="X138" s="17"/>
      <c r="Y138" s="17"/>
      <c r="Z138" s="17"/>
    </row>
    <row r="139" ht="15.75" customHeight="1">
      <c r="A139" s="17"/>
      <c r="B139" s="17"/>
      <c r="C139" s="17"/>
      <c r="D139" s="17"/>
      <c r="E139" s="17"/>
      <c r="F139" s="17"/>
      <c r="G139" s="17"/>
      <c r="H139" s="17"/>
      <c r="I139" s="17"/>
      <c r="J139" s="17"/>
      <c r="K139" s="17"/>
      <c r="L139" s="17"/>
      <c r="M139" s="17"/>
      <c r="N139" s="17"/>
      <c r="O139" s="17"/>
      <c r="P139" s="17"/>
      <c r="Q139" s="17"/>
      <c r="R139" s="17"/>
      <c r="S139" s="17"/>
      <c r="T139" s="17"/>
      <c r="U139" s="17"/>
      <c r="V139" s="17"/>
      <c r="W139" s="17"/>
      <c r="X139" s="17"/>
      <c r="Y139" s="17"/>
      <c r="Z139" s="17"/>
    </row>
    <row r="140" ht="15.75" customHeight="1">
      <c r="A140" s="17"/>
      <c r="B140" s="17"/>
      <c r="C140" s="17"/>
      <c r="D140" s="17"/>
      <c r="E140" s="17"/>
      <c r="F140" s="17"/>
      <c r="G140" s="17"/>
      <c r="H140" s="17"/>
      <c r="I140" s="17"/>
      <c r="J140" s="17"/>
      <c r="K140" s="17"/>
      <c r="L140" s="17"/>
      <c r="M140" s="17"/>
      <c r="N140" s="17"/>
      <c r="O140" s="17"/>
      <c r="P140" s="17"/>
      <c r="Q140" s="17"/>
      <c r="R140" s="17"/>
      <c r="S140" s="17"/>
      <c r="T140" s="17"/>
      <c r="U140" s="17"/>
      <c r="V140" s="17"/>
      <c r="W140" s="17"/>
      <c r="X140" s="17"/>
      <c r="Y140" s="17"/>
      <c r="Z140" s="17"/>
    </row>
    <row r="141" ht="15.75" customHeight="1">
      <c r="A141" s="17"/>
      <c r="B141" s="17"/>
      <c r="C141" s="17"/>
      <c r="D141" s="17"/>
      <c r="E141" s="17"/>
      <c r="F141" s="17"/>
      <c r="G141" s="17"/>
      <c r="H141" s="17"/>
      <c r="I141" s="17"/>
      <c r="J141" s="17"/>
      <c r="K141" s="17"/>
      <c r="L141" s="17"/>
      <c r="M141" s="17"/>
      <c r="N141" s="17"/>
      <c r="O141" s="17"/>
      <c r="P141" s="17"/>
      <c r="Q141" s="17"/>
      <c r="R141" s="17"/>
      <c r="S141" s="17"/>
      <c r="T141" s="17"/>
      <c r="U141" s="17"/>
      <c r="V141" s="17"/>
      <c r="W141" s="17"/>
      <c r="X141" s="17"/>
      <c r="Y141" s="17"/>
      <c r="Z141" s="17"/>
    </row>
    <row r="142" ht="15.75" customHeight="1">
      <c r="A142" s="17"/>
      <c r="B142" s="17"/>
      <c r="C142" s="17"/>
      <c r="D142" s="17"/>
      <c r="E142" s="17"/>
      <c r="F142" s="17"/>
      <c r="G142" s="17"/>
      <c r="H142" s="17"/>
      <c r="I142" s="17"/>
      <c r="J142" s="17"/>
      <c r="K142" s="17"/>
      <c r="L142" s="17"/>
      <c r="M142" s="17"/>
      <c r="N142" s="17"/>
      <c r="O142" s="17"/>
      <c r="P142" s="17"/>
      <c r="Q142" s="17"/>
      <c r="R142" s="17"/>
      <c r="S142" s="17"/>
      <c r="T142" s="17"/>
      <c r="U142" s="17"/>
      <c r="V142" s="17"/>
      <c r="W142" s="17"/>
      <c r="X142" s="17"/>
      <c r="Y142" s="17"/>
      <c r="Z142" s="17"/>
    </row>
    <row r="143" ht="15.75" customHeight="1">
      <c r="A143" s="17"/>
      <c r="B143" s="17"/>
      <c r="C143" s="17"/>
      <c r="D143" s="17"/>
      <c r="E143" s="17"/>
      <c r="F143" s="17"/>
      <c r="G143" s="17"/>
      <c r="H143" s="17"/>
      <c r="I143" s="17"/>
      <c r="J143" s="17"/>
      <c r="K143" s="17"/>
      <c r="L143" s="17"/>
      <c r="M143" s="17"/>
      <c r="N143" s="17"/>
      <c r="O143" s="17"/>
      <c r="P143" s="17"/>
      <c r="Q143" s="17"/>
      <c r="R143" s="17"/>
      <c r="S143" s="17"/>
      <c r="T143" s="17"/>
      <c r="U143" s="17"/>
      <c r="V143" s="17"/>
      <c r="W143" s="17"/>
      <c r="X143" s="17"/>
      <c r="Y143" s="17"/>
      <c r="Z143" s="17"/>
    </row>
    <row r="144" ht="15.75" customHeight="1">
      <c r="A144" s="17"/>
      <c r="B144" s="17"/>
      <c r="C144" s="17"/>
      <c r="D144" s="17"/>
      <c r="E144" s="17"/>
      <c r="F144" s="17"/>
      <c r="G144" s="17"/>
      <c r="H144" s="17"/>
      <c r="I144" s="17"/>
      <c r="J144" s="17"/>
      <c r="K144" s="17"/>
      <c r="L144" s="17"/>
      <c r="M144" s="17"/>
      <c r="N144" s="17"/>
      <c r="O144" s="17"/>
      <c r="P144" s="17"/>
      <c r="Q144" s="17"/>
      <c r="R144" s="17"/>
      <c r="S144" s="17"/>
      <c r="T144" s="17"/>
      <c r="U144" s="17"/>
      <c r="V144" s="17"/>
      <c r="W144" s="17"/>
      <c r="X144" s="17"/>
      <c r="Y144" s="17"/>
      <c r="Z144" s="17"/>
    </row>
    <row r="145" ht="15.75" customHeight="1">
      <c r="A145" s="17"/>
      <c r="B145" s="17"/>
      <c r="C145" s="17"/>
      <c r="D145" s="17"/>
      <c r="E145" s="17"/>
      <c r="F145" s="17"/>
      <c r="G145" s="17"/>
      <c r="H145" s="17"/>
      <c r="I145" s="17"/>
      <c r="J145" s="17"/>
      <c r="K145" s="17"/>
      <c r="L145" s="17"/>
      <c r="M145" s="17"/>
      <c r="N145" s="17"/>
      <c r="O145" s="17"/>
      <c r="P145" s="17"/>
      <c r="Q145" s="17"/>
      <c r="R145" s="17"/>
      <c r="S145" s="17"/>
      <c r="T145" s="17"/>
      <c r="U145" s="17"/>
      <c r="V145" s="17"/>
      <c r="W145" s="17"/>
      <c r="X145" s="17"/>
      <c r="Y145" s="17"/>
      <c r="Z145" s="17"/>
    </row>
    <row r="146" ht="15.75" customHeight="1">
      <c r="A146" s="17"/>
      <c r="B146" s="17"/>
      <c r="C146" s="17"/>
      <c r="D146" s="17"/>
      <c r="E146" s="17"/>
      <c r="F146" s="17"/>
      <c r="G146" s="17"/>
      <c r="H146" s="17"/>
      <c r="I146" s="17"/>
      <c r="J146" s="17"/>
      <c r="K146" s="17"/>
      <c r="L146" s="17"/>
      <c r="M146" s="17"/>
      <c r="N146" s="17"/>
      <c r="O146" s="17"/>
      <c r="P146" s="17"/>
      <c r="Q146" s="17"/>
      <c r="R146" s="17"/>
      <c r="S146" s="17"/>
      <c r="T146" s="17"/>
      <c r="U146" s="17"/>
      <c r="V146" s="17"/>
      <c r="W146" s="17"/>
      <c r="X146" s="17"/>
      <c r="Y146" s="17"/>
      <c r="Z146" s="17"/>
    </row>
    <row r="147" ht="15.75" customHeight="1">
      <c r="A147" s="17"/>
      <c r="B147" s="17"/>
      <c r="C147" s="17"/>
      <c r="D147" s="17"/>
      <c r="E147" s="17"/>
      <c r="F147" s="17"/>
      <c r="G147" s="17"/>
      <c r="H147" s="17"/>
      <c r="I147" s="17"/>
      <c r="J147" s="17"/>
      <c r="K147" s="17"/>
      <c r="L147" s="17"/>
      <c r="M147" s="17"/>
      <c r="N147" s="17"/>
      <c r="O147" s="17"/>
      <c r="P147" s="17"/>
      <c r="Q147" s="17"/>
      <c r="R147" s="17"/>
      <c r="S147" s="17"/>
      <c r="T147" s="17"/>
      <c r="U147" s="17"/>
      <c r="V147" s="17"/>
      <c r="W147" s="17"/>
      <c r="X147" s="17"/>
      <c r="Y147" s="17"/>
      <c r="Z147" s="17"/>
    </row>
    <row r="148" ht="15.75" customHeight="1">
      <c r="A148" s="17"/>
      <c r="B148" s="17"/>
      <c r="C148" s="17"/>
      <c r="D148" s="17"/>
      <c r="E148" s="17"/>
      <c r="F148" s="17"/>
      <c r="G148" s="17"/>
      <c r="H148" s="17"/>
      <c r="I148" s="17"/>
      <c r="J148" s="17"/>
      <c r="K148" s="17"/>
      <c r="L148" s="17"/>
      <c r="M148" s="17"/>
      <c r="N148" s="17"/>
      <c r="O148" s="17"/>
      <c r="P148" s="17"/>
      <c r="Q148" s="17"/>
      <c r="R148" s="17"/>
      <c r="S148" s="17"/>
      <c r="T148" s="17"/>
      <c r="U148" s="17"/>
      <c r="V148" s="17"/>
      <c r="W148" s="17"/>
      <c r="X148" s="17"/>
      <c r="Y148" s="17"/>
      <c r="Z148" s="17"/>
    </row>
    <row r="149" ht="15.75" customHeight="1">
      <c r="A149" s="17"/>
      <c r="B149" s="17"/>
      <c r="C149" s="17"/>
      <c r="D149" s="17"/>
      <c r="E149" s="17"/>
      <c r="F149" s="17"/>
      <c r="G149" s="17"/>
      <c r="H149" s="17"/>
      <c r="I149" s="17"/>
      <c r="J149" s="17"/>
      <c r="K149" s="17"/>
      <c r="L149" s="17"/>
      <c r="M149" s="17"/>
      <c r="N149" s="17"/>
      <c r="O149" s="17"/>
      <c r="P149" s="17"/>
      <c r="Q149" s="17"/>
      <c r="R149" s="17"/>
      <c r="S149" s="17"/>
      <c r="T149" s="17"/>
      <c r="U149" s="17"/>
      <c r="V149" s="17"/>
      <c r="W149" s="17"/>
      <c r="X149" s="17"/>
      <c r="Y149" s="17"/>
      <c r="Z149" s="17"/>
    </row>
    <row r="150" ht="15.75" customHeight="1">
      <c r="A150" s="17"/>
      <c r="B150" s="17"/>
      <c r="C150" s="17"/>
      <c r="D150" s="17"/>
      <c r="E150" s="17"/>
      <c r="F150" s="17"/>
      <c r="G150" s="17"/>
      <c r="H150" s="17"/>
      <c r="I150" s="17"/>
      <c r="J150" s="17"/>
      <c r="K150" s="17"/>
      <c r="L150" s="17"/>
      <c r="M150" s="17"/>
      <c r="N150" s="17"/>
      <c r="O150" s="17"/>
      <c r="P150" s="17"/>
      <c r="Q150" s="17"/>
      <c r="R150" s="17"/>
      <c r="S150" s="17"/>
      <c r="T150" s="17"/>
      <c r="U150" s="17"/>
      <c r="V150" s="17"/>
      <c r="W150" s="17"/>
      <c r="X150" s="17"/>
      <c r="Y150" s="17"/>
      <c r="Z150" s="17"/>
    </row>
    <row r="151" ht="15.75" customHeight="1">
      <c r="A151" s="17"/>
      <c r="B151" s="17"/>
      <c r="C151" s="17"/>
      <c r="D151" s="17"/>
      <c r="E151" s="17"/>
      <c r="F151" s="17"/>
      <c r="G151" s="17"/>
      <c r="H151" s="17"/>
      <c r="I151" s="17"/>
      <c r="J151" s="17"/>
      <c r="K151" s="17"/>
      <c r="L151" s="17"/>
      <c r="M151" s="17"/>
      <c r="N151" s="17"/>
      <c r="O151" s="17"/>
      <c r="P151" s="17"/>
      <c r="Q151" s="17"/>
      <c r="R151" s="17"/>
      <c r="S151" s="17"/>
      <c r="T151" s="17"/>
      <c r="U151" s="17"/>
      <c r="V151" s="17"/>
      <c r="W151" s="17"/>
      <c r="X151" s="17"/>
      <c r="Y151" s="17"/>
      <c r="Z151" s="17"/>
    </row>
    <row r="152" ht="15.75" customHeight="1">
      <c r="A152" s="17"/>
      <c r="B152" s="17"/>
      <c r="C152" s="17"/>
      <c r="D152" s="17"/>
      <c r="E152" s="17"/>
      <c r="F152" s="17"/>
      <c r="G152" s="17"/>
      <c r="H152" s="17"/>
      <c r="I152" s="17"/>
      <c r="J152" s="17"/>
      <c r="K152" s="17"/>
      <c r="L152" s="17"/>
      <c r="M152" s="17"/>
      <c r="N152" s="17"/>
      <c r="O152" s="17"/>
      <c r="P152" s="17"/>
      <c r="Q152" s="17"/>
      <c r="R152" s="17"/>
      <c r="S152" s="17"/>
      <c r="T152" s="17"/>
      <c r="U152" s="17"/>
      <c r="V152" s="17"/>
      <c r="W152" s="17"/>
      <c r="X152" s="17"/>
      <c r="Y152" s="17"/>
      <c r="Z152" s="17"/>
    </row>
    <row r="153" ht="15.75" customHeight="1">
      <c r="A153" s="17"/>
      <c r="B153" s="17"/>
      <c r="C153" s="17"/>
      <c r="D153" s="17"/>
      <c r="E153" s="17"/>
      <c r="F153" s="17"/>
      <c r="G153" s="17"/>
      <c r="H153" s="17"/>
      <c r="I153" s="17"/>
      <c r="J153" s="17"/>
      <c r="K153" s="17"/>
      <c r="L153" s="17"/>
      <c r="M153" s="17"/>
      <c r="N153" s="17"/>
      <c r="O153" s="17"/>
      <c r="P153" s="17"/>
      <c r="Q153" s="17"/>
      <c r="R153" s="17"/>
      <c r="S153" s="17"/>
      <c r="T153" s="17"/>
      <c r="U153" s="17"/>
      <c r="V153" s="17"/>
      <c r="W153" s="17"/>
      <c r="X153" s="17"/>
      <c r="Y153" s="17"/>
      <c r="Z153" s="17"/>
    </row>
    <row r="154" ht="15.75" customHeight="1">
      <c r="A154" s="17"/>
      <c r="B154" s="17"/>
      <c r="C154" s="17"/>
      <c r="D154" s="17"/>
      <c r="E154" s="17"/>
      <c r="F154" s="17"/>
      <c r="G154" s="17"/>
      <c r="H154" s="17"/>
      <c r="I154" s="17"/>
      <c r="J154" s="17"/>
      <c r="K154" s="17"/>
      <c r="L154" s="17"/>
      <c r="M154" s="17"/>
      <c r="N154" s="17"/>
      <c r="O154" s="17"/>
      <c r="P154" s="17"/>
      <c r="Q154" s="17"/>
      <c r="R154" s="17"/>
      <c r="S154" s="17"/>
      <c r="T154" s="17"/>
      <c r="U154" s="17"/>
      <c r="V154" s="17"/>
      <c r="W154" s="17"/>
      <c r="X154" s="17"/>
      <c r="Y154" s="17"/>
      <c r="Z154" s="17"/>
    </row>
    <row r="155" ht="15.75" customHeight="1">
      <c r="A155" s="17"/>
      <c r="B155" s="17"/>
      <c r="C155" s="17"/>
      <c r="D155" s="17"/>
      <c r="E155" s="17"/>
      <c r="F155" s="17"/>
      <c r="G155" s="17"/>
      <c r="H155" s="17"/>
      <c r="I155" s="17"/>
      <c r="J155" s="17"/>
      <c r="K155" s="17"/>
      <c r="L155" s="17"/>
      <c r="M155" s="17"/>
      <c r="N155" s="17"/>
      <c r="O155" s="17"/>
      <c r="P155" s="17"/>
      <c r="Q155" s="17"/>
      <c r="R155" s="17"/>
      <c r="S155" s="17"/>
      <c r="T155" s="17"/>
      <c r="U155" s="17"/>
      <c r="V155" s="17"/>
      <c r="W155" s="17"/>
      <c r="X155" s="17"/>
      <c r="Y155" s="17"/>
      <c r="Z155" s="17"/>
    </row>
    <row r="156" ht="15.75" customHeight="1">
      <c r="A156" s="17"/>
      <c r="B156" s="17"/>
      <c r="C156" s="17"/>
      <c r="D156" s="17"/>
      <c r="E156" s="17"/>
      <c r="F156" s="17"/>
      <c r="G156" s="17"/>
      <c r="H156" s="17"/>
      <c r="I156" s="17"/>
      <c r="J156" s="17"/>
      <c r="K156" s="17"/>
      <c r="L156" s="17"/>
      <c r="M156" s="17"/>
      <c r="N156" s="17"/>
      <c r="O156" s="17"/>
      <c r="P156" s="17"/>
      <c r="Q156" s="17"/>
      <c r="R156" s="17"/>
      <c r="S156" s="17"/>
      <c r="T156" s="17"/>
      <c r="U156" s="17"/>
      <c r="V156" s="17"/>
      <c r="W156" s="17"/>
      <c r="X156" s="17"/>
      <c r="Y156" s="17"/>
      <c r="Z156" s="17"/>
    </row>
    <row r="157" ht="15.75" customHeight="1">
      <c r="A157" s="17"/>
      <c r="B157" s="17"/>
      <c r="C157" s="17"/>
      <c r="D157" s="17"/>
      <c r="E157" s="17"/>
      <c r="F157" s="17"/>
      <c r="G157" s="17"/>
      <c r="H157" s="17"/>
      <c r="I157" s="17"/>
      <c r="J157" s="17"/>
      <c r="K157" s="17"/>
      <c r="L157" s="17"/>
      <c r="M157" s="17"/>
      <c r="N157" s="17"/>
      <c r="O157" s="17"/>
      <c r="P157" s="17"/>
      <c r="Q157" s="17"/>
      <c r="R157" s="17"/>
      <c r="S157" s="17"/>
      <c r="T157" s="17"/>
      <c r="U157" s="17"/>
      <c r="V157" s="17"/>
      <c r="W157" s="17"/>
      <c r="X157" s="17"/>
      <c r="Y157" s="17"/>
      <c r="Z157" s="17"/>
    </row>
    <row r="158" ht="15.75" customHeight="1">
      <c r="A158" s="17"/>
      <c r="B158" s="17"/>
      <c r="C158" s="17"/>
      <c r="D158" s="17"/>
      <c r="E158" s="17"/>
      <c r="F158" s="17"/>
      <c r="G158" s="17"/>
      <c r="H158" s="17"/>
      <c r="I158" s="17"/>
      <c r="J158" s="17"/>
      <c r="K158" s="17"/>
      <c r="L158" s="17"/>
      <c r="M158" s="17"/>
      <c r="N158" s="17"/>
      <c r="O158" s="17"/>
      <c r="P158" s="17"/>
      <c r="Q158" s="17"/>
      <c r="R158" s="17"/>
      <c r="S158" s="17"/>
      <c r="T158" s="17"/>
      <c r="U158" s="17"/>
      <c r="V158" s="17"/>
      <c r="W158" s="17"/>
      <c r="X158" s="17"/>
      <c r="Y158" s="17"/>
      <c r="Z158" s="17"/>
    </row>
    <row r="159" ht="15.75" customHeight="1">
      <c r="A159" s="17"/>
      <c r="B159" s="17"/>
      <c r="C159" s="17"/>
      <c r="D159" s="17"/>
      <c r="E159" s="17"/>
      <c r="F159" s="17"/>
      <c r="G159" s="17"/>
      <c r="H159" s="17"/>
      <c r="I159" s="17"/>
      <c r="J159" s="17"/>
      <c r="K159" s="17"/>
      <c r="L159" s="17"/>
      <c r="M159" s="17"/>
      <c r="N159" s="17"/>
      <c r="O159" s="17"/>
      <c r="P159" s="17"/>
      <c r="Q159" s="17"/>
      <c r="R159" s="17"/>
      <c r="S159" s="17"/>
      <c r="T159" s="17"/>
      <c r="U159" s="17"/>
      <c r="V159" s="17"/>
      <c r="W159" s="17"/>
      <c r="X159" s="17"/>
      <c r="Y159" s="17"/>
      <c r="Z159" s="17"/>
    </row>
    <row r="160" ht="15.75" customHeight="1">
      <c r="A160" s="17"/>
      <c r="B160" s="17"/>
      <c r="C160" s="17"/>
      <c r="D160" s="17"/>
      <c r="E160" s="17"/>
      <c r="F160" s="17"/>
      <c r="G160" s="17"/>
      <c r="H160" s="17"/>
      <c r="I160" s="17"/>
      <c r="J160" s="17"/>
      <c r="K160" s="17"/>
      <c r="L160" s="17"/>
      <c r="M160" s="17"/>
      <c r="N160" s="17"/>
      <c r="O160" s="17"/>
      <c r="P160" s="17"/>
      <c r="Q160" s="17"/>
      <c r="R160" s="17"/>
      <c r="S160" s="17"/>
      <c r="T160" s="17"/>
      <c r="U160" s="17"/>
      <c r="V160" s="17"/>
      <c r="W160" s="17"/>
      <c r="X160" s="17"/>
      <c r="Y160" s="17"/>
      <c r="Z160" s="17"/>
    </row>
    <row r="161" ht="15.75" customHeight="1">
      <c r="A161" s="17"/>
      <c r="B161" s="17"/>
      <c r="C161" s="17"/>
      <c r="D161" s="17"/>
      <c r="E161" s="17"/>
      <c r="F161" s="17"/>
      <c r="G161" s="17"/>
      <c r="H161" s="17"/>
      <c r="I161" s="17"/>
      <c r="J161" s="17"/>
      <c r="K161" s="17"/>
      <c r="L161" s="17"/>
      <c r="M161" s="17"/>
      <c r="N161" s="17"/>
      <c r="O161" s="17"/>
      <c r="P161" s="17"/>
      <c r="Q161" s="17"/>
      <c r="R161" s="17"/>
      <c r="S161" s="17"/>
      <c r="T161" s="17"/>
      <c r="U161" s="17"/>
      <c r="V161" s="17"/>
      <c r="W161" s="17"/>
      <c r="X161" s="17"/>
      <c r="Y161" s="17"/>
      <c r="Z161" s="17"/>
    </row>
    <row r="162" ht="15.75" customHeight="1">
      <c r="A162" s="17"/>
      <c r="B162" s="17"/>
      <c r="C162" s="17"/>
      <c r="D162" s="17"/>
      <c r="E162" s="17"/>
      <c r="F162" s="17"/>
      <c r="G162" s="17"/>
      <c r="H162" s="17"/>
      <c r="I162" s="17"/>
      <c r="J162" s="17"/>
      <c r="K162" s="17"/>
      <c r="L162" s="17"/>
      <c r="M162" s="17"/>
      <c r="N162" s="17"/>
      <c r="O162" s="17"/>
      <c r="P162" s="17"/>
      <c r="Q162" s="17"/>
      <c r="R162" s="17"/>
      <c r="S162" s="17"/>
      <c r="T162" s="17"/>
      <c r="U162" s="17"/>
      <c r="V162" s="17"/>
      <c r="W162" s="17"/>
      <c r="X162" s="17"/>
      <c r="Y162" s="17"/>
      <c r="Z162" s="17"/>
    </row>
    <row r="163" ht="15.75" customHeight="1">
      <c r="A163" s="17"/>
      <c r="B163" s="17"/>
      <c r="C163" s="17"/>
      <c r="D163" s="17"/>
      <c r="E163" s="17"/>
      <c r="F163" s="17"/>
      <c r="G163" s="17"/>
      <c r="H163" s="17"/>
      <c r="I163" s="17"/>
      <c r="J163" s="17"/>
      <c r="K163" s="17"/>
      <c r="L163" s="17"/>
      <c r="M163" s="17"/>
      <c r="N163" s="17"/>
      <c r="O163" s="17"/>
      <c r="P163" s="17"/>
      <c r="Q163" s="17"/>
      <c r="R163" s="17"/>
      <c r="S163" s="17"/>
      <c r="T163" s="17"/>
      <c r="U163" s="17"/>
      <c r="V163" s="17"/>
      <c r="W163" s="17"/>
      <c r="X163" s="17"/>
      <c r="Y163" s="17"/>
      <c r="Z163" s="17"/>
    </row>
    <row r="164" ht="15.75" customHeight="1">
      <c r="A164" s="17"/>
      <c r="B164" s="17"/>
      <c r="C164" s="17"/>
      <c r="D164" s="17"/>
      <c r="E164" s="17"/>
      <c r="F164" s="17"/>
      <c r="G164" s="17"/>
      <c r="H164" s="17"/>
      <c r="I164" s="17"/>
      <c r="J164" s="17"/>
      <c r="K164" s="17"/>
      <c r="L164" s="17"/>
      <c r="M164" s="17"/>
      <c r="N164" s="17"/>
      <c r="O164" s="17"/>
      <c r="P164" s="17"/>
      <c r="Q164" s="17"/>
      <c r="R164" s="17"/>
      <c r="S164" s="17"/>
      <c r="T164" s="17"/>
      <c r="U164" s="17"/>
      <c r="V164" s="17"/>
      <c r="W164" s="17"/>
      <c r="X164" s="17"/>
      <c r="Y164" s="17"/>
      <c r="Z164" s="17"/>
    </row>
    <row r="165" ht="15.75" customHeight="1">
      <c r="A165" s="17"/>
      <c r="B165" s="17"/>
      <c r="C165" s="17"/>
      <c r="D165" s="17"/>
      <c r="E165" s="17"/>
      <c r="F165" s="17"/>
      <c r="G165" s="17"/>
      <c r="H165" s="17"/>
      <c r="I165" s="17"/>
      <c r="J165" s="17"/>
      <c r="K165" s="17"/>
      <c r="L165" s="17"/>
      <c r="M165" s="17"/>
      <c r="N165" s="17"/>
      <c r="O165" s="17"/>
      <c r="P165" s="17"/>
      <c r="Q165" s="17"/>
      <c r="R165" s="17"/>
      <c r="S165" s="17"/>
      <c r="T165" s="17"/>
      <c r="U165" s="17"/>
      <c r="V165" s="17"/>
      <c r="W165" s="17"/>
      <c r="X165" s="17"/>
      <c r="Y165" s="17"/>
      <c r="Z165" s="17"/>
    </row>
    <row r="166" ht="15.75" customHeight="1">
      <c r="A166" s="17"/>
      <c r="B166" s="17"/>
      <c r="C166" s="17"/>
      <c r="D166" s="17"/>
      <c r="E166" s="17"/>
      <c r="F166" s="17"/>
      <c r="G166" s="17"/>
      <c r="H166" s="17"/>
      <c r="I166" s="17"/>
      <c r="J166" s="17"/>
      <c r="K166" s="17"/>
      <c r="L166" s="17"/>
      <c r="M166" s="17"/>
      <c r="N166" s="17"/>
      <c r="O166" s="17"/>
      <c r="P166" s="17"/>
      <c r="Q166" s="17"/>
      <c r="R166" s="17"/>
      <c r="S166" s="17"/>
      <c r="T166" s="17"/>
      <c r="U166" s="17"/>
      <c r="V166" s="17"/>
      <c r="W166" s="17"/>
      <c r="X166" s="17"/>
      <c r="Y166" s="17"/>
      <c r="Z166" s="17"/>
    </row>
    <row r="167" ht="15.75" customHeight="1">
      <c r="A167" s="17"/>
      <c r="B167" s="17"/>
      <c r="C167" s="17"/>
      <c r="D167" s="17"/>
      <c r="E167" s="17"/>
      <c r="F167" s="17"/>
      <c r="G167" s="17"/>
      <c r="H167" s="17"/>
      <c r="I167" s="17"/>
      <c r="J167" s="17"/>
      <c r="K167" s="17"/>
      <c r="L167" s="17"/>
      <c r="M167" s="17"/>
      <c r="N167" s="17"/>
      <c r="O167" s="17"/>
      <c r="P167" s="17"/>
      <c r="Q167" s="17"/>
      <c r="R167" s="17"/>
      <c r="S167" s="17"/>
      <c r="T167" s="17"/>
      <c r="U167" s="17"/>
      <c r="V167" s="17"/>
      <c r="W167" s="17"/>
      <c r="X167" s="17"/>
      <c r="Y167" s="17"/>
      <c r="Z167" s="17"/>
    </row>
    <row r="168" ht="15.75" customHeight="1">
      <c r="A168" s="17"/>
      <c r="B168" s="17"/>
      <c r="C168" s="17"/>
      <c r="D168" s="17"/>
      <c r="E168" s="17"/>
      <c r="F168" s="17"/>
      <c r="G168" s="17"/>
      <c r="H168" s="17"/>
      <c r="I168" s="17"/>
      <c r="J168" s="17"/>
      <c r="K168" s="17"/>
      <c r="L168" s="17"/>
      <c r="M168" s="17"/>
      <c r="N168" s="17"/>
      <c r="O168" s="17"/>
      <c r="P168" s="17"/>
      <c r="Q168" s="17"/>
      <c r="R168" s="17"/>
      <c r="S168" s="17"/>
      <c r="T168" s="17"/>
      <c r="U168" s="17"/>
      <c r="V168" s="17"/>
      <c r="W168" s="17"/>
      <c r="X168" s="17"/>
      <c r="Y168" s="17"/>
      <c r="Z168" s="17"/>
    </row>
    <row r="169" ht="15.75" customHeight="1">
      <c r="A169" s="17"/>
      <c r="B169" s="17"/>
      <c r="C169" s="17"/>
      <c r="D169" s="17"/>
      <c r="E169" s="17"/>
      <c r="F169" s="17"/>
      <c r="G169" s="17"/>
      <c r="H169" s="17"/>
      <c r="I169" s="17"/>
      <c r="J169" s="17"/>
      <c r="K169" s="17"/>
      <c r="L169" s="17"/>
      <c r="M169" s="17"/>
      <c r="N169" s="17"/>
      <c r="O169" s="17"/>
      <c r="P169" s="17"/>
      <c r="Q169" s="17"/>
      <c r="R169" s="17"/>
      <c r="S169" s="17"/>
      <c r="T169" s="17"/>
      <c r="U169" s="17"/>
      <c r="V169" s="17"/>
      <c r="W169" s="17"/>
      <c r="X169" s="17"/>
      <c r="Y169" s="17"/>
      <c r="Z169" s="17"/>
    </row>
    <row r="170" ht="15.75" customHeight="1">
      <c r="A170" s="17"/>
      <c r="B170" s="17"/>
      <c r="C170" s="17"/>
      <c r="D170" s="17"/>
      <c r="E170" s="17"/>
      <c r="F170" s="17"/>
      <c r="G170" s="17"/>
      <c r="H170" s="17"/>
      <c r="I170" s="17"/>
      <c r="J170" s="17"/>
      <c r="K170" s="17"/>
      <c r="L170" s="17"/>
      <c r="M170" s="17"/>
      <c r="N170" s="17"/>
      <c r="O170" s="17"/>
      <c r="P170" s="17"/>
      <c r="Q170" s="17"/>
      <c r="R170" s="17"/>
      <c r="S170" s="17"/>
      <c r="T170" s="17"/>
      <c r="U170" s="17"/>
      <c r="V170" s="17"/>
      <c r="W170" s="17"/>
      <c r="X170" s="17"/>
      <c r="Y170" s="17"/>
      <c r="Z170" s="17"/>
    </row>
    <row r="171" ht="15.75" customHeight="1">
      <c r="A171" s="17"/>
      <c r="B171" s="17"/>
      <c r="C171" s="17"/>
      <c r="D171" s="17"/>
      <c r="E171" s="17"/>
      <c r="F171" s="17"/>
      <c r="G171" s="17"/>
      <c r="H171" s="17"/>
      <c r="I171" s="17"/>
      <c r="J171" s="17"/>
      <c r="K171" s="17"/>
      <c r="L171" s="17"/>
      <c r="M171" s="17"/>
      <c r="N171" s="17"/>
      <c r="O171" s="17"/>
      <c r="P171" s="17"/>
      <c r="Q171" s="17"/>
      <c r="R171" s="17"/>
      <c r="S171" s="17"/>
      <c r="T171" s="17"/>
      <c r="U171" s="17"/>
      <c r="V171" s="17"/>
      <c r="W171" s="17"/>
      <c r="X171" s="17"/>
      <c r="Y171" s="17"/>
      <c r="Z171" s="17"/>
    </row>
    <row r="172" ht="15.75" customHeight="1">
      <c r="A172" s="17"/>
      <c r="B172" s="17"/>
      <c r="C172" s="17"/>
      <c r="D172" s="17"/>
      <c r="E172" s="17"/>
      <c r="F172" s="17"/>
      <c r="G172" s="17"/>
      <c r="H172" s="17"/>
      <c r="I172" s="17"/>
      <c r="J172" s="17"/>
      <c r="K172" s="17"/>
      <c r="L172" s="17"/>
      <c r="M172" s="17"/>
      <c r="N172" s="17"/>
      <c r="O172" s="17"/>
      <c r="P172" s="17"/>
      <c r="Q172" s="17"/>
      <c r="R172" s="17"/>
      <c r="S172" s="17"/>
      <c r="T172" s="17"/>
      <c r="U172" s="17"/>
      <c r="V172" s="17"/>
      <c r="W172" s="17"/>
      <c r="X172" s="17"/>
      <c r="Y172" s="17"/>
      <c r="Z172" s="17"/>
    </row>
    <row r="173" ht="15.75" customHeight="1">
      <c r="A173" s="17"/>
      <c r="B173" s="17"/>
      <c r="C173" s="17"/>
      <c r="D173" s="17"/>
      <c r="E173" s="17"/>
      <c r="F173" s="17"/>
      <c r="G173" s="17"/>
      <c r="H173" s="17"/>
      <c r="I173" s="17"/>
      <c r="J173" s="17"/>
      <c r="K173" s="17"/>
      <c r="L173" s="17"/>
      <c r="M173" s="17"/>
      <c r="N173" s="17"/>
      <c r="O173" s="17"/>
      <c r="P173" s="17"/>
      <c r="Q173" s="17"/>
      <c r="R173" s="17"/>
      <c r="S173" s="17"/>
      <c r="T173" s="17"/>
      <c r="U173" s="17"/>
      <c r="V173" s="17"/>
      <c r="W173" s="17"/>
      <c r="X173" s="17"/>
      <c r="Y173" s="17"/>
      <c r="Z173" s="17"/>
    </row>
    <row r="174" ht="15.75" customHeight="1">
      <c r="A174" s="17"/>
      <c r="B174" s="17"/>
      <c r="C174" s="17"/>
      <c r="D174" s="17"/>
      <c r="E174" s="17"/>
      <c r="F174" s="17"/>
      <c r="G174" s="17"/>
      <c r="H174" s="17"/>
      <c r="I174" s="17"/>
      <c r="J174" s="17"/>
      <c r="K174" s="17"/>
      <c r="L174" s="17"/>
      <c r="M174" s="17"/>
      <c r="N174" s="17"/>
      <c r="O174" s="17"/>
      <c r="P174" s="17"/>
      <c r="Q174" s="17"/>
      <c r="R174" s="17"/>
      <c r="S174" s="17"/>
      <c r="T174" s="17"/>
      <c r="U174" s="17"/>
      <c r="V174" s="17"/>
      <c r="W174" s="17"/>
      <c r="X174" s="17"/>
      <c r="Y174" s="17"/>
      <c r="Z174" s="17"/>
    </row>
    <row r="175" ht="15.75" customHeight="1">
      <c r="A175" s="17"/>
      <c r="B175" s="17"/>
      <c r="C175" s="17"/>
      <c r="D175" s="17"/>
      <c r="E175" s="17"/>
      <c r="F175" s="17"/>
      <c r="G175" s="17"/>
      <c r="H175" s="17"/>
      <c r="I175" s="17"/>
      <c r="J175" s="17"/>
      <c r="K175" s="17"/>
      <c r="L175" s="17"/>
      <c r="M175" s="17"/>
      <c r="N175" s="17"/>
      <c r="O175" s="17"/>
      <c r="P175" s="17"/>
      <c r="Q175" s="17"/>
      <c r="R175" s="17"/>
      <c r="S175" s="17"/>
      <c r="T175" s="17"/>
      <c r="U175" s="17"/>
      <c r="V175" s="17"/>
      <c r="W175" s="17"/>
      <c r="X175" s="17"/>
      <c r="Y175" s="17"/>
      <c r="Z175" s="17"/>
    </row>
    <row r="176" ht="15.75" customHeight="1">
      <c r="A176" s="17"/>
      <c r="B176" s="17"/>
      <c r="C176" s="17"/>
      <c r="D176" s="17"/>
      <c r="E176" s="17"/>
      <c r="F176" s="17"/>
      <c r="G176" s="17"/>
      <c r="H176" s="17"/>
      <c r="I176" s="17"/>
      <c r="J176" s="17"/>
      <c r="K176" s="17"/>
      <c r="L176" s="17"/>
      <c r="M176" s="17"/>
      <c r="N176" s="17"/>
      <c r="O176" s="17"/>
      <c r="P176" s="17"/>
      <c r="Q176" s="17"/>
      <c r="R176" s="17"/>
      <c r="S176" s="17"/>
      <c r="T176" s="17"/>
      <c r="U176" s="17"/>
      <c r="V176" s="17"/>
      <c r="W176" s="17"/>
      <c r="X176" s="17"/>
      <c r="Y176" s="17"/>
      <c r="Z176" s="17"/>
    </row>
    <row r="177" ht="15.75" customHeight="1">
      <c r="A177" s="17"/>
      <c r="B177" s="17"/>
      <c r="C177" s="17"/>
      <c r="D177" s="17"/>
      <c r="E177" s="17"/>
      <c r="F177" s="17"/>
      <c r="G177" s="17"/>
      <c r="H177" s="17"/>
      <c r="I177" s="17"/>
      <c r="J177" s="17"/>
      <c r="K177" s="17"/>
      <c r="L177" s="17"/>
      <c r="M177" s="17"/>
      <c r="N177" s="17"/>
      <c r="O177" s="17"/>
      <c r="P177" s="17"/>
      <c r="Q177" s="17"/>
      <c r="R177" s="17"/>
      <c r="S177" s="17"/>
      <c r="T177" s="17"/>
      <c r="U177" s="17"/>
      <c r="V177" s="17"/>
      <c r="W177" s="17"/>
      <c r="X177" s="17"/>
      <c r="Y177" s="17"/>
      <c r="Z177" s="17"/>
    </row>
    <row r="178" ht="15.75" customHeight="1">
      <c r="A178" s="17"/>
      <c r="B178" s="17"/>
      <c r="C178" s="17"/>
      <c r="D178" s="17"/>
      <c r="E178" s="17"/>
      <c r="F178" s="17"/>
      <c r="G178" s="17"/>
      <c r="H178" s="17"/>
      <c r="I178" s="17"/>
      <c r="J178" s="17"/>
      <c r="K178" s="17"/>
      <c r="L178" s="17"/>
      <c r="M178" s="17"/>
      <c r="N178" s="17"/>
      <c r="O178" s="17"/>
      <c r="P178" s="17"/>
      <c r="Q178" s="17"/>
      <c r="R178" s="17"/>
      <c r="S178" s="17"/>
      <c r="T178" s="17"/>
      <c r="U178" s="17"/>
      <c r="V178" s="17"/>
      <c r="W178" s="17"/>
      <c r="X178" s="17"/>
      <c r="Y178" s="17"/>
      <c r="Z178" s="17"/>
    </row>
    <row r="179" ht="15.75" customHeight="1">
      <c r="A179" s="17"/>
      <c r="B179" s="17"/>
      <c r="C179" s="17"/>
      <c r="D179" s="17"/>
      <c r="E179" s="17"/>
      <c r="F179" s="17"/>
      <c r="G179" s="17"/>
      <c r="H179" s="17"/>
      <c r="I179" s="17"/>
      <c r="J179" s="17"/>
      <c r="K179" s="17"/>
      <c r="L179" s="17"/>
      <c r="M179" s="17"/>
      <c r="N179" s="17"/>
      <c r="O179" s="17"/>
      <c r="P179" s="17"/>
      <c r="Q179" s="17"/>
      <c r="R179" s="17"/>
      <c r="S179" s="17"/>
      <c r="T179" s="17"/>
      <c r="U179" s="17"/>
      <c r="V179" s="17"/>
      <c r="W179" s="17"/>
      <c r="X179" s="17"/>
      <c r="Y179" s="17"/>
      <c r="Z179" s="17"/>
    </row>
    <row r="180" ht="15.75" customHeight="1">
      <c r="A180" s="17"/>
      <c r="B180" s="17"/>
      <c r="C180" s="17"/>
      <c r="D180" s="17"/>
      <c r="E180" s="17"/>
      <c r="F180" s="17"/>
      <c r="G180" s="17"/>
      <c r="H180" s="17"/>
      <c r="I180" s="17"/>
      <c r="J180" s="17"/>
      <c r="K180" s="17"/>
      <c r="L180" s="17"/>
      <c r="M180" s="17"/>
      <c r="N180" s="17"/>
      <c r="O180" s="17"/>
      <c r="P180" s="17"/>
      <c r="Q180" s="17"/>
      <c r="R180" s="17"/>
      <c r="S180" s="17"/>
      <c r="T180" s="17"/>
      <c r="U180" s="17"/>
      <c r="V180" s="17"/>
      <c r="W180" s="17"/>
      <c r="X180" s="17"/>
      <c r="Y180" s="17"/>
      <c r="Z180" s="17"/>
    </row>
    <row r="181" ht="15.75" customHeight="1">
      <c r="A181" s="17"/>
      <c r="B181" s="17"/>
      <c r="C181" s="17"/>
      <c r="D181" s="17"/>
      <c r="E181" s="17"/>
      <c r="F181" s="17"/>
      <c r="G181" s="17"/>
      <c r="H181" s="17"/>
      <c r="I181" s="17"/>
      <c r="J181" s="17"/>
      <c r="K181" s="17"/>
      <c r="L181" s="17"/>
      <c r="M181" s="17"/>
      <c r="N181" s="17"/>
      <c r="O181" s="17"/>
      <c r="P181" s="17"/>
      <c r="Q181" s="17"/>
      <c r="R181" s="17"/>
      <c r="S181" s="17"/>
      <c r="T181" s="17"/>
      <c r="U181" s="17"/>
      <c r="V181" s="17"/>
      <c r="W181" s="17"/>
      <c r="X181" s="17"/>
      <c r="Y181" s="17"/>
      <c r="Z181" s="17"/>
    </row>
    <row r="182" ht="15.75" customHeight="1">
      <c r="A182" s="17"/>
      <c r="B182" s="17"/>
      <c r="C182" s="17"/>
      <c r="D182" s="17"/>
      <c r="E182" s="17"/>
      <c r="F182" s="17"/>
      <c r="G182" s="17"/>
      <c r="H182" s="17"/>
      <c r="I182" s="17"/>
      <c r="J182" s="17"/>
      <c r="K182" s="17"/>
      <c r="L182" s="17"/>
      <c r="M182" s="17"/>
      <c r="N182" s="17"/>
      <c r="O182" s="17"/>
      <c r="P182" s="17"/>
      <c r="Q182" s="17"/>
      <c r="R182" s="17"/>
      <c r="S182" s="17"/>
      <c r="T182" s="17"/>
      <c r="U182" s="17"/>
      <c r="V182" s="17"/>
      <c r="W182" s="17"/>
      <c r="X182" s="17"/>
      <c r="Y182" s="17"/>
      <c r="Z182" s="17"/>
    </row>
    <row r="183" ht="15.75" customHeight="1">
      <c r="A183" s="17"/>
      <c r="B183" s="17"/>
      <c r="C183" s="17"/>
      <c r="D183" s="17"/>
      <c r="E183" s="17"/>
      <c r="F183" s="17"/>
      <c r="G183" s="17"/>
      <c r="H183" s="17"/>
      <c r="I183" s="17"/>
      <c r="J183" s="17"/>
      <c r="K183" s="17"/>
      <c r="L183" s="17"/>
      <c r="M183" s="17"/>
      <c r="N183" s="17"/>
      <c r="O183" s="17"/>
      <c r="P183" s="17"/>
      <c r="Q183" s="17"/>
      <c r="R183" s="17"/>
      <c r="S183" s="17"/>
      <c r="T183" s="17"/>
      <c r="U183" s="17"/>
      <c r="V183" s="17"/>
      <c r="W183" s="17"/>
      <c r="X183" s="17"/>
      <c r="Y183" s="17"/>
      <c r="Z183" s="17"/>
    </row>
    <row r="184" ht="15.75" customHeight="1">
      <c r="A184" s="17"/>
      <c r="B184" s="17"/>
      <c r="C184" s="17"/>
      <c r="D184" s="17"/>
      <c r="E184" s="17"/>
      <c r="F184" s="17"/>
      <c r="G184" s="17"/>
      <c r="H184" s="17"/>
      <c r="I184" s="17"/>
      <c r="J184" s="17"/>
      <c r="K184" s="17"/>
      <c r="L184" s="17"/>
      <c r="M184" s="17"/>
      <c r="N184" s="17"/>
      <c r="O184" s="17"/>
      <c r="P184" s="17"/>
      <c r="Q184" s="17"/>
      <c r="R184" s="17"/>
      <c r="S184" s="17"/>
      <c r="T184" s="17"/>
      <c r="U184" s="17"/>
      <c r="V184" s="17"/>
      <c r="W184" s="17"/>
      <c r="X184" s="17"/>
      <c r="Y184" s="17"/>
      <c r="Z184" s="17"/>
    </row>
    <row r="185" ht="15.75" customHeight="1">
      <c r="A185" s="17"/>
      <c r="B185" s="17"/>
      <c r="C185" s="17"/>
      <c r="D185" s="17"/>
      <c r="E185" s="17"/>
      <c r="F185" s="17"/>
      <c r="G185" s="17"/>
      <c r="H185" s="17"/>
      <c r="I185" s="17"/>
      <c r="J185" s="17"/>
      <c r="K185" s="17"/>
      <c r="L185" s="17"/>
      <c r="M185" s="17"/>
      <c r="N185" s="17"/>
      <c r="O185" s="17"/>
      <c r="P185" s="17"/>
      <c r="Q185" s="17"/>
      <c r="R185" s="17"/>
      <c r="S185" s="17"/>
      <c r="T185" s="17"/>
      <c r="U185" s="17"/>
      <c r="V185" s="17"/>
      <c r="W185" s="17"/>
      <c r="X185" s="17"/>
      <c r="Y185" s="17"/>
      <c r="Z185" s="17"/>
    </row>
    <row r="186" ht="15.75" customHeight="1">
      <c r="A186" s="17"/>
      <c r="B186" s="17"/>
      <c r="C186" s="17"/>
      <c r="D186" s="17"/>
      <c r="E186" s="17"/>
      <c r="F186" s="17"/>
      <c r="G186" s="17"/>
      <c r="H186" s="17"/>
      <c r="I186" s="17"/>
      <c r="J186" s="17"/>
      <c r="K186" s="17"/>
      <c r="L186" s="17"/>
      <c r="M186" s="17"/>
      <c r="N186" s="17"/>
      <c r="O186" s="17"/>
      <c r="P186" s="17"/>
      <c r="Q186" s="17"/>
      <c r="R186" s="17"/>
      <c r="S186" s="17"/>
      <c r="T186" s="17"/>
      <c r="U186" s="17"/>
      <c r="V186" s="17"/>
      <c r="W186" s="17"/>
      <c r="X186" s="17"/>
      <c r="Y186" s="17"/>
      <c r="Z186" s="17"/>
    </row>
    <row r="187" ht="15.75" customHeight="1">
      <c r="A187" s="17"/>
      <c r="B187" s="17"/>
      <c r="C187" s="17"/>
      <c r="D187" s="17"/>
      <c r="E187" s="17"/>
      <c r="F187" s="17"/>
      <c r="G187" s="17"/>
      <c r="H187" s="17"/>
      <c r="I187" s="17"/>
      <c r="J187" s="17"/>
      <c r="K187" s="17"/>
      <c r="L187" s="17"/>
      <c r="M187" s="17"/>
      <c r="N187" s="17"/>
      <c r="O187" s="17"/>
      <c r="P187" s="17"/>
      <c r="Q187" s="17"/>
      <c r="R187" s="17"/>
      <c r="S187" s="17"/>
      <c r="T187" s="17"/>
      <c r="U187" s="17"/>
      <c r="V187" s="17"/>
      <c r="W187" s="17"/>
      <c r="X187" s="17"/>
      <c r="Y187" s="17"/>
      <c r="Z187" s="17"/>
    </row>
    <row r="188" ht="15.75" customHeight="1">
      <c r="A188" s="17"/>
      <c r="B188" s="17"/>
      <c r="C188" s="17"/>
      <c r="D188" s="17"/>
      <c r="E188" s="17"/>
      <c r="F188" s="17"/>
      <c r="G188" s="17"/>
      <c r="H188" s="17"/>
      <c r="I188" s="17"/>
      <c r="J188" s="17"/>
      <c r="K188" s="17"/>
      <c r="L188" s="17"/>
      <c r="M188" s="17"/>
      <c r="N188" s="17"/>
      <c r="O188" s="17"/>
      <c r="P188" s="17"/>
      <c r="Q188" s="17"/>
      <c r="R188" s="17"/>
      <c r="S188" s="17"/>
      <c r="T188" s="17"/>
      <c r="U188" s="17"/>
      <c r="V188" s="17"/>
      <c r="W188" s="17"/>
      <c r="X188" s="17"/>
      <c r="Y188" s="17"/>
      <c r="Z188" s="17"/>
    </row>
    <row r="189" ht="15.75" customHeight="1">
      <c r="A189" s="17"/>
      <c r="B189" s="17"/>
      <c r="C189" s="17"/>
      <c r="D189" s="17"/>
      <c r="E189" s="17"/>
      <c r="F189" s="17"/>
      <c r="G189" s="17"/>
      <c r="H189" s="17"/>
      <c r="I189" s="17"/>
      <c r="J189" s="17"/>
      <c r="K189" s="17"/>
      <c r="L189" s="17"/>
      <c r="M189" s="17"/>
      <c r="N189" s="17"/>
      <c r="O189" s="17"/>
      <c r="P189" s="17"/>
      <c r="Q189" s="17"/>
      <c r="R189" s="17"/>
      <c r="S189" s="17"/>
      <c r="T189" s="17"/>
      <c r="U189" s="17"/>
      <c r="V189" s="17"/>
      <c r="W189" s="17"/>
      <c r="X189" s="17"/>
      <c r="Y189" s="17"/>
      <c r="Z189" s="17"/>
    </row>
    <row r="190" ht="15.75" customHeight="1">
      <c r="A190" s="17"/>
      <c r="B190" s="17"/>
      <c r="C190" s="17"/>
      <c r="D190" s="17"/>
      <c r="E190" s="17"/>
      <c r="F190" s="17"/>
      <c r="G190" s="17"/>
      <c r="H190" s="17"/>
      <c r="I190" s="17"/>
      <c r="J190" s="17"/>
      <c r="K190" s="17"/>
      <c r="L190" s="17"/>
      <c r="M190" s="17"/>
      <c r="N190" s="17"/>
      <c r="O190" s="17"/>
      <c r="P190" s="17"/>
      <c r="Q190" s="17"/>
      <c r="R190" s="17"/>
      <c r="S190" s="17"/>
      <c r="T190" s="17"/>
      <c r="U190" s="17"/>
      <c r="V190" s="17"/>
      <c r="W190" s="17"/>
      <c r="X190" s="17"/>
      <c r="Y190" s="17"/>
      <c r="Z190" s="17"/>
    </row>
    <row r="191" ht="15.75" customHeight="1">
      <c r="A191" s="17"/>
      <c r="B191" s="17"/>
      <c r="C191" s="17"/>
      <c r="D191" s="17"/>
      <c r="E191" s="17"/>
      <c r="F191" s="17"/>
      <c r="G191" s="17"/>
      <c r="H191" s="17"/>
      <c r="I191" s="17"/>
      <c r="J191" s="17"/>
      <c r="K191" s="17"/>
      <c r="L191" s="17"/>
      <c r="M191" s="17"/>
      <c r="N191" s="17"/>
      <c r="O191" s="17"/>
      <c r="P191" s="17"/>
      <c r="Q191" s="17"/>
      <c r="R191" s="17"/>
      <c r="S191" s="17"/>
      <c r="T191" s="17"/>
      <c r="U191" s="17"/>
      <c r="V191" s="17"/>
      <c r="W191" s="17"/>
      <c r="X191" s="17"/>
      <c r="Y191" s="17"/>
      <c r="Z191" s="17"/>
    </row>
    <row r="192" ht="15.75" customHeight="1">
      <c r="A192" s="17"/>
      <c r="B192" s="17"/>
      <c r="C192" s="17"/>
      <c r="D192" s="17"/>
      <c r="E192" s="17"/>
      <c r="F192" s="17"/>
      <c r="G192" s="17"/>
      <c r="H192" s="17"/>
      <c r="I192" s="17"/>
      <c r="J192" s="17"/>
      <c r="K192" s="17"/>
      <c r="L192" s="17"/>
      <c r="M192" s="17"/>
      <c r="N192" s="17"/>
      <c r="O192" s="17"/>
      <c r="P192" s="17"/>
      <c r="Q192" s="17"/>
      <c r="R192" s="17"/>
      <c r="S192" s="17"/>
      <c r="T192" s="17"/>
      <c r="U192" s="17"/>
      <c r="V192" s="17"/>
      <c r="W192" s="17"/>
      <c r="X192" s="17"/>
      <c r="Y192" s="17"/>
      <c r="Z192" s="17"/>
    </row>
    <row r="193" ht="15.75" customHeight="1">
      <c r="A193" s="17"/>
      <c r="B193" s="17"/>
      <c r="C193" s="17"/>
      <c r="D193" s="17"/>
      <c r="E193" s="17"/>
      <c r="F193" s="17"/>
      <c r="G193" s="17"/>
      <c r="H193" s="17"/>
      <c r="I193" s="17"/>
      <c r="J193" s="17"/>
      <c r="K193" s="17"/>
      <c r="L193" s="17"/>
      <c r="M193" s="17"/>
      <c r="N193" s="17"/>
      <c r="O193" s="17"/>
      <c r="P193" s="17"/>
      <c r="Q193" s="17"/>
      <c r="R193" s="17"/>
      <c r="S193" s="17"/>
      <c r="T193" s="17"/>
      <c r="U193" s="17"/>
      <c r="V193" s="17"/>
      <c r="W193" s="17"/>
      <c r="X193" s="17"/>
      <c r="Y193" s="17"/>
      <c r="Z193" s="17"/>
    </row>
    <row r="194" ht="15.75" customHeight="1">
      <c r="A194" s="17"/>
      <c r="B194" s="17"/>
      <c r="C194" s="17"/>
      <c r="D194" s="17"/>
      <c r="E194" s="17"/>
      <c r="F194" s="17"/>
      <c r="G194" s="17"/>
      <c r="H194" s="17"/>
      <c r="I194" s="17"/>
      <c r="J194" s="17"/>
      <c r="K194" s="17"/>
      <c r="L194" s="17"/>
      <c r="M194" s="17"/>
      <c r="N194" s="17"/>
      <c r="O194" s="17"/>
      <c r="P194" s="17"/>
      <c r="Q194" s="17"/>
      <c r="R194" s="17"/>
      <c r="S194" s="17"/>
      <c r="T194" s="17"/>
      <c r="U194" s="17"/>
      <c r="V194" s="17"/>
      <c r="W194" s="17"/>
      <c r="X194" s="17"/>
      <c r="Y194" s="17"/>
      <c r="Z194" s="17"/>
    </row>
    <row r="195" ht="15.75" customHeight="1">
      <c r="A195" s="17"/>
      <c r="B195" s="17"/>
      <c r="C195" s="17"/>
      <c r="D195" s="17"/>
      <c r="E195" s="17"/>
      <c r="F195" s="17"/>
      <c r="G195" s="17"/>
      <c r="H195" s="17"/>
      <c r="I195" s="17"/>
      <c r="J195" s="17"/>
      <c r="K195" s="17"/>
      <c r="L195" s="17"/>
      <c r="M195" s="17"/>
      <c r="N195" s="17"/>
      <c r="O195" s="17"/>
      <c r="P195" s="17"/>
      <c r="Q195" s="17"/>
      <c r="R195" s="17"/>
      <c r="S195" s="17"/>
      <c r="T195" s="17"/>
      <c r="U195" s="17"/>
      <c r="V195" s="17"/>
      <c r="W195" s="17"/>
      <c r="X195" s="17"/>
      <c r="Y195" s="17"/>
      <c r="Z195" s="17"/>
    </row>
    <row r="196" ht="15.75" customHeight="1">
      <c r="A196" s="17"/>
      <c r="B196" s="17"/>
      <c r="C196" s="17"/>
      <c r="D196" s="17"/>
      <c r="E196" s="17"/>
      <c r="F196" s="17"/>
      <c r="G196" s="17"/>
      <c r="H196" s="17"/>
      <c r="I196" s="17"/>
      <c r="J196" s="17"/>
      <c r="K196" s="17"/>
      <c r="L196" s="17"/>
      <c r="M196" s="17"/>
      <c r="N196" s="17"/>
      <c r="O196" s="17"/>
      <c r="P196" s="17"/>
      <c r="Q196" s="17"/>
      <c r="R196" s="17"/>
      <c r="S196" s="17"/>
      <c r="T196" s="17"/>
      <c r="U196" s="17"/>
      <c r="V196" s="17"/>
      <c r="W196" s="17"/>
      <c r="X196" s="17"/>
      <c r="Y196" s="17"/>
      <c r="Z196" s="17"/>
    </row>
    <row r="197" ht="15.75" customHeight="1">
      <c r="A197" s="17"/>
      <c r="B197" s="17"/>
      <c r="C197" s="17"/>
      <c r="D197" s="17"/>
      <c r="E197" s="17"/>
      <c r="F197" s="17"/>
      <c r="G197" s="17"/>
      <c r="H197" s="17"/>
      <c r="I197" s="17"/>
      <c r="J197" s="17"/>
      <c r="K197" s="17"/>
      <c r="L197" s="17"/>
      <c r="M197" s="17"/>
      <c r="N197" s="17"/>
      <c r="O197" s="17"/>
      <c r="P197" s="17"/>
      <c r="Q197" s="17"/>
      <c r="R197" s="17"/>
      <c r="S197" s="17"/>
      <c r="T197" s="17"/>
      <c r="U197" s="17"/>
      <c r="V197" s="17"/>
      <c r="W197" s="17"/>
      <c r="X197" s="17"/>
      <c r="Y197" s="17"/>
      <c r="Z197" s="17"/>
    </row>
    <row r="198" ht="15.75" customHeight="1">
      <c r="A198" s="17"/>
      <c r="B198" s="17"/>
      <c r="C198" s="17"/>
      <c r="D198" s="17"/>
      <c r="E198" s="17"/>
      <c r="F198" s="17"/>
      <c r="G198" s="17"/>
      <c r="H198" s="17"/>
      <c r="I198" s="17"/>
      <c r="J198" s="17"/>
      <c r="K198" s="17"/>
      <c r="L198" s="17"/>
      <c r="M198" s="17"/>
      <c r="N198" s="17"/>
      <c r="O198" s="17"/>
      <c r="P198" s="17"/>
      <c r="Q198" s="17"/>
      <c r="R198" s="17"/>
      <c r="S198" s="17"/>
      <c r="T198" s="17"/>
      <c r="U198" s="17"/>
      <c r="V198" s="17"/>
      <c r="W198" s="17"/>
      <c r="X198" s="17"/>
      <c r="Y198" s="17"/>
      <c r="Z198" s="17"/>
    </row>
    <row r="199" ht="15.75" customHeight="1">
      <c r="A199" s="17"/>
      <c r="B199" s="17"/>
      <c r="C199" s="17"/>
      <c r="D199" s="17"/>
      <c r="E199" s="17"/>
      <c r="F199" s="17"/>
      <c r="G199" s="17"/>
      <c r="H199" s="17"/>
      <c r="I199" s="17"/>
      <c r="J199" s="17"/>
      <c r="K199" s="17"/>
      <c r="L199" s="17"/>
      <c r="M199" s="17"/>
      <c r="N199" s="17"/>
      <c r="O199" s="17"/>
      <c r="P199" s="17"/>
      <c r="Q199" s="17"/>
      <c r="R199" s="17"/>
      <c r="S199" s="17"/>
      <c r="T199" s="17"/>
      <c r="U199" s="17"/>
      <c r="V199" s="17"/>
      <c r="W199" s="17"/>
      <c r="X199" s="17"/>
      <c r="Y199" s="17"/>
      <c r="Z199" s="17"/>
    </row>
    <row r="200" ht="15.75" customHeight="1">
      <c r="A200" s="17"/>
      <c r="B200" s="17"/>
      <c r="C200" s="17"/>
      <c r="D200" s="17"/>
      <c r="E200" s="17"/>
      <c r="F200" s="17"/>
      <c r="G200" s="17"/>
      <c r="H200" s="17"/>
      <c r="I200" s="17"/>
      <c r="J200" s="17"/>
      <c r="K200" s="17"/>
      <c r="L200" s="17"/>
      <c r="M200" s="17"/>
      <c r="N200" s="17"/>
      <c r="O200" s="17"/>
      <c r="P200" s="17"/>
      <c r="Q200" s="17"/>
      <c r="R200" s="17"/>
      <c r="S200" s="17"/>
      <c r="T200" s="17"/>
      <c r="U200" s="17"/>
      <c r="V200" s="17"/>
      <c r="W200" s="17"/>
      <c r="X200" s="17"/>
      <c r="Y200" s="17"/>
      <c r="Z200" s="17"/>
    </row>
    <row r="201" ht="15.75" customHeight="1">
      <c r="A201" s="17"/>
      <c r="B201" s="17"/>
      <c r="C201" s="17"/>
      <c r="D201" s="17"/>
      <c r="E201" s="17"/>
      <c r="F201" s="17"/>
      <c r="G201" s="17"/>
      <c r="H201" s="17"/>
      <c r="I201" s="17"/>
      <c r="J201" s="17"/>
      <c r="K201" s="17"/>
      <c r="L201" s="17"/>
      <c r="M201" s="17"/>
      <c r="N201" s="17"/>
      <c r="O201" s="17"/>
      <c r="P201" s="17"/>
      <c r="Q201" s="17"/>
      <c r="R201" s="17"/>
      <c r="S201" s="17"/>
      <c r="T201" s="17"/>
      <c r="U201" s="17"/>
      <c r="V201" s="17"/>
      <c r="W201" s="17"/>
      <c r="X201" s="17"/>
      <c r="Y201" s="17"/>
      <c r="Z201" s="17"/>
    </row>
    <row r="202" ht="15.75" customHeight="1">
      <c r="A202" s="17"/>
      <c r="B202" s="17"/>
      <c r="C202" s="17"/>
      <c r="D202" s="17"/>
      <c r="E202" s="17"/>
      <c r="F202" s="17"/>
      <c r="G202" s="17"/>
      <c r="H202" s="17"/>
      <c r="I202" s="17"/>
      <c r="J202" s="17"/>
      <c r="K202" s="17"/>
      <c r="L202" s="17"/>
      <c r="M202" s="17"/>
      <c r="N202" s="17"/>
      <c r="O202" s="17"/>
      <c r="P202" s="17"/>
      <c r="Q202" s="17"/>
      <c r="R202" s="17"/>
      <c r="S202" s="17"/>
      <c r="T202" s="17"/>
      <c r="U202" s="17"/>
      <c r="V202" s="17"/>
      <c r="W202" s="17"/>
      <c r="X202" s="17"/>
      <c r="Y202" s="17"/>
      <c r="Z202" s="17"/>
    </row>
    <row r="203" ht="15.75" customHeight="1">
      <c r="A203" s="17"/>
      <c r="B203" s="17"/>
      <c r="C203" s="17"/>
      <c r="D203" s="17"/>
      <c r="E203" s="17"/>
      <c r="F203" s="17"/>
      <c r="G203" s="17"/>
      <c r="H203" s="17"/>
      <c r="I203" s="17"/>
      <c r="J203" s="17"/>
      <c r="K203" s="17"/>
      <c r="L203" s="17"/>
      <c r="M203" s="17"/>
      <c r="N203" s="17"/>
      <c r="O203" s="17"/>
      <c r="P203" s="17"/>
      <c r="Q203" s="17"/>
      <c r="R203" s="17"/>
      <c r="S203" s="17"/>
      <c r="T203" s="17"/>
      <c r="U203" s="17"/>
      <c r="V203" s="17"/>
      <c r="W203" s="17"/>
      <c r="X203" s="17"/>
      <c r="Y203" s="17"/>
      <c r="Z203" s="17"/>
    </row>
    <row r="204" ht="15.75" customHeight="1">
      <c r="A204" s="17"/>
      <c r="B204" s="17"/>
      <c r="C204" s="17"/>
      <c r="D204" s="17"/>
      <c r="E204" s="17"/>
      <c r="F204" s="17"/>
      <c r="G204" s="17"/>
      <c r="H204" s="17"/>
      <c r="I204" s="17"/>
      <c r="J204" s="17"/>
      <c r="K204" s="17"/>
      <c r="L204" s="17"/>
      <c r="M204" s="17"/>
      <c r="N204" s="17"/>
      <c r="O204" s="17"/>
      <c r="P204" s="17"/>
      <c r="Q204" s="17"/>
      <c r="R204" s="17"/>
      <c r="S204" s="17"/>
      <c r="T204" s="17"/>
      <c r="U204" s="17"/>
      <c r="V204" s="17"/>
      <c r="W204" s="17"/>
      <c r="X204" s="17"/>
      <c r="Y204" s="17"/>
      <c r="Z204" s="17"/>
    </row>
    <row r="205" ht="15.75" customHeight="1">
      <c r="A205" s="17"/>
      <c r="B205" s="17"/>
      <c r="C205" s="17"/>
      <c r="D205" s="17"/>
      <c r="E205" s="17"/>
      <c r="F205" s="17"/>
      <c r="G205" s="17"/>
      <c r="H205" s="17"/>
      <c r="I205" s="17"/>
      <c r="J205" s="17"/>
      <c r="K205" s="17"/>
      <c r="L205" s="17"/>
      <c r="M205" s="17"/>
      <c r="N205" s="17"/>
      <c r="O205" s="17"/>
      <c r="P205" s="17"/>
      <c r="Q205" s="17"/>
      <c r="R205" s="17"/>
      <c r="S205" s="17"/>
      <c r="T205" s="17"/>
      <c r="U205" s="17"/>
      <c r="V205" s="17"/>
      <c r="W205" s="17"/>
      <c r="X205" s="17"/>
      <c r="Y205" s="17"/>
      <c r="Z205" s="17"/>
    </row>
    <row r="206" ht="15.75" customHeight="1">
      <c r="A206" s="17"/>
      <c r="B206" s="17"/>
      <c r="C206" s="17"/>
      <c r="D206" s="17"/>
      <c r="E206" s="17"/>
      <c r="F206" s="17"/>
      <c r="G206" s="17"/>
      <c r="H206" s="17"/>
      <c r="I206" s="17"/>
      <c r="J206" s="17"/>
      <c r="K206" s="17"/>
      <c r="L206" s="17"/>
      <c r="M206" s="17"/>
      <c r="N206" s="17"/>
      <c r="O206" s="17"/>
      <c r="P206" s="17"/>
      <c r="Q206" s="17"/>
      <c r="R206" s="17"/>
      <c r="S206" s="17"/>
      <c r="T206" s="17"/>
      <c r="U206" s="17"/>
      <c r="V206" s="17"/>
      <c r="W206" s="17"/>
      <c r="X206" s="17"/>
      <c r="Y206" s="17"/>
      <c r="Z206" s="17"/>
    </row>
    <row r="207" ht="15.75" customHeight="1">
      <c r="A207" s="17"/>
      <c r="B207" s="17"/>
      <c r="C207" s="17"/>
      <c r="D207" s="17"/>
      <c r="E207" s="17"/>
      <c r="F207" s="17"/>
      <c r="G207" s="17"/>
      <c r="H207" s="17"/>
      <c r="I207" s="17"/>
      <c r="J207" s="17"/>
      <c r="K207" s="17"/>
      <c r="L207" s="17"/>
      <c r="M207" s="17"/>
      <c r="N207" s="17"/>
      <c r="O207" s="17"/>
      <c r="P207" s="17"/>
      <c r="Q207" s="17"/>
      <c r="R207" s="17"/>
      <c r="S207" s="17"/>
      <c r="T207" s="17"/>
      <c r="U207" s="17"/>
      <c r="V207" s="17"/>
      <c r="W207" s="17"/>
      <c r="X207" s="17"/>
      <c r="Y207" s="17"/>
      <c r="Z207" s="17"/>
    </row>
    <row r="208" ht="15.75" customHeight="1">
      <c r="A208" s="17"/>
      <c r="B208" s="17"/>
      <c r="C208" s="17"/>
      <c r="D208" s="17"/>
      <c r="E208" s="17"/>
      <c r="F208" s="17"/>
      <c r="G208" s="17"/>
      <c r="H208" s="17"/>
      <c r="I208" s="17"/>
      <c r="J208" s="17"/>
      <c r="K208" s="17"/>
      <c r="L208" s="17"/>
      <c r="M208" s="17"/>
      <c r="N208" s="17"/>
      <c r="O208" s="17"/>
      <c r="P208" s="17"/>
      <c r="Q208" s="17"/>
      <c r="R208" s="17"/>
      <c r="S208" s="17"/>
      <c r="T208" s="17"/>
      <c r="U208" s="17"/>
      <c r="V208" s="17"/>
      <c r="W208" s="17"/>
      <c r="X208" s="17"/>
      <c r="Y208" s="17"/>
      <c r="Z208" s="17"/>
    </row>
    <row r="209" ht="15.75" customHeight="1">
      <c r="A209" s="17"/>
      <c r="B209" s="17"/>
      <c r="C209" s="17"/>
      <c r="D209" s="17"/>
      <c r="E209" s="17"/>
      <c r="F209" s="17"/>
      <c r="G209" s="17"/>
      <c r="H209" s="17"/>
      <c r="I209" s="17"/>
      <c r="J209" s="17"/>
      <c r="K209" s="17"/>
      <c r="L209" s="17"/>
      <c r="M209" s="17"/>
      <c r="N209" s="17"/>
      <c r="O209" s="17"/>
      <c r="P209" s="17"/>
      <c r="Q209" s="17"/>
      <c r="R209" s="17"/>
      <c r="S209" s="17"/>
      <c r="T209" s="17"/>
      <c r="U209" s="17"/>
      <c r="V209" s="17"/>
      <c r="W209" s="17"/>
      <c r="X209" s="17"/>
      <c r="Y209" s="17"/>
      <c r="Z209" s="17"/>
    </row>
    <row r="210" ht="15.75" customHeight="1">
      <c r="A210" s="17"/>
      <c r="B210" s="17"/>
      <c r="C210" s="17"/>
      <c r="D210" s="17"/>
      <c r="E210" s="17"/>
      <c r="F210" s="17"/>
      <c r="G210" s="17"/>
      <c r="H210" s="17"/>
      <c r="I210" s="17"/>
      <c r="J210" s="17"/>
      <c r="K210" s="17"/>
      <c r="L210" s="17"/>
      <c r="M210" s="17"/>
      <c r="N210" s="17"/>
      <c r="O210" s="17"/>
      <c r="P210" s="17"/>
      <c r="Q210" s="17"/>
      <c r="R210" s="17"/>
      <c r="S210" s="17"/>
      <c r="T210" s="17"/>
      <c r="U210" s="17"/>
      <c r="V210" s="17"/>
      <c r="W210" s="17"/>
      <c r="X210" s="17"/>
      <c r="Y210" s="17"/>
      <c r="Z210" s="17"/>
    </row>
    <row r="211" ht="15.75" customHeight="1">
      <c r="A211" s="17"/>
      <c r="B211" s="17"/>
      <c r="C211" s="17"/>
      <c r="D211" s="17"/>
      <c r="E211" s="17"/>
      <c r="F211" s="17"/>
      <c r="G211" s="17"/>
      <c r="H211" s="17"/>
      <c r="I211" s="17"/>
      <c r="J211" s="17"/>
      <c r="K211" s="17"/>
      <c r="L211" s="17"/>
      <c r="M211" s="17"/>
      <c r="N211" s="17"/>
      <c r="O211" s="17"/>
      <c r="P211" s="17"/>
      <c r="Q211" s="17"/>
      <c r="R211" s="17"/>
      <c r="S211" s="17"/>
      <c r="T211" s="17"/>
      <c r="U211" s="17"/>
      <c r="V211" s="17"/>
      <c r="W211" s="17"/>
      <c r="X211" s="17"/>
      <c r="Y211" s="17"/>
      <c r="Z211" s="17"/>
    </row>
    <row r="212" ht="15.75" customHeight="1">
      <c r="A212" s="17"/>
      <c r="B212" s="17"/>
      <c r="C212" s="17"/>
      <c r="D212" s="17"/>
      <c r="E212" s="17"/>
      <c r="F212" s="17"/>
      <c r="G212" s="17"/>
      <c r="H212" s="17"/>
      <c r="I212" s="17"/>
      <c r="J212" s="17"/>
      <c r="K212" s="17"/>
      <c r="L212" s="17"/>
      <c r="M212" s="17"/>
      <c r="N212" s="17"/>
      <c r="O212" s="17"/>
      <c r="P212" s="17"/>
      <c r="Q212" s="17"/>
      <c r="R212" s="17"/>
      <c r="S212" s="17"/>
      <c r="T212" s="17"/>
      <c r="U212" s="17"/>
      <c r="V212" s="17"/>
      <c r="W212" s="17"/>
      <c r="X212" s="17"/>
      <c r="Y212" s="17"/>
      <c r="Z212" s="17"/>
    </row>
    <row r="213" ht="15.75" customHeight="1">
      <c r="A213" s="17"/>
      <c r="B213" s="17"/>
      <c r="C213" s="17"/>
      <c r="D213" s="17"/>
      <c r="E213" s="17"/>
      <c r="F213" s="17"/>
      <c r="G213" s="17"/>
      <c r="H213" s="17"/>
      <c r="I213" s="17"/>
      <c r="J213" s="17"/>
      <c r="K213" s="17"/>
      <c r="L213" s="17"/>
      <c r="M213" s="17"/>
      <c r="N213" s="17"/>
      <c r="O213" s="17"/>
      <c r="P213" s="17"/>
      <c r="Q213" s="17"/>
      <c r="R213" s="17"/>
      <c r="S213" s="17"/>
      <c r="T213" s="17"/>
      <c r="U213" s="17"/>
      <c r="V213" s="17"/>
      <c r="W213" s="17"/>
      <c r="X213" s="17"/>
      <c r="Y213" s="17"/>
      <c r="Z213" s="17"/>
    </row>
    <row r="214" ht="15.75" customHeight="1">
      <c r="A214" s="17"/>
      <c r="B214" s="17"/>
      <c r="C214" s="17"/>
      <c r="D214" s="17"/>
      <c r="E214" s="17"/>
      <c r="F214" s="17"/>
      <c r="G214" s="17"/>
      <c r="H214" s="17"/>
      <c r="I214" s="17"/>
      <c r="J214" s="17"/>
      <c r="K214" s="17"/>
      <c r="L214" s="17"/>
      <c r="M214" s="17"/>
      <c r="N214" s="17"/>
      <c r="O214" s="17"/>
      <c r="P214" s="17"/>
      <c r="Q214" s="17"/>
      <c r="R214" s="17"/>
      <c r="S214" s="17"/>
      <c r="T214" s="17"/>
      <c r="U214" s="17"/>
      <c r="V214" s="17"/>
      <c r="W214" s="17"/>
      <c r="X214" s="17"/>
      <c r="Y214" s="17"/>
      <c r="Z214" s="17"/>
    </row>
    <row r="215" ht="15.75" customHeight="1">
      <c r="A215" s="17"/>
      <c r="B215" s="17"/>
      <c r="C215" s="17"/>
      <c r="D215" s="17"/>
      <c r="E215" s="17"/>
      <c r="F215" s="17"/>
      <c r="G215" s="17"/>
      <c r="H215" s="17"/>
      <c r="I215" s="17"/>
      <c r="J215" s="17"/>
      <c r="K215" s="17"/>
      <c r="L215" s="17"/>
      <c r="M215" s="17"/>
      <c r="N215" s="17"/>
      <c r="O215" s="17"/>
      <c r="P215" s="17"/>
      <c r="Q215" s="17"/>
      <c r="R215" s="17"/>
      <c r="S215" s="17"/>
      <c r="T215" s="17"/>
      <c r="U215" s="17"/>
      <c r="V215" s="17"/>
      <c r="W215" s="17"/>
      <c r="X215" s="17"/>
      <c r="Y215" s="17"/>
      <c r="Z215" s="17"/>
    </row>
    <row r="216" ht="15.75" customHeight="1">
      <c r="A216" s="17"/>
      <c r="B216" s="17"/>
      <c r="C216" s="17"/>
      <c r="D216" s="17"/>
      <c r="E216" s="17"/>
      <c r="F216" s="17"/>
      <c r="G216" s="17"/>
      <c r="H216" s="17"/>
      <c r="I216" s="17"/>
      <c r="J216" s="17"/>
      <c r="K216" s="17"/>
      <c r="L216" s="17"/>
      <c r="M216" s="17"/>
      <c r="N216" s="17"/>
      <c r="O216" s="17"/>
      <c r="P216" s="17"/>
      <c r="Q216" s="17"/>
      <c r="R216" s="17"/>
      <c r="S216" s="17"/>
      <c r="T216" s="17"/>
      <c r="U216" s="17"/>
      <c r="V216" s="17"/>
      <c r="W216" s="17"/>
      <c r="X216" s="17"/>
      <c r="Y216" s="17"/>
      <c r="Z216" s="17"/>
    </row>
    <row r="217" ht="15.75" customHeight="1">
      <c r="A217" s="17"/>
      <c r="B217" s="17"/>
      <c r="C217" s="17"/>
      <c r="D217" s="17"/>
      <c r="E217" s="17"/>
      <c r="F217" s="17"/>
      <c r="G217" s="17"/>
      <c r="H217" s="17"/>
      <c r="I217" s="17"/>
      <c r="J217" s="17"/>
      <c r="K217" s="17"/>
      <c r="L217" s="17"/>
      <c r="M217" s="17"/>
      <c r="N217" s="17"/>
      <c r="O217" s="17"/>
      <c r="P217" s="17"/>
      <c r="Q217" s="17"/>
      <c r="R217" s="17"/>
      <c r="S217" s="17"/>
      <c r="T217" s="17"/>
      <c r="U217" s="17"/>
      <c r="V217" s="17"/>
      <c r="W217" s="17"/>
      <c r="X217" s="17"/>
      <c r="Y217" s="17"/>
      <c r="Z217" s="17"/>
    </row>
    <row r="218" ht="15.75" customHeight="1">
      <c r="A218" s="17"/>
      <c r="B218" s="17"/>
      <c r="C218" s="17"/>
      <c r="D218" s="17"/>
      <c r="E218" s="17"/>
      <c r="F218" s="17"/>
      <c r="G218" s="17"/>
      <c r="H218" s="17"/>
      <c r="I218" s="17"/>
      <c r="J218" s="17"/>
      <c r="K218" s="17"/>
      <c r="L218" s="17"/>
      <c r="M218" s="17"/>
      <c r="N218" s="17"/>
      <c r="O218" s="17"/>
      <c r="P218" s="17"/>
      <c r="Q218" s="17"/>
      <c r="R218" s="17"/>
      <c r="S218" s="17"/>
      <c r="T218" s="17"/>
      <c r="U218" s="17"/>
      <c r="V218" s="17"/>
      <c r="W218" s="17"/>
      <c r="X218" s="17"/>
      <c r="Y218" s="17"/>
      <c r="Z218" s="17"/>
    </row>
    <row r="219" ht="15.75" customHeight="1">
      <c r="A219" s="17"/>
      <c r="B219" s="17"/>
      <c r="C219" s="17"/>
      <c r="D219" s="17"/>
      <c r="E219" s="17"/>
      <c r="F219" s="17"/>
      <c r="G219" s="17"/>
      <c r="H219" s="17"/>
      <c r="I219" s="17"/>
      <c r="J219" s="17"/>
      <c r="K219" s="17"/>
      <c r="L219" s="17"/>
      <c r="M219" s="17"/>
      <c r="N219" s="17"/>
      <c r="O219" s="17"/>
      <c r="P219" s="17"/>
      <c r="Q219" s="17"/>
      <c r="R219" s="17"/>
      <c r="S219" s="17"/>
      <c r="T219" s="17"/>
      <c r="U219" s="17"/>
      <c r="V219" s="17"/>
      <c r="W219" s="17"/>
      <c r="X219" s="17"/>
      <c r="Y219" s="17"/>
      <c r="Z219" s="17"/>
    </row>
    <row r="220" ht="15.75" customHeight="1">
      <c r="A220" s="17"/>
      <c r="B220" s="17"/>
      <c r="C220" s="17"/>
      <c r="D220" s="17"/>
      <c r="E220" s="17"/>
      <c r="F220" s="17"/>
      <c r="G220" s="17"/>
      <c r="H220" s="17"/>
      <c r="I220" s="17"/>
      <c r="J220" s="17"/>
      <c r="K220" s="17"/>
      <c r="L220" s="17"/>
      <c r="M220" s="17"/>
      <c r="N220" s="17"/>
      <c r="O220" s="17"/>
      <c r="P220" s="17"/>
      <c r="Q220" s="17"/>
      <c r="R220" s="17"/>
      <c r="S220" s="17"/>
      <c r="T220" s="17"/>
      <c r="U220" s="17"/>
      <c r="V220" s="17"/>
      <c r="W220" s="17"/>
      <c r="X220" s="17"/>
      <c r="Y220" s="17"/>
      <c r="Z220" s="17"/>
    </row>
    <row r="221" ht="15.75" customHeight="1">
      <c r="A221" s="17"/>
      <c r="B221" s="17"/>
      <c r="C221" s="17"/>
      <c r="D221" s="17"/>
      <c r="E221" s="17"/>
      <c r="F221" s="17"/>
      <c r="G221" s="17"/>
      <c r="H221" s="17"/>
      <c r="I221" s="17"/>
      <c r="J221" s="17"/>
      <c r="K221" s="17"/>
      <c r="L221" s="17"/>
      <c r="M221" s="17"/>
      <c r="N221" s="17"/>
      <c r="O221" s="17"/>
      <c r="P221" s="17"/>
      <c r="Q221" s="17"/>
      <c r="R221" s="17"/>
      <c r="S221" s="17"/>
      <c r="T221" s="17"/>
      <c r="U221" s="17"/>
      <c r="V221" s="17"/>
      <c r="W221" s="17"/>
      <c r="X221" s="17"/>
      <c r="Y221" s="17"/>
      <c r="Z221" s="17"/>
    </row>
    <row r="222" ht="15.75" customHeight="1">
      <c r="A222" s="17"/>
      <c r="B222" s="17"/>
      <c r="C222" s="17"/>
      <c r="D222" s="17"/>
      <c r="E222" s="17"/>
      <c r="F222" s="17"/>
      <c r="G222" s="17"/>
      <c r="H222" s="17"/>
      <c r="I222" s="17"/>
      <c r="J222" s="17"/>
      <c r="K222" s="17"/>
      <c r="L222" s="17"/>
      <c r="M222" s="17"/>
      <c r="N222" s="17"/>
      <c r="O222" s="17"/>
      <c r="P222" s="17"/>
      <c r="Q222" s="17"/>
      <c r="R222" s="17"/>
      <c r="S222" s="17"/>
      <c r="T222" s="17"/>
      <c r="U222" s="17"/>
      <c r="V222" s="17"/>
      <c r="W222" s="17"/>
      <c r="X222" s="17"/>
      <c r="Y222" s="17"/>
      <c r="Z222" s="17"/>
    </row>
    <row r="223" ht="15.75" customHeight="1">
      <c r="A223" s="17"/>
      <c r="B223" s="17"/>
      <c r="C223" s="17"/>
      <c r="D223" s="17"/>
      <c r="E223" s="17"/>
      <c r="F223" s="17"/>
      <c r="G223" s="17"/>
      <c r="H223" s="17"/>
      <c r="I223" s="17"/>
      <c r="J223" s="17"/>
      <c r="K223" s="17"/>
      <c r="L223" s="17"/>
      <c r="M223" s="17"/>
      <c r="N223" s="17"/>
      <c r="O223" s="17"/>
      <c r="P223" s="17"/>
      <c r="Q223" s="17"/>
      <c r="R223" s="17"/>
      <c r="S223" s="17"/>
      <c r="T223" s="17"/>
      <c r="U223" s="17"/>
      <c r="V223" s="17"/>
      <c r="W223" s="17"/>
      <c r="X223" s="17"/>
      <c r="Y223" s="17"/>
      <c r="Z223" s="17"/>
    </row>
    <row r="224" ht="15.75" customHeight="1">
      <c r="A224" s="17"/>
      <c r="B224" s="17"/>
      <c r="C224" s="17"/>
      <c r="D224" s="17"/>
      <c r="E224" s="17"/>
      <c r="F224" s="17"/>
      <c r="G224" s="17"/>
      <c r="H224" s="17"/>
      <c r="I224" s="17"/>
      <c r="J224" s="17"/>
      <c r="K224" s="17"/>
      <c r="L224" s="17"/>
      <c r="M224" s="17"/>
      <c r="N224" s="17"/>
      <c r="O224" s="17"/>
      <c r="P224" s="17"/>
      <c r="Q224" s="17"/>
      <c r="R224" s="17"/>
      <c r="S224" s="17"/>
      <c r="T224" s="17"/>
      <c r="U224" s="17"/>
      <c r="V224" s="17"/>
      <c r="W224" s="17"/>
      <c r="X224" s="17"/>
      <c r="Y224" s="17"/>
      <c r="Z224" s="17"/>
    </row>
    <row r="225" ht="15.75" customHeight="1">
      <c r="A225" s="17"/>
      <c r="B225" s="17"/>
      <c r="C225" s="17"/>
      <c r="D225" s="17"/>
      <c r="E225" s="17"/>
      <c r="F225" s="17"/>
      <c r="G225" s="17"/>
      <c r="H225" s="17"/>
      <c r="I225" s="17"/>
      <c r="J225" s="17"/>
      <c r="K225" s="17"/>
      <c r="L225" s="17"/>
      <c r="M225" s="17"/>
      <c r="N225" s="17"/>
      <c r="O225" s="17"/>
      <c r="P225" s="17"/>
      <c r="Q225" s="17"/>
      <c r="R225" s="17"/>
      <c r="S225" s="17"/>
      <c r="T225" s="17"/>
      <c r="U225" s="17"/>
      <c r="V225" s="17"/>
      <c r="W225" s="17"/>
      <c r="X225" s="17"/>
      <c r="Y225" s="17"/>
      <c r="Z225" s="17"/>
    </row>
    <row r="226" ht="15.75" customHeight="1">
      <c r="A226" s="17"/>
      <c r="B226" s="17"/>
      <c r="C226" s="17"/>
      <c r="D226" s="17"/>
      <c r="E226" s="17"/>
      <c r="F226" s="17"/>
      <c r="G226" s="17"/>
      <c r="H226" s="17"/>
      <c r="I226" s="17"/>
      <c r="J226" s="17"/>
      <c r="K226" s="17"/>
      <c r="L226" s="17"/>
      <c r="M226" s="17"/>
      <c r="N226" s="17"/>
      <c r="O226" s="17"/>
      <c r="P226" s="17"/>
      <c r="Q226" s="17"/>
      <c r="R226" s="17"/>
      <c r="S226" s="17"/>
      <c r="T226" s="17"/>
      <c r="U226" s="17"/>
      <c r="V226" s="17"/>
      <c r="W226" s="17"/>
      <c r="X226" s="17"/>
      <c r="Y226" s="17"/>
      <c r="Z226" s="17"/>
    </row>
    <row r="227" ht="15.75" customHeight="1">
      <c r="A227" s="17"/>
      <c r="B227" s="17"/>
      <c r="C227" s="17"/>
      <c r="D227" s="17"/>
      <c r="E227" s="17"/>
      <c r="F227" s="17"/>
      <c r="G227" s="17"/>
      <c r="H227" s="17"/>
      <c r="I227" s="17"/>
      <c r="J227" s="17"/>
      <c r="K227" s="17"/>
      <c r="L227" s="17"/>
      <c r="M227" s="17"/>
      <c r="N227" s="17"/>
      <c r="O227" s="17"/>
      <c r="P227" s="17"/>
      <c r="Q227" s="17"/>
      <c r="R227" s="17"/>
      <c r="S227" s="17"/>
      <c r="T227" s="17"/>
      <c r="U227" s="17"/>
      <c r="V227" s="17"/>
      <c r="W227" s="17"/>
      <c r="X227" s="17"/>
      <c r="Y227" s="17"/>
      <c r="Z227" s="17"/>
    </row>
    <row r="228" ht="15.75" customHeight="1">
      <c r="A228" s="17"/>
      <c r="B228" s="17"/>
      <c r="C228" s="17"/>
      <c r="D228" s="17"/>
      <c r="E228" s="17"/>
      <c r="F228" s="17"/>
      <c r="G228" s="17"/>
      <c r="H228" s="17"/>
      <c r="I228" s="17"/>
      <c r="J228" s="17"/>
      <c r="K228" s="17"/>
      <c r="L228" s="17"/>
      <c r="M228" s="17"/>
      <c r="N228" s="17"/>
      <c r="O228" s="17"/>
      <c r="P228" s="17"/>
      <c r="Q228" s="17"/>
      <c r="R228" s="17"/>
      <c r="S228" s="17"/>
      <c r="T228" s="17"/>
      <c r="U228" s="17"/>
      <c r="V228" s="17"/>
      <c r="W228" s="17"/>
      <c r="X228" s="17"/>
      <c r="Y228" s="17"/>
      <c r="Z228" s="17"/>
    </row>
    <row r="229" ht="15.75" customHeight="1">
      <c r="A229" s="17"/>
      <c r="B229" s="17"/>
      <c r="C229" s="17"/>
      <c r="D229" s="17"/>
      <c r="E229" s="17"/>
      <c r="F229" s="17"/>
      <c r="G229" s="17"/>
      <c r="H229" s="17"/>
      <c r="I229" s="17"/>
      <c r="J229" s="17"/>
      <c r="K229" s="17"/>
      <c r="L229" s="17"/>
      <c r="M229" s="17"/>
      <c r="N229" s="17"/>
      <c r="O229" s="17"/>
      <c r="P229" s="17"/>
      <c r="Q229" s="17"/>
      <c r="R229" s="17"/>
      <c r="S229" s="17"/>
      <c r="T229" s="17"/>
      <c r="U229" s="17"/>
      <c r="V229" s="17"/>
      <c r="W229" s="17"/>
      <c r="X229" s="17"/>
      <c r="Y229" s="17"/>
      <c r="Z229" s="17"/>
    </row>
    <row r="230" ht="15.75" customHeight="1">
      <c r="A230" s="17"/>
      <c r="B230" s="17"/>
      <c r="C230" s="17"/>
      <c r="D230" s="17"/>
      <c r="E230" s="17"/>
      <c r="F230" s="17"/>
      <c r="G230" s="17"/>
      <c r="H230" s="17"/>
      <c r="I230" s="17"/>
      <c r="J230" s="17"/>
      <c r="K230" s="17"/>
      <c r="L230" s="17"/>
      <c r="M230" s="17"/>
      <c r="N230" s="17"/>
      <c r="O230" s="17"/>
      <c r="P230" s="17"/>
      <c r="Q230" s="17"/>
      <c r="R230" s="17"/>
      <c r="S230" s="17"/>
      <c r="T230" s="17"/>
      <c r="U230" s="17"/>
      <c r="V230" s="17"/>
      <c r="W230" s="17"/>
      <c r="X230" s="17"/>
      <c r="Y230" s="17"/>
      <c r="Z230" s="17"/>
    </row>
    <row r="231" ht="15.75" customHeight="1">
      <c r="A231" s="17"/>
      <c r="B231" s="17"/>
      <c r="C231" s="17"/>
      <c r="D231" s="17"/>
      <c r="E231" s="17"/>
      <c r="F231" s="17"/>
      <c r="G231" s="17"/>
      <c r="H231" s="17"/>
      <c r="I231" s="17"/>
      <c r="J231" s="17"/>
      <c r="K231" s="17"/>
      <c r="L231" s="17"/>
      <c r="M231" s="17"/>
      <c r="N231" s="17"/>
      <c r="O231" s="17"/>
      <c r="P231" s="17"/>
      <c r="Q231" s="17"/>
      <c r="R231" s="17"/>
      <c r="S231" s="17"/>
      <c r="T231" s="17"/>
      <c r="U231" s="17"/>
      <c r="V231" s="17"/>
      <c r="W231" s="17"/>
      <c r="X231" s="17"/>
      <c r="Y231" s="17"/>
      <c r="Z231" s="17"/>
    </row>
    <row r="232" ht="15.75" customHeight="1">
      <c r="A232" s="17"/>
      <c r="B232" s="17"/>
      <c r="C232" s="17"/>
      <c r="D232" s="17"/>
      <c r="E232" s="17"/>
      <c r="F232" s="17"/>
      <c r="G232" s="17"/>
      <c r="H232" s="17"/>
      <c r="I232" s="17"/>
      <c r="J232" s="17"/>
      <c r="K232" s="17"/>
      <c r="L232" s="17"/>
      <c r="M232" s="17"/>
      <c r="N232" s="17"/>
      <c r="O232" s="17"/>
      <c r="P232" s="17"/>
      <c r="Q232" s="17"/>
      <c r="R232" s="17"/>
      <c r="S232" s="17"/>
      <c r="T232" s="17"/>
      <c r="U232" s="17"/>
      <c r="V232" s="17"/>
      <c r="W232" s="17"/>
      <c r="X232" s="17"/>
      <c r="Y232" s="17"/>
      <c r="Z232" s="17"/>
    </row>
    <row r="233" ht="15.75" customHeight="1">
      <c r="A233" s="17"/>
      <c r="B233" s="17"/>
      <c r="C233" s="17"/>
      <c r="D233" s="17"/>
      <c r="E233" s="17"/>
      <c r="F233" s="17"/>
      <c r="G233" s="17"/>
      <c r="H233" s="17"/>
      <c r="I233" s="17"/>
      <c r="J233" s="17"/>
      <c r="K233" s="17"/>
      <c r="L233" s="17"/>
      <c r="M233" s="17"/>
      <c r="N233" s="17"/>
      <c r="O233" s="17"/>
      <c r="P233" s="17"/>
      <c r="Q233" s="17"/>
      <c r="R233" s="17"/>
      <c r="S233" s="17"/>
      <c r="T233" s="17"/>
      <c r="U233" s="17"/>
      <c r="V233" s="17"/>
      <c r="W233" s="17"/>
      <c r="X233" s="17"/>
      <c r="Y233" s="17"/>
      <c r="Z233" s="17"/>
    </row>
    <row r="234" ht="15.75" customHeight="1">
      <c r="A234" s="17"/>
      <c r="B234" s="17"/>
      <c r="C234" s="17"/>
      <c r="D234" s="17"/>
      <c r="E234" s="17"/>
      <c r="F234" s="17"/>
      <c r="G234" s="17"/>
      <c r="H234" s="17"/>
      <c r="I234" s="17"/>
      <c r="J234" s="17"/>
      <c r="K234" s="17"/>
      <c r="L234" s="17"/>
      <c r="M234" s="17"/>
      <c r="N234" s="17"/>
      <c r="O234" s="17"/>
      <c r="P234" s="17"/>
      <c r="Q234" s="17"/>
      <c r="R234" s="17"/>
      <c r="S234" s="17"/>
      <c r="T234" s="17"/>
      <c r="U234" s="17"/>
      <c r="V234" s="17"/>
      <c r="W234" s="17"/>
      <c r="X234" s="17"/>
      <c r="Y234" s="17"/>
      <c r="Z234" s="17"/>
    </row>
    <row r="235" ht="15.75" customHeight="1">
      <c r="A235" s="17"/>
      <c r="B235" s="17"/>
      <c r="C235" s="17"/>
      <c r="D235" s="17"/>
      <c r="E235" s="17"/>
      <c r="F235" s="17"/>
      <c r="G235" s="17"/>
      <c r="H235" s="17"/>
      <c r="I235" s="17"/>
      <c r="J235" s="17"/>
      <c r="K235" s="17"/>
      <c r="L235" s="17"/>
      <c r="M235" s="17"/>
      <c r="N235" s="17"/>
      <c r="O235" s="17"/>
      <c r="P235" s="17"/>
      <c r="Q235" s="17"/>
      <c r="R235" s="17"/>
      <c r="S235" s="17"/>
      <c r="T235" s="17"/>
      <c r="U235" s="17"/>
      <c r="V235" s="17"/>
      <c r="W235" s="17"/>
      <c r="X235" s="17"/>
      <c r="Y235" s="17"/>
      <c r="Z235" s="17"/>
    </row>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7">
    <mergeCell ref="C8:D9"/>
    <mergeCell ref="E8:G8"/>
    <mergeCell ref="K8:K9"/>
    <mergeCell ref="C10:D10"/>
    <mergeCell ref="E10:F10"/>
    <mergeCell ref="C11:D11"/>
    <mergeCell ref="E11:F11"/>
    <mergeCell ref="C15:J15"/>
    <mergeCell ref="C16:H16"/>
    <mergeCell ref="I16:J17"/>
    <mergeCell ref="C17:C18"/>
    <mergeCell ref="I18:J18"/>
    <mergeCell ref="I19:J19"/>
    <mergeCell ref="I20:J20"/>
    <mergeCell ref="C28:G28"/>
    <mergeCell ref="C29:G29"/>
    <mergeCell ref="C30:G30"/>
    <mergeCell ref="C31:H31"/>
    <mergeCell ref="H34:J34"/>
    <mergeCell ref="H35:J35"/>
    <mergeCell ref="I21:J21"/>
    <mergeCell ref="I22:J22"/>
    <mergeCell ref="I23:J23"/>
    <mergeCell ref="I24:J24"/>
    <mergeCell ref="I25:J25"/>
    <mergeCell ref="I26:J26"/>
    <mergeCell ref="I27:J27"/>
  </mergeCells>
  <printOptions/>
  <pageMargins bottom="0.75" footer="0.0" header="0.0" left="0.7" right="0.7" top="0.75"/>
  <pageSetup orientation="landscape"/>
  <colBreaks count="1" manualBreakCount="1">
    <brk id="12" man="1"/>
  </colBreak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sheetViews>
  <sheetFormatPr customHeight="1" defaultColWidth="14.43" defaultRowHeight="15.0"/>
  <cols>
    <col customWidth="1" min="1" max="1" width="11.0"/>
    <col customWidth="1" min="2" max="2" width="12.0"/>
    <col customWidth="1" min="3" max="3" width="13.29"/>
    <col customWidth="1" min="4" max="4" width="37.86"/>
    <col customWidth="1" min="5" max="5" width="17.71"/>
    <col customWidth="1" min="6" max="7" width="11.71"/>
    <col customWidth="1" min="8" max="8" width="13.57"/>
    <col customWidth="1" min="9" max="9" width="16.43"/>
    <col customWidth="1" min="10" max="13" width="11.71"/>
    <col customWidth="1" min="14" max="25" width="9.14"/>
  </cols>
  <sheetData>
    <row r="1">
      <c r="A1" s="18"/>
      <c r="B1" s="18"/>
      <c r="C1" s="18"/>
      <c r="D1" s="18"/>
      <c r="E1" s="239" t="s">
        <v>247</v>
      </c>
      <c r="F1" s="239"/>
      <c r="G1" s="239"/>
      <c r="H1" s="3"/>
      <c r="I1" s="3"/>
      <c r="J1" s="18"/>
      <c r="K1" s="18"/>
      <c r="L1" s="18"/>
      <c r="M1" s="18"/>
      <c r="N1" s="18"/>
      <c r="O1" s="18"/>
      <c r="P1" s="18"/>
      <c r="Q1" s="18"/>
      <c r="R1" s="18"/>
      <c r="S1" s="18"/>
      <c r="T1" s="18"/>
      <c r="U1" s="18"/>
      <c r="V1" s="18"/>
      <c r="W1" s="18"/>
      <c r="X1" s="18"/>
      <c r="Y1" s="18"/>
    </row>
    <row r="2">
      <c r="A2" s="18"/>
      <c r="B2" s="18"/>
      <c r="C2" s="57" t="s">
        <v>1</v>
      </c>
      <c r="D2" s="58" t="str">
        <f>'Overall CO attainment'!D3</f>
        <v>Data Structures Using _C</v>
      </c>
      <c r="E2" s="59"/>
      <c r="F2" s="18"/>
      <c r="G2" s="18"/>
      <c r="H2" s="18"/>
      <c r="I2" s="18"/>
      <c r="J2" s="18"/>
      <c r="K2" s="18"/>
      <c r="L2" s="18"/>
      <c r="M2" s="18"/>
      <c r="N2" s="18"/>
      <c r="O2" s="18"/>
      <c r="P2" s="18"/>
      <c r="Q2" s="18"/>
      <c r="R2" s="18"/>
      <c r="S2" s="18"/>
      <c r="T2" s="18"/>
      <c r="U2" s="18"/>
      <c r="V2" s="18"/>
      <c r="W2" s="18"/>
      <c r="X2" s="18"/>
      <c r="Y2" s="18"/>
    </row>
    <row r="3">
      <c r="A3" s="18"/>
      <c r="B3" s="18"/>
      <c r="C3" s="57" t="s">
        <v>3</v>
      </c>
      <c r="D3" s="58">
        <f>'Overall CO attainment'!D4</f>
        <v>22317</v>
      </c>
      <c r="E3" s="59"/>
      <c r="F3" s="18"/>
      <c r="G3" s="18"/>
      <c r="H3" s="18"/>
      <c r="I3" s="18"/>
      <c r="J3" s="18"/>
      <c r="K3" s="18"/>
      <c r="L3" s="18"/>
      <c r="M3" s="18"/>
      <c r="N3" s="18"/>
      <c r="O3" s="18"/>
      <c r="P3" s="18"/>
      <c r="Q3" s="18"/>
      <c r="R3" s="18"/>
      <c r="S3" s="18"/>
      <c r="T3" s="18"/>
      <c r="U3" s="18"/>
      <c r="V3" s="18"/>
      <c r="W3" s="18"/>
      <c r="X3" s="18"/>
      <c r="Y3" s="18"/>
    </row>
    <row r="4">
      <c r="A4" s="18"/>
      <c r="B4" s="18"/>
      <c r="C4" s="57" t="s">
        <v>4</v>
      </c>
      <c r="D4" s="58" t="str">
        <f>'Overall CO attainment'!D5</f>
        <v>3rd SEM(CO3I SCHEME)</v>
      </c>
      <c r="E4" s="59"/>
      <c r="F4" s="18"/>
      <c r="G4" s="18"/>
      <c r="H4" s="18"/>
      <c r="I4" s="18"/>
      <c r="J4" s="18"/>
      <c r="K4" s="18"/>
      <c r="L4" s="18"/>
      <c r="M4" s="18"/>
      <c r="N4" s="18"/>
      <c r="O4" s="18"/>
      <c r="P4" s="18"/>
      <c r="Q4" s="18"/>
      <c r="R4" s="18"/>
      <c r="S4" s="18"/>
      <c r="T4" s="18"/>
      <c r="U4" s="18"/>
      <c r="V4" s="18"/>
      <c r="W4" s="18"/>
      <c r="X4" s="18"/>
      <c r="Y4" s="18"/>
    </row>
    <row r="5">
      <c r="A5" s="18"/>
      <c r="B5" s="18"/>
      <c r="C5" s="57" t="s">
        <v>159</v>
      </c>
      <c r="D5" s="58" t="str">
        <f>'Overall CO attainment'!D6</f>
        <v>2023-24</v>
      </c>
      <c r="E5" s="59"/>
      <c r="F5" s="18"/>
      <c r="G5" s="18"/>
      <c r="H5" s="18"/>
      <c r="I5" s="18"/>
      <c r="J5" s="18"/>
      <c r="K5" s="18"/>
      <c r="L5" s="18"/>
      <c r="M5" s="18"/>
      <c r="N5" s="18"/>
      <c r="O5" s="18"/>
      <c r="P5" s="18"/>
      <c r="Q5" s="18"/>
      <c r="R5" s="18"/>
      <c r="S5" s="18"/>
      <c r="T5" s="18"/>
      <c r="U5" s="18"/>
      <c r="V5" s="18"/>
      <c r="W5" s="18"/>
      <c r="X5" s="18"/>
      <c r="Y5" s="18"/>
    </row>
    <row r="6">
      <c r="A6" s="18"/>
      <c r="B6" s="18"/>
      <c r="C6" s="18"/>
      <c r="D6" s="163"/>
      <c r="E6" s="18"/>
      <c r="F6" s="18"/>
      <c r="G6" s="18"/>
      <c r="H6" s="18"/>
      <c r="I6" s="18"/>
      <c r="J6" s="18"/>
      <c r="K6" s="18"/>
      <c r="L6" s="18"/>
      <c r="M6" s="18"/>
      <c r="N6" s="18"/>
      <c r="O6" s="18"/>
      <c r="P6" s="18"/>
      <c r="Q6" s="18"/>
      <c r="R6" s="18"/>
      <c r="S6" s="18"/>
      <c r="T6" s="18"/>
      <c r="U6" s="18"/>
      <c r="V6" s="18"/>
      <c r="W6" s="18"/>
      <c r="X6" s="18"/>
      <c r="Y6" s="18"/>
    </row>
    <row r="7">
      <c r="A7" s="18"/>
      <c r="B7" s="16"/>
      <c r="C7" s="17"/>
      <c r="D7" s="18"/>
      <c r="E7" s="17"/>
      <c r="F7" s="17"/>
      <c r="G7" s="17"/>
      <c r="H7" s="17"/>
      <c r="I7" s="17"/>
      <c r="J7" s="17"/>
      <c r="K7" s="17"/>
      <c r="L7" s="17"/>
      <c r="M7" s="17"/>
      <c r="N7" s="17"/>
      <c r="O7" s="17"/>
      <c r="P7" s="18"/>
      <c r="Q7" s="18"/>
      <c r="R7" s="18"/>
      <c r="S7" s="18"/>
      <c r="T7" s="18"/>
      <c r="U7" s="18"/>
      <c r="V7" s="18"/>
      <c r="W7" s="18"/>
      <c r="X7" s="18"/>
      <c r="Y7" s="18"/>
    </row>
    <row r="8">
      <c r="A8" s="18"/>
      <c r="B8" s="19" t="s">
        <v>248</v>
      </c>
      <c r="C8" s="18"/>
      <c r="D8" s="18"/>
      <c r="E8" s="18"/>
      <c r="F8" s="18"/>
      <c r="G8" s="18"/>
      <c r="H8" s="18"/>
      <c r="I8" s="18"/>
      <c r="J8" s="18"/>
      <c r="K8" s="18"/>
      <c r="L8" s="18"/>
      <c r="M8" s="18"/>
      <c r="N8" s="18"/>
      <c r="O8" s="18"/>
      <c r="P8" s="18"/>
      <c r="Q8" s="18"/>
      <c r="R8" s="18"/>
      <c r="S8" s="18"/>
      <c r="T8" s="18"/>
      <c r="U8" s="18"/>
      <c r="V8" s="18"/>
      <c r="W8" s="18"/>
      <c r="X8" s="18"/>
      <c r="Y8" s="18"/>
    </row>
    <row r="9">
      <c r="A9" s="18"/>
      <c r="B9" s="20" t="s">
        <v>21</v>
      </c>
      <c r="C9" s="21" t="s">
        <v>22</v>
      </c>
      <c r="D9" s="22"/>
      <c r="E9" s="23" t="s">
        <v>23</v>
      </c>
      <c r="F9" s="24"/>
      <c r="G9" s="24"/>
      <c r="H9" s="24"/>
      <c r="I9" s="24"/>
      <c r="J9" s="24"/>
      <c r="K9" s="25"/>
      <c r="L9" s="23" t="s">
        <v>24</v>
      </c>
      <c r="M9" s="25"/>
      <c r="N9" s="18"/>
      <c r="O9" s="18"/>
      <c r="P9" s="18"/>
      <c r="Q9" s="18"/>
      <c r="R9" s="18"/>
      <c r="S9" s="18"/>
      <c r="T9" s="18"/>
      <c r="U9" s="18"/>
      <c r="V9" s="18"/>
      <c r="W9" s="18"/>
      <c r="X9" s="18"/>
      <c r="Y9" s="18"/>
    </row>
    <row r="10" ht="15.75" customHeight="1">
      <c r="A10" s="18"/>
      <c r="B10" s="26"/>
      <c r="C10" s="27"/>
      <c r="D10" s="28"/>
      <c r="E10" s="29" t="s">
        <v>25</v>
      </c>
      <c r="F10" s="29" t="s">
        <v>26</v>
      </c>
      <c r="G10" s="29" t="s">
        <v>27</v>
      </c>
      <c r="H10" s="29" t="s">
        <v>28</v>
      </c>
      <c r="I10" s="29" t="s">
        <v>29</v>
      </c>
      <c r="J10" s="29" t="s">
        <v>30</v>
      </c>
      <c r="K10" s="29" t="s">
        <v>31</v>
      </c>
      <c r="L10" s="29" t="s">
        <v>32</v>
      </c>
      <c r="M10" s="29" t="s">
        <v>33</v>
      </c>
      <c r="N10" s="18"/>
      <c r="O10" s="18"/>
      <c r="P10" s="18"/>
      <c r="Q10" s="18"/>
      <c r="R10" s="18"/>
      <c r="S10" s="18"/>
      <c r="T10" s="18"/>
      <c r="U10" s="18"/>
      <c r="V10" s="18"/>
      <c r="W10" s="18"/>
      <c r="X10" s="18"/>
      <c r="Y10" s="18"/>
    </row>
    <row r="11" ht="119.25" customHeight="1">
      <c r="A11" s="18"/>
      <c r="B11" s="30"/>
      <c r="C11" s="31"/>
      <c r="D11" s="32"/>
      <c r="E11" s="33" t="s">
        <v>34</v>
      </c>
      <c r="F11" s="33" t="s">
        <v>35</v>
      </c>
      <c r="G11" s="33" t="s">
        <v>36</v>
      </c>
      <c r="H11" s="33" t="s">
        <v>37</v>
      </c>
      <c r="I11" s="33" t="s">
        <v>38</v>
      </c>
      <c r="J11" s="33" t="s">
        <v>39</v>
      </c>
      <c r="K11" s="33" t="s">
        <v>40</v>
      </c>
      <c r="L11" s="33" t="s">
        <v>41</v>
      </c>
      <c r="M11" s="33" t="s">
        <v>42</v>
      </c>
      <c r="N11" s="18"/>
      <c r="O11" s="18"/>
      <c r="P11" s="18"/>
      <c r="Q11" s="18"/>
      <c r="R11" s="18"/>
      <c r="S11" s="18"/>
      <c r="T11" s="18"/>
      <c r="U11" s="18"/>
      <c r="V11" s="18"/>
      <c r="W11" s="18"/>
      <c r="X11" s="18"/>
      <c r="Y11" s="18"/>
    </row>
    <row r="12" ht="40.5" customHeight="1">
      <c r="A12" s="18"/>
      <c r="B12" s="34">
        <f>'PO Set Target attain level'!B20</f>
        <v>1</v>
      </c>
      <c r="C12" s="35" t="str">
        <f>'PO Set Target attain level'!C20</f>
        <v>CO1</v>
      </c>
      <c r="D12" s="36" t="str">
        <f>'PO Set Target attain level'!D20</f>
        <v>Perform basic operations on arrays</v>
      </c>
      <c r="E12" s="346">
        <f>'PO Set Target attain level'!E20</f>
        <v>3</v>
      </c>
      <c r="F12" s="346">
        <f>'PO Set Target attain level'!F20</f>
        <v>2</v>
      </c>
      <c r="G12" s="346">
        <f>'PO Set Target attain level'!G20</f>
        <v>2</v>
      </c>
      <c r="H12" s="346">
        <f>'PO Set Target attain level'!H20</f>
        <v>1</v>
      </c>
      <c r="I12" s="346">
        <f>'PO Set Target attain level'!I20</f>
        <v>1</v>
      </c>
      <c r="J12" s="346" t="str">
        <f>'PO Set Target attain level'!J20</f>
        <v>-</v>
      </c>
      <c r="K12" s="346" t="str">
        <f>'PO Set Target attain level'!K20</f>
        <v>-</v>
      </c>
      <c r="L12" s="346">
        <f>'PO Set Target attain level'!L20</f>
        <v>3</v>
      </c>
      <c r="M12" s="346">
        <f>'PO Set Target attain level'!M20</f>
        <v>1</v>
      </c>
      <c r="N12" s="18"/>
      <c r="O12" s="18"/>
      <c r="P12" s="18"/>
      <c r="Q12" s="18"/>
      <c r="R12" s="18"/>
      <c r="S12" s="18"/>
      <c r="T12" s="18"/>
      <c r="U12" s="18"/>
      <c r="V12" s="18"/>
      <c r="W12" s="18"/>
      <c r="X12" s="18"/>
      <c r="Y12" s="18"/>
    </row>
    <row r="13" ht="40.5" customHeight="1">
      <c r="A13" s="18"/>
      <c r="B13" s="34">
        <f>'PO Set Target attain level'!B21</f>
        <v>2</v>
      </c>
      <c r="C13" s="35" t="str">
        <f>'PO Set Target attain level'!C21</f>
        <v>CO2</v>
      </c>
      <c r="D13" s="38" t="str">
        <f>'PO Set Target attain level'!D21</f>
        <v> Apply different searching and sorting techniques.</v>
      </c>
      <c r="E13" s="346">
        <f>'PO Set Target attain level'!E21</f>
        <v>3</v>
      </c>
      <c r="F13" s="346">
        <f>'PO Set Target attain level'!F21</f>
        <v>3</v>
      </c>
      <c r="G13" s="346">
        <f>'PO Set Target attain level'!G21</f>
        <v>3</v>
      </c>
      <c r="H13" s="346">
        <f>'PO Set Target attain level'!H21</f>
        <v>2</v>
      </c>
      <c r="I13" s="346">
        <f>'PO Set Target attain level'!I21</f>
        <v>2</v>
      </c>
      <c r="J13" s="346" t="str">
        <f>'PO Set Target attain level'!J21</f>
        <v>-</v>
      </c>
      <c r="K13" s="346" t="str">
        <f>'PO Set Target attain level'!K21</f>
        <v>-</v>
      </c>
      <c r="L13" s="346">
        <f>'PO Set Target attain level'!L21</f>
        <v>3</v>
      </c>
      <c r="M13" s="346">
        <f>'PO Set Target attain level'!M21</f>
        <v>2</v>
      </c>
      <c r="N13" s="18"/>
      <c r="O13" s="18"/>
      <c r="P13" s="18"/>
      <c r="Q13" s="18"/>
      <c r="R13" s="18"/>
      <c r="S13" s="18"/>
      <c r="T13" s="18"/>
      <c r="U13" s="18"/>
      <c r="V13" s="18"/>
      <c r="W13" s="18"/>
      <c r="X13" s="18"/>
      <c r="Y13" s="18"/>
    </row>
    <row r="14" ht="40.5" customHeight="1">
      <c r="A14" s="18"/>
      <c r="B14" s="34">
        <f>'PO Set Target attain level'!B22</f>
        <v>3</v>
      </c>
      <c r="C14" s="35" t="str">
        <f>'PO Set Target attain level'!C22</f>
        <v>CO3</v>
      </c>
      <c r="D14" s="38" t="str">
        <f>'PO Set Target attain level'!D22</f>
        <v>Implement basic operations on stack and queue using array representation</v>
      </c>
      <c r="E14" s="346">
        <f>'PO Set Target attain level'!E22</f>
        <v>3</v>
      </c>
      <c r="F14" s="346">
        <f>'PO Set Target attain level'!F22</f>
        <v>3</v>
      </c>
      <c r="G14" s="346">
        <f>'PO Set Target attain level'!G22</f>
        <v>3</v>
      </c>
      <c r="H14" s="346">
        <f>'PO Set Target attain level'!H22</f>
        <v>2</v>
      </c>
      <c r="I14" s="346">
        <f>'PO Set Target attain level'!I22</f>
        <v>2</v>
      </c>
      <c r="J14" s="346" t="str">
        <f>'PO Set Target attain level'!J22</f>
        <v>-</v>
      </c>
      <c r="K14" s="346" t="str">
        <f>'PO Set Target attain level'!K22</f>
        <v>-</v>
      </c>
      <c r="L14" s="346">
        <f>'PO Set Target attain level'!L22</f>
        <v>3</v>
      </c>
      <c r="M14" s="346">
        <f>'PO Set Target attain level'!M22</f>
        <v>2</v>
      </c>
      <c r="N14" s="18"/>
      <c r="O14" s="18"/>
      <c r="P14" s="18"/>
      <c r="Q14" s="18"/>
      <c r="R14" s="18"/>
      <c r="S14" s="18"/>
      <c r="T14" s="18"/>
      <c r="U14" s="18"/>
      <c r="V14" s="18"/>
      <c r="W14" s="18"/>
      <c r="X14" s="18"/>
      <c r="Y14" s="18"/>
    </row>
    <row r="15" ht="40.5" customHeight="1">
      <c r="A15" s="18"/>
      <c r="B15" s="34">
        <f>'PO Set Target attain level'!B23</f>
        <v>4</v>
      </c>
      <c r="C15" s="35" t="str">
        <f>'PO Set Target attain level'!C23</f>
        <v>CO4</v>
      </c>
      <c r="D15" s="38" t="str">
        <f>'PO Set Target attain level'!D23</f>
        <v> Implement basic operations on Linked List</v>
      </c>
      <c r="E15" s="346">
        <f>'PO Set Target attain level'!E23</f>
        <v>3</v>
      </c>
      <c r="F15" s="346">
        <f>'PO Set Target attain level'!F23</f>
        <v>3</v>
      </c>
      <c r="G15" s="346">
        <f>'PO Set Target attain level'!G23</f>
        <v>3</v>
      </c>
      <c r="H15" s="346">
        <f>'PO Set Target attain level'!H23</f>
        <v>2</v>
      </c>
      <c r="I15" s="346">
        <f>'PO Set Target attain level'!I23</f>
        <v>2</v>
      </c>
      <c r="J15" s="346" t="str">
        <f>'PO Set Target attain level'!J23</f>
        <v>-</v>
      </c>
      <c r="K15" s="346" t="str">
        <f>'PO Set Target attain level'!K23</f>
        <v>-</v>
      </c>
      <c r="L15" s="346">
        <f>'PO Set Target attain level'!L23</f>
        <v>3</v>
      </c>
      <c r="M15" s="346">
        <f>'PO Set Target attain level'!M23</f>
        <v>2</v>
      </c>
      <c r="N15" s="18"/>
      <c r="O15" s="18"/>
      <c r="P15" s="18"/>
      <c r="Q15" s="18"/>
      <c r="R15" s="18"/>
      <c r="S15" s="18"/>
      <c r="T15" s="18"/>
      <c r="U15" s="18"/>
      <c r="V15" s="18"/>
      <c r="W15" s="18"/>
      <c r="X15" s="18"/>
      <c r="Y15" s="18"/>
    </row>
    <row r="16" ht="40.5" customHeight="1">
      <c r="A16" s="18"/>
      <c r="B16" s="34">
        <f>'PO Set Target attain level'!B24</f>
        <v>5</v>
      </c>
      <c r="C16" s="35" t="str">
        <f>'PO Set Target attain level'!C24</f>
        <v>CO5</v>
      </c>
      <c r="D16" s="38" t="str">
        <f>'PO Set Target attain level'!D24</f>
        <v>Implement program to create and traverse tree to solve problems</v>
      </c>
      <c r="E16" s="346"/>
      <c r="F16" s="346">
        <f>'PO Set Target attain level'!F24</f>
        <v>3</v>
      </c>
      <c r="G16" s="346">
        <f>'PO Set Target attain level'!G24</f>
        <v>3</v>
      </c>
      <c r="H16" s="346">
        <f>'PO Set Target attain level'!H24</f>
        <v>3</v>
      </c>
      <c r="I16" s="346">
        <f>'PO Set Target attain level'!I24</f>
        <v>2</v>
      </c>
      <c r="J16" s="346" t="str">
        <f>'PO Set Target attain level'!J24</f>
        <v>-</v>
      </c>
      <c r="K16" s="346" t="str">
        <f>'PO Set Target attain level'!K24</f>
        <v>-</v>
      </c>
      <c r="L16" s="346">
        <f>'PO Set Target attain level'!L24</f>
        <v>3</v>
      </c>
      <c r="M16" s="346">
        <f>'PO Set Target attain level'!M24</f>
        <v>2</v>
      </c>
      <c r="N16" s="18"/>
      <c r="O16" s="18"/>
      <c r="P16" s="18"/>
      <c r="Q16" s="18"/>
      <c r="R16" s="18"/>
      <c r="S16" s="18"/>
      <c r="T16" s="18"/>
      <c r="U16" s="18"/>
      <c r="V16" s="18"/>
      <c r="W16" s="18"/>
      <c r="X16" s="18"/>
      <c r="Y16" s="18"/>
    </row>
    <row r="17" ht="33.75" customHeight="1">
      <c r="A17" s="18"/>
      <c r="B17" s="44" t="s">
        <v>249</v>
      </c>
      <c r="C17" s="24"/>
      <c r="D17" s="25"/>
      <c r="E17" s="35">
        <f t="shared" ref="E17:M17" si="1">IFERROR(AVERAGE(E12:E16),0)</f>
        <v>3</v>
      </c>
      <c r="F17" s="35">
        <f t="shared" si="1"/>
        <v>2.8</v>
      </c>
      <c r="G17" s="35">
        <f t="shared" si="1"/>
        <v>2.8</v>
      </c>
      <c r="H17" s="35">
        <f t="shared" si="1"/>
        <v>2</v>
      </c>
      <c r="I17" s="35">
        <f t="shared" si="1"/>
        <v>1.8</v>
      </c>
      <c r="J17" s="35">
        <f t="shared" si="1"/>
        <v>0</v>
      </c>
      <c r="K17" s="35">
        <f t="shared" si="1"/>
        <v>0</v>
      </c>
      <c r="L17" s="35">
        <f t="shared" si="1"/>
        <v>3</v>
      </c>
      <c r="M17" s="35">
        <f t="shared" si="1"/>
        <v>1.8</v>
      </c>
      <c r="N17" s="18"/>
      <c r="O17" s="18"/>
      <c r="P17" s="18"/>
      <c r="Q17" s="18"/>
      <c r="R17" s="18"/>
      <c r="S17" s="18"/>
      <c r="T17" s="18"/>
      <c r="U17" s="18"/>
      <c r="V17" s="18"/>
      <c r="W17" s="18"/>
      <c r="X17" s="18"/>
      <c r="Y17" s="18"/>
    </row>
    <row r="18" ht="28.5" customHeight="1">
      <c r="A18" s="18"/>
      <c r="B18" s="45" t="s">
        <v>250</v>
      </c>
      <c r="C18" s="24"/>
      <c r="D18" s="25"/>
      <c r="E18" s="347">
        <f>E17*'Overall CO attainment'!I31/3</f>
        <v>2.710666667</v>
      </c>
      <c r="F18" s="347">
        <f>F17*'Overall CO attainment'!I31/3</f>
        <v>2.529955556</v>
      </c>
      <c r="G18" s="347">
        <f>G17*'Overall CO attainment'!I31/3</f>
        <v>2.529955556</v>
      </c>
      <c r="H18" s="347">
        <f>H17*'Overall CO attainment'!I31/3</f>
        <v>1.807111111</v>
      </c>
      <c r="I18" s="347">
        <f>I17*'Overall CO attainment'!I31/3</f>
        <v>1.6264</v>
      </c>
      <c r="J18" s="347">
        <f>J17*'Overall CO attainment'!I31/3</f>
        <v>0</v>
      </c>
      <c r="K18" s="347">
        <f>K17*'Overall CO attainment'!I31/3</f>
        <v>0</v>
      </c>
      <c r="L18" s="347">
        <f>L17*'Overall CO attainment'!I31/3</f>
        <v>2.710666667</v>
      </c>
      <c r="M18" s="347">
        <f>M17*'Overall CO attainment'!I31/3</f>
        <v>1.6264</v>
      </c>
      <c r="N18" s="18"/>
      <c r="O18" s="18"/>
      <c r="P18" s="18"/>
      <c r="Q18" s="18"/>
      <c r="R18" s="18"/>
      <c r="S18" s="18"/>
      <c r="T18" s="18"/>
      <c r="U18" s="18"/>
      <c r="V18" s="18"/>
      <c r="W18" s="18"/>
      <c r="X18" s="18"/>
      <c r="Y18" s="18"/>
    </row>
    <row r="19" ht="15.75" hidden="1" customHeight="1">
      <c r="A19" s="18"/>
      <c r="B19" s="246" t="s">
        <v>211</v>
      </c>
      <c r="C19" s="24"/>
      <c r="D19" s="25"/>
      <c r="E19" s="247">
        <f t="shared" ref="E19:M19" si="2">ROUNDUP((E18/3)*100,2)</f>
        <v>90.36</v>
      </c>
      <c r="F19" s="247">
        <f t="shared" si="2"/>
        <v>84.34</v>
      </c>
      <c r="G19" s="247">
        <f t="shared" si="2"/>
        <v>84.34</v>
      </c>
      <c r="H19" s="247">
        <f t="shared" si="2"/>
        <v>60.24</v>
      </c>
      <c r="I19" s="247">
        <f t="shared" si="2"/>
        <v>54.22</v>
      </c>
      <c r="J19" s="247">
        <f t="shared" si="2"/>
        <v>0</v>
      </c>
      <c r="K19" s="247">
        <f t="shared" si="2"/>
        <v>0</v>
      </c>
      <c r="L19" s="247">
        <f t="shared" si="2"/>
        <v>90.36</v>
      </c>
      <c r="M19" s="247">
        <f t="shared" si="2"/>
        <v>54.22</v>
      </c>
      <c r="N19" s="18"/>
      <c r="O19" s="18"/>
      <c r="P19" s="18"/>
      <c r="Q19" s="18"/>
      <c r="R19" s="18"/>
      <c r="S19" s="18"/>
      <c r="T19" s="18"/>
      <c r="U19" s="18"/>
      <c r="V19" s="18"/>
      <c r="W19" s="18"/>
      <c r="X19" s="18"/>
      <c r="Y19" s="18"/>
    </row>
    <row r="20" ht="15.75" customHeight="1">
      <c r="A20" s="18"/>
      <c r="B20" s="18"/>
      <c r="C20" s="18"/>
      <c r="D20" s="18"/>
      <c r="E20" s="18"/>
      <c r="F20" s="18"/>
      <c r="G20" s="18"/>
      <c r="H20" s="18"/>
      <c r="I20" s="18"/>
      <c r="J20" s="18"/>
      <c r="K20" s="18"/>
      <c r="L20" s="18"/>
      <c r="M20" s="18"/>
      <c r="N20" s="18"/>
      <c r="O20" s="18"/>
      <c r="P20" s="18"/>
      <c r="Q20" s="18"/>
      <c r="R20" s="18"/>
      <c r="S20" s="18"/>
      <c r="T20" s="18"/>
      <c r="U20" s="18"/>
      <c r="V20" s="18"/>
      <c r="W20" s="18"/>
      <c r="X20" s="18"/>
      <c r="Y20" s="18"/>
    </row>
    <row r="21" ht="15.75" customHeight="1">
      <c r="A21" s="18"/>
      <c r="B21" s="18"/>
      <c r="C21" s="18"/>
      <c r="D21" s="18"/>
      <c r="E21" s="348"/>
      <c r="F21" s="348"/>
      <c r="G21" s="348"/>
      <c r="H21" s="348"/>
      <c r="I21" s="348"/>
      <c r="J21" s="348"/>
      <c r="K21" s="348"/>
      <c r="L21" s="348"/>
      <c r="M21" s="348"/>
      <c r="N21" s="18"/>
      <c r="O21" s="18"/>
      <c r="P21" s="18"/>
      <c r="Q21" s="18"/>
      <c r="R21" s="18"/>
      <c r="S21" s="18"/>
      <c r="T21" s="18"/>
      <c r="U21" s="18"/>
      <c r="V21" s="18"/>
      <c r="W21" s="18"/>
      <c r="X21" s="18"/>
      <c r="Y21" s="18"/>
    </row>
    <row r="22" ht="15.75" customHeight="1">
      <c r="A22" s="18"/>
      <c r="B22" s="18"/>
      <c r="C22" s="18"/>
      <c r="D22" s="18"/>
      <c r="E22" s="18"/>
      <c r="F22" s="18"/>
      <c r="G22" s="18"/>
      <c r="H22" s="18"/>
      <c r="I22" s="18"/>
      <c r="J22" s="48" t="s">
        <v>47</v>
      </c>
      <c r="N22" s="18"/>
      <c r="O22" s="18"/>
      <c r="P22" s="18"/>
      <c r="Q22" s="18"/>
      <c r="R22" s="18"/>
      <c r="S22" s="18"/>
      <c r="T22" s="18"/>
      <c r="U22" s="18"/>
      <c r="V22" s="18"/>
      <c r="W22" s="18"/>
      <c r="X22" s="18"/>
      <c r="Y22" s="18"/>
    </row>
    <row r="23" ht="15.75" customHeight="1">
      <c r="A23" s="18"/>
      <c r="B23" s="18"/>
      <c r="C23" s="18"/>
      <c r="D23" s="18"/>
      <c r="E23" s="18"/>
      <c r="F23" s="18"/>
      <c r="G23" s="18"/>
      <c r="H23" s="18"/>
      <c r="I23" s="18"/>
      <c r="J23" s="50" t="s">
        <v>48</v>
      </c>
      <c r="K23" s="7"/>
      <c r="L23" s="7"/>
      <c r="M23" s="7"/>
      <c r="N23" s="49"/>
      <c r="O23" s="49"/>
      <c r="P23" s="18"/>
      <c r="Q23" s="18"/>
      <c r="R23" s="18"/>
      <c r="S23" s="18"/>
      <c r="T23" s="18"/>
      <c r="U23" s="18"/>
      <c r="V23" s="18"/>
      <c r="W23" s="18"/>
      <c r="X23" s="18"/>
      <c r="Y23" s="18"/>
    </row>
    <row r="24" ht="15.75" customHeight="1">
      <c r="A24" s="18"/>
      <c r="B24" s="18"/>
      <c r="C24" s="18"/>
      <c r="D24" s="18"/>
      <c r="E24" s="18"/>
      <c r="F24" s="18"/>
      <c r="G24" s="18"/>
      <c r="H24" s="18"/>
      <c r="I24" s="18"/>
      <c r="J24" s="18"/>
      <c r="K24" s="18"/>
      <c r="L24" s="18"/>
      <c r="M24" s="18"/>
      <c r="N24" s="18"/>
      <c r="O24" s="18"/>
      <c r="P24" s="18"/>
      <c r="Q24" s="18"/>
      <c r="R24" s="18"/>
      <c r="S24" s="18"/>
      <c r="T24" s="18"/>
      <c r="U24" s="18"/>
      <c r="V24" s="18"/>
      <c r="W24" s="18"/>
      <c r="X24" s="18"/>
      <c r="Y24" s="18"/>
    </row>
    <row r="25" ht="15.75" customHeight="1">
      <c r="A25" s="18"/>
      <c r="B25" s="18"/>
      <c r="C25" s="18"/>
      <c r="D25" s="18"/>
      <c r="E25" s="18"/>
      <c r="F25" s="18"/>
      <c r="G25" s="18"/>
      <c r="H25" s="18"/>
      <c r="I25" s="18"/>
      <c r="J25" s="18"/>
      <c r="K25" s="18"/>
      <c r="L25" s="18"/>
      <c r="M25" s="18"/>
      <c r="N25" s="18"/>
      <c r="O25" s="18"/>
      <c r="P25" s="18"/>
      <c r="Q25" s="18"/>
      <c r="R25" s="18"/>
      <c r="S25" s="18"/>
      <c r="T25" s="18"/>
      <c r="U25" s="18"/>
      <c r="V25" s="18"/>
      <c r="W25" s="18"/>
      <c r="X25" s="18"/>
      <c r="Y25" s="18"/>
    </row>
    <row r="26" ht="15.75" customHeight="1">
      <c r="A26" s="18"/>
      <c r="B26" s="18"/>
      <c r="C26" s="18"/>
      <c r="D26" s="18"/>
      <c r="E26" s="18"/>
      <c r="F26" s="18"/>
      <c r="G26" s="18"/>
      <c r="H26" s="18"/>
      <c r="I26" s="18"/>
      <c r="J26" s="18"/>
      <c r="K26" s="18"/>
      <c r="L26" s="18"/>
      <c r="M26" s="18"/>
      <c r="N26" s="18"/>
      <c r="O26" s="18"/>
      <c r="P26" s="18"/>
      <c r="Q26" s="18"/>
      <c r="R26" s="18"/>
      <c r="S26" s="18"/>
      <c r="T26" s="18"/>
      <c r="U26" s="18"/>
      <c r="V26" s="18"/>
      <c r="W26" s="18"/>
      <c r="X26" s="18"/>
      <c r="Y26" s="18"/>
    </row>
    <row r="27" ht="15.75" customHeight="1">
      <c r="A27" s="18"/>
      <c r="B27" s="18"/>
      <c r="C27" s="18"/>
      <c r="D27" s="18"/>
      <c r="E27" s="18"/>
      <c r="F27" s="18"/>
      <c r="G27" s="18"/>
      <c r="H27" s="18"/>
      <c r="I27" s="18"/>
      <c r="J27" s="18"/>
      <c r="K27" s="18"/>
      <c r="L27" s="18"/>
      <c r="M27" s="18"/>
      <c r="N27" s="18"/>
      <c r="O27" s="18"/>
      <c r="P27" s="18"/>
      <c r="Q27" s="18"/>
      <c r="R27" s="18"/>
      <c r="S27" s="18"/>
      <c r="T27" s="18"/>
      <c r="U27" s="18"/>
      <c r="V27" s="18"/>
      <c r="W27" s="18"/>
      <c r="X27" s="18"/>
      <c r="Y27" s="18"/>
    </row>
    <row r="28" ht="15.75" customHeight="1">
      <c r="A28" s="18"/>
      <c r="B28" s="18"/>
      <c r="C28" s="18"/>
      <c r="D28" s="18"/>
      <c r="E28" s="18"/>
      <c r="F28" s="18"/>
      <c r="G28" s="18"/>
      <c r="H28" s="18"/>
      <c r="I28" s="18"/>
      <c r="J28" s="18"/>
      <c r="K28" s="18"/>
      <c r="L28" s="18"/>
      <c r="M28" s="18"/>
      <c r="N28" s="18"/>
      <c r="O28" s="18"/>
      <c r="P28" s="18"/>
      <c r="Q28" s="18"/>
      <c r="R28" s="18"/>
      <c r="S28" s="18"/>
      <c r="T28" s="18"/>
      <c r="U28" s="18"/>
      <c r="V28" s="18"/>
      <c r="W28" s="18"/>
      <c r="X28" s="18"/>
      <c r="Y28" s="18"/>
    </row>
    <row r="29" ht="15.75" customHeight="1">
      <c r="A29" s="18"/>
      <c r="B29" s="18"/>
      <c r="C29" s="18"/>
      <c r="D29" s="18"/>
      <c r="E29" s="18"/>
      <c r="F29" s="18"/>
      <c r="G29" s="18"/>
      <c r="H29" s="18"/>
      <c r="I29" s="18"/>
      <c r="J29" s="18"/>
      <c r="K29" s="18"/>
      <c r="L29" s="18"/>
      <c r="M29" s="18"/>
      <c r="N29" s="18"/>
      <c r="O29" s="18"/>
      <c r="P29" s="18"/>
      <c r="Q29" s="18"/>
      <c r="R29" s="18"/>
      <c r="S29" s="18"/>
      <c r="T29" s="18"/>
      <c r="U29" s="18"/>
      <c r="V29" s="18"/>
      <c r="W29" s="18"/>
      <c r="X29" s="18"/>
      <c r="Y29" s="18"/>
    </row>
    <row r="30" ht="15.75" customHeight="1">
      <c r="A30" s="18"/>
      <c r="B30" s="18"/>
      <c r="C30" s="18"/>
      <c r="D30" s="18"/>
      <c r="E30" s="18"/>
      <c r="F30" s="18"/>
      <c r="G30" s="18"/>
      <c r="H30" s="17"/>
      <c r="I30" s="18"/>
      <c r="J30" s="18"/>
      <c r="K30" s="18"/>
      <c r="L30" s="18"/>
      <c r="M30" s="18"/>
      <c r="N30" s="18"/>
      <c r="O30" s="18"/>
      <c r="P30" s="18"/>
      <c r="Q30" s="18"/>
      <c r="R30" s="18"/>
      <c r="S30" s="18"/>
      <c r="T30" s="18"/>
      <c r="U30" s="18"/>
      <c r="V30" s="18"/>
      <c r="W30" s="18"/>
      <c r="X30" s="18"/>
      <c r="Y30" s="18"/>
    </row>
    <row r="31" ht="15.75" customHeight="1">
      <c r="A31" s="18"/>
      <c r="B31" s="18"/>
      <c r="C31" s="18"/>
      <c r="D31" s="18"/>
      <c r="E31" s="18"/>
      <c r="F31" s="18"/>
      <c r="G31" s="18"/>
      <c r="H31" s="17"/>
      <c r="I31" s="18"/>
      <c r="J31" s="18"/>
      <c r="K31" s="18"/>
      <c r="L31" s="18"/>
      <c r="M31" s="18"/>
      <c r="N31" s="18"/>
      <c r="O31" s="18"/>
      <c r="P31" s="18"/>
      <c r="Q31" s="18"/>
      <c r="R31" s="18"/>
      <c r="S31" s="18"/>
      <c r="T31" s="18"/>
      <c r="U31" s="18"/>
      <c r="V31" s="18"/>
      <c r="W31" s="18"/>
      <c r="X31" s="18"/>
      <c r="Y31" s="18"/>
    </row>
    <row r="32" ht="15.75" customHeight="1">
      <c r="A32" s="18"/>
      <c r="B32" s="18"/>
      <c r="C32" s="18"/>
      <c r="D32" s="18"/>
      <c r="E32" s="18"/>
      <c r="F32" s="18"/>
      <c r="G32" s="18"/>
      <c r="H32" s="18"/>
      <c r="I32" s="18"/>
      <c r="J32" s="18"/>
      <c r="K32" s="18"/>
      <c r="L32" s="18"/>
      <c r="M32" s="18"/>
      <c r="N32" s="18"/>
      <c r="O32" s="18"/>
      <c r="P32" s="18"/>
      <c r="Q32" s="18"/>
      <c r="R32" s="18"/>
      <c r="S32" s="18"/>
      <c r="T32" s="18"/>
      <c r="U32" s="18"/>
      <c r="V32" s="18"/>
      <c r="W32" s="18"/>
      <c r="X32" s="18"/>
      <c r="Y32" s="18"/>
    </row>
    <row r="33" ht="15.75" customHeight="1">
      <c r="A33" s="18"/>
      <c r="B33" s="18"/>
      <c r="C33" s="18"/>
      <c r="D33" s="18"/>
      <c r="E33" s="18"/>
      <c r="F33" s="18"/>
      <c r="G33" s="18"/>
      <c r="H33" s="18"/>
      <c r="I33" s="18"/>
      <c r="J33" s="18"/>
      <c r="K33" s="18"/>
      <c r="L33" s="18"/>
      <c r="M33" s="18"/>
      <c r="N33" s="18"/>
      <c r="O33" s="18"/>
      <c r="P33" s="18"/>
      <c r="Q33" s="18"/>
      <c r="R33" s="18"/>
      <c r="S33" s="18"/>
      <c r="T33" s="18"/>
      <c r="U33" s="18"/>
      <c r="V33" s="18"/>
      <c r="W33" s="18"/>
      <c r="X33" s="18"/>
      <c r="Y33" s="18"/>
    </row>
    <row r="34" ht="15.75" customHeight="1">
      <c r="A34" s="18"/>
      <c r="B34" s="18"/>
      <c r="C34" s="18"/>
      <c r="D34" s="18"/>
      <c r="E34" s="18"/>
      <c r="F34" s="18"/>
      <c r="G34" s="18"/>
      <c r="H34" s="18"/>
      <c r="I34" s="18"/>
      <c r="J34" s="18"/>
      <c r="K34" s="18"/>
      <c r="L34" s="18"/>
      <c r="M34" s="18"/>
      <c r="N34" s="18"/>
      <c r="O34" s="18"/>
      <c r="P34" s="18"/>
      <c r="Q34" s="18"/>
      <c r="R34" s="18"/>
      <c r="S34" s="18"/>
      <c r="T34" s="18"/>
      <c r="U34" s="18"/>
      <c r="V34" s="18"/>
      <c r="W34" s="18"/>
      <c r="X34" s="18"/>
      <c r="Y34" s="18"/>
    </row>
    <row r="35" ht="15.75" customHeight="1">
      <c r="A35" s="18"/>
      <c r="B35" s="18"/>
      <c r="C35" s="18"/>
      <c r="D35" s="18"/>
      <c r="E35" s="18"/>
      <c r="F35" s="18"/>
      <c r="G35" s="18"/>
      <c r="H35" s="18"/>
      <c r="I35" s="18"/>
      <c r="J35" s="18"/>
      <c r="K35" s="18"/>
      <c r="L35" s="18"/>
      <c r="M35" s="18"/>
      <c r="N35" s="18"/>
      <c r="O35" s="18"/>
      <c r="P35" s="18"/>
      <c r="Q35" s="18"/>
      <c r="R35" s="18"/>
      <c r="S35" s="18"/>
      <c r="T35" s="18"/>
      <c r="U35" s="18"/>
      <c r="V35" s="18"/>
      <c r="W35" s="18"/>
      <c r="X35" s="18"/>
      <c r="Y35" s="18"/>
    </row>
    <row r="36" ht="15.75" customHeight="1">
      <c r="A36" s="18"/>
      <c r="B36" s="18"/>
      <c r="C36" s="18"/>
      <c r="D36" s="18"/>
      <c r="E36" s="18"/>
      <c r="F36" s="18"/>
      <c r="G36" s="18"/>
      <c r="H36" s="18"/>
      <c r="I36" s="18"/>
      <c r="J36" s="18"/>
      <c r="K36" s="18"/>
      <c r="L36" s="18"/>
      <c r="M36" s="18"/>
      <c r="N36" s="18"/>
      <c r="O36" s="18"/>
      <c r="P36" s="18"/>
      <c r="Q36" s="18"/>
      <c r="R36" s="18"/>
      <c r="S36" s="18"/>
      <c r="T36" s="18"/>
      <c r="U36" s="18"/>
      <c r="V36" s="18"/>
      <c r="W36" s="18"/>
      <c r="X36" s="18"/>
      <c r="Y36" s="18"/>
    </row>
    <row r="37" ht="15.75" customHeight="1">
      <c r="A37" s="18"/>
      <c r="B37" s="18"/>
      <c r="C37" s="18"/>
      <c r="D37" s="18"/>
      <c r="E37" s="18"/>
      <c r="F37" s="18"/>
      <c r="G37" s="18"/>
      <c r="H37" s="18"/>
      <c r="I37" s="18"/>
      <c r="J37" s="18"/>
      <c r="K37" s="18"/>
      <c r="L37" s="18"/>
      <c r="M37" s="18"/>
      <c r="N37" s="18"/>
      <c r="O37" s="18"/>
      <c r="P37" s="18"/>
      <c r="Q37" s="18"/>
      <c r="R37" s="18"/>
      <c r="S37" s="18"/>
      <c r="T37" s="18"/>
      <c r="U37" s="18"/>
      <c r="V37" s="18"/>
      <c r="W37" s="18"/>
      <c r="X37" s="18"/>
      <c r="Y37" s="18"/>
    </row>
    <row r="38" ht="15.75" customHeight="1">
      <c r="A38" s="18"/>
      <c r="B38" s="18"/>
      <c r="C38" s="18"/>
      <c r="D38" s="18"/>
      <c r="E38" s="18"/>
      <c r="F38" s="18"/>
      <c r="G38" s="18"/>
      <c r="H38" s="18"/>
      <c r="I38" s="18"/>
      <c r="J38" s="18"/>
      <c r="K38" s="18"/>
      <c r="L38" s="18"/>
      <c r="M38" s="18"/>
      <c r="N38" s="18"/>
      <c r="O38" s="18"/>
      <c r="P38" s="18"/>
      <c r="Q38" s="18"/>
      <c r="R38" s="18"/>
      <c r="S38" s="18"/>
      <c r="T38" s="18"/>
      <c r="U38" s="18"/>
      <c r="V38" s="18"/>
      <c r="W38" s="18"/>
      <c r="X38" s="18"/>
      <c r="Y38" s="18"/>
    </row>
    <row r="39" ht="15.75" customHeight="1">
      <c r="A39" s="18"/>
      <c r="B39" s="18"/>
      <c r="C39" s="18"/>
      <c r="D39" s="18"/>
      <c r="E39" s="18"/>
      <c r="F39" s="18"/>
      <c r="G39" s="18"/>
      <c r="H39" s="18"/>
      <c r="I39" s="18"/>
      <c r="J39" s="18"/>
      <c r="K39" s="18"/>
      <c r="L39" s="18"/>
      <c r="M39" s="18"/>
      <c r="N39" s="18"/>
      <c r="O39" s="18"/>
      <c r="P39" s="18"/>
      <c r="Q39" s="18"/>
      <c r="R39" s="18"/>
      <c r="S39" s="18"/>
      <c r="T39" s="18"/>
      <c r="U39" s="18"/>
      <c r="V39" s="18"/>
      <c r="W39" s="18"/>
      <c r="X39" s="18"/>
      <c r="Y39" s="18"/>
    </row>
    <row r="40" ht="15.75" customHeight="1">
      <c r="A40" s="18"/>
      <c r="B40" s="18"/>
      <c r="C40" s="18"/>
      <c r="D40" s="18"/>
      <c r="E40" s="18"/>
      <c r="F40" s="18"/>
      <c r="G40" s="18"/>
      <c r="H40" s="18"/>
      <c r="I40" s="18"/>
      <c r="J40" s="18"/>
      <c r="K40" s="18"/>
      <c r="L40" s="18"/>
      <c r="M40" s="18"/>
      <c r="N40" s="18"/>
      <c r="O40" s="18"/>
      <c r="P40" s="18"/>
      <c r="Q40" s="18"/>
      <c r="R40" s="18"/>
      <c r="S40" s="18"/>
      <c r="T40" s="18"/>
      <c r="U40" s="18"/>
      <c r="V40" s="18"/>
      <c r="W40" s="18"/>
      <c r="X40" s="18"/>
      <c r="Y40" s="18"/>
    </row>
    <row r="41" ht="15.75" customHeight="1">
      <c r="A41" s="18"/>
      <c r="B41" s="18"/>
      <c r="C41" s="18"/>
      <c r="D41" s="18"/>
      <c r="E41" s="18"/>
      <c r="F41" s="18"/>
      <c r="G41" s="18"/>
      <c r="H41" s="18"/>
      <c r="I41" s="18"/>
      <c r="J41" s="18"/>
      <c r="K41" s="18"/>
      <c r="L41" s="18"/>
      <c r="M41" s="18"/>
      <c r="N41" s="18"/>
      <c r="O41" s="18"/>
      <c r="P41" s="18"/>
      <c r="Q41" s="18"/>
      <c r="R41" s="18"/>
      <c r="S41" s="18"/>
      <c r="T41" s="18"/>
      <c r="U41" s="18"/>
      <c r="V41" s="18"/>
      <c r="W41" s="18"/>
      <c r="X41" s="18"/>
      <c r="Y41" s="18"/>
    </row>
    <row r="42" ht="15.75" customHeight="1">
      <c r="A42" s="18"/>
      <c r="B42" s="18"/>
      <c r="C42" s="18"/>
      <c r="D42" s="18"/>
      <c r="E42" s="18"/>
      <c r="F42" s="18"/>
      <c r="G42" s="18"/>
      <c r="H42" s="18"/>
      <c r="I42" s="18"/>
      <c r="J42" s="18"/>
      <c r="K42" s="18"/>
      <c r="L42" s="18"/>
      <c r="M42" s="18"/>
      <c r="N42" s="18"/>
      <c r="O42" s="18"/>
      <c r="P42" s="18"/>
      <c r="Q42" s="18"/>
      <c r="R42" s="18"/>
      <c r="S42" s="18"/>
      <c r="T42" s="18"/>
      <c r="U42" s="18"/>
      <c r="V42" s="18"/>
      <c r="W42" s="18"/>
      <c r="X42" s="18"/>
      <c r="Y42" s="18"/>
    </row>
    <row r="43" ht="15.75" customHeight="1">
      <c r="A43" s="18"/>
      <c r="B43" s="18"/>
      <c r="C43" s="18"/>
      <c r="D43" s="18"/>
      <c r="E43" s="18"/>
      <c r="F43" s="18"/>
      <c r="G43" s="18"/>
      <c r="H43" s="18"/>
      <c r="I43" s="18"/>
      <c r="J43" s="18"/>
      <c r="K43" s="18"/>
      <c r="L43" s="18"/>
      <c r="M43" s="18"/>
      <c r="N43" s="18"/>
      <c r="O43" s="18"/>
      <c r="P43" s="18"/>
      <c r="Q43" s="18"/>
      <c r="R43" s="18"/>
      <c r="S43" s="18"/>
      <c r="T43" s="18"/>
      <c r="U43" s="18"/>
      <c r="V43" s="18"/>
      <c r="W43" s="18"/>
      <c r="X43" s="18"/>
      <c r="Y43" s="18"/>
    </row>
    <row r="44" ht="15.75" customHeight="1">
      <c r="A44" s="18"/>
      <c r="B44" s="18"/>
      <c r="C44" s="18"/>
      <c r="D44" s="18"/>
      <c r="E44" s="18"/>
      <c r="F44" s="18"/>
      <c r="G44" s="18"/>
      <c r="H44" s="18"/>
      <c r="I44" s="18"/>
      <c r="J44" s="18"/>
      <c r="K44" s="18"/>
      <c r="L44" s="18"/>
      <c r="M44" s="18"/>
      <c r="N44" s="18"/>
      <c r="O44" s="18"/>
      <c r="P44" s="18"/>
      <c r="Q44" s="18"/>
      <c r="R44" s="18"/>
      <c r="S44" s="18"/>
      <c r="T44" s="18"/>
      <c r="U44" s="18"/>
      <c r="V44" s="18"/>
      <c r="W44" s="18"/>
      <c r="X44" s="18"/>
      <c r="Y44" s="18"/>
    </row>
    <row r="45" ht="15.75" customHeight="1">
      <c r="A45" s="18"/>
      <c r="B45" s="18"/>
      <c r="C45" s="18"/>
      <c r="D45" s="18"/>
      <c r="E45" s="18"/>
      <c r="F45" s="18"/>
      <c r="G45" s="18"/>
      <c r="H45" s="18"/>
      <c r="I45" s="18"/>
      <c r="J45" s="18"/>
      <c r="K45" s="18"/>
      <c r="L45" s="18"/>
      <c r="M45" s="18"/>
      <c r="N45" s="18"/>
      <c r="O45" s="18"/>
      <c r="P45" s="18"/>
      <c r="Q45" s="18"/>
      <c r="R45" s="18"/>
      <c r="S45" s="18"/>
      <c r="T45" s="18"/>
      <c r="U45" s="18"/>
      <c r="V45" s="18"/>
      <c r="W45" s="18"/>
      <c r="X45" s="18"/>
      <c r="Y45" s="18"/>
    </row>
    <row r="46" ht="15.75" customHeight="1">
      <c r="A46" s="18"/>
      <c r="B46" s="18"/>
      <c r="C46" s="18"/>
      <c r="D46" s="18"/>
      <c r="E46" s="18"/>
      <c r="F46" s="18"/>
      <c r="G46" s="18"/>
      <c r="H46" s="18"/>
      <c r="I46" s="18"/>
      <c r="J46" s="18"/>
      <c r="K46" s="18"/>
      <c r="L46" s="18"/>
      <c r="M46" s="18"/>
      <c r="N46" s="18"/>
      <c r="O46" s="18"/>
      <c r="P46" s="18"/>
      <c r="Q46" s="18"/>
      <c r="R46" s="18"/>
      <c r="S46" s="18"/>
      <c r="T46" s="18"/>
      <c r="U46" s="18"/>
      <c r="V46" s="18"/>
      <c r="W46" s="18"/>
      <c r="X46" s="18"/>
      <c r="Y46" s="18"/>
    </row>
    <row r="47" ht="15.75" customHeight="1">
      <c r="A47" s="18"/>
      <c r="B47" s="18"/>
      <c r="C47" s="18"/>
      <c r="D47" s="18"/>
      <c r="E47" s="18"/>
      <c r="F47" s="18"/>
      <c r="G47" s="18"/>
      <c r="H47" s="18"/>
      <c r="I47" s="18"/>
      <c r="J47" s="18"/>
      <c r="K47" s="18"/>
      <c r="L47" s="18"/>
      <c r="M47" s="18"/>
      <c r="N47" s="18"/>
      <c r="O47" s="18"/>
      <c r="P47" s="18"/>
      <c r="Q47" s="18"/>
      <c r="R47" s="18"/>
      <c r="S47" s="18"/>
      <c r="T47" s="18"/>
      <c r="U47" s="18"/>
      <c r="V47" s="18"/>
      <c r="W47" s="18"/>
      <c r="X47" s="18"/>
      <c r="Y47" s="18"/>
    </row>
    <row r="48" ht="15.75" customHeight="1">
      <c r="A48" s="18"/>
      <c r="B48" s="18"/>
      <c r="C48" s="18"/>
      <c r="D48" s="18"/>
      <c r="E48" s="18"/>
      <c r="F48" s="18"/>
      <c r="G48" s="18"/>
      <c r="H48" s="18"/>
      <c r="I48" s="18"/>
      <c r="J48" s="18"/>
      <c r="K48" s="18"/>
      <c r="L48" s="18"/>
      <c r="M48" s="18"/>
      <c r="N48" s="18"/>
      <c r="O48" s="18"/>
      <c r="P48" s="18"/>
      <c r="Q48" s="18"/>
      <c r="R48" s="18"/>
      <c r="S48" s="18"/>
      <c r="T48" s="18"/>
      <c r="U48" s="18"/>
      <c r="V48" s="18"/>
      <c r="W48" s="18"/>
      <c r="X48" s="18"/>
      <c r="Y48" s="18"/>
    </row>
    <row r="49" ht="15.75" customHeight="1">
      <c r="A49" s="18"/>
      <c r="B49" s="18"/>
      <c r="C49" s="18"/>
      <c r="D49" s="18"/>
      <c r="E49" s="18"/>
      <c r="F49" s="18"/>
      <c r="G49" s="18"/>
      <c r="H49" s="18"/>
      <c r="I49" s="18"/>
      <c r="J49" s="18"/>
      <c r="K49" s="18"/>
      <c r="L49" s="18"/>
      <c r="M49" s="18"/>
      <c r="N49" s="18"/>
      <c r="O49" s="18"/>
      <c r="P49" s="18"/>
      <c r="Q49" s="18"/>
      <c r="R49" s="18"/>
      <c r="S49" s="18"/>
      <c r="T49" s="18"/>
      <c r="U49" s="18"/>
      <c r="V49" s="18"/>
      <c r="W49" s="18"/>
      <c r="X49" s="18"/>
      <c r="Y49" s="18"/>
    </row>
    <row r="50" ht="15.75" customHeight="1">
      <c r="A50" s="18"/>
      <c r="B50" s="18"/>
      <c r="C50" s="18"/>
      <c r="D50" s="18"/>
      <c r="E50" s="18"/>
      <c r="F50" s="18"/>
      <c r="G50" s="18"/>
      <c r="H50" s="18"/>
      <c r="I50" s="18"/>
      <c r="J50" s="18"/>
      <c r="K50" s="18"/>
      <c r="L50" s="18"/>
      <c r="M50" s="18"/>
      <c r="N50" s="18"/>
      <c r="O50" s="18"/>
      <c r="P50" s="18"/>
      <c r="Q50" s="18"/>
      <c r="R50" s="18"/>
      <c r="S50" s="18"/>
      <c r="T50" s="18"/>
      <c r="U50" s="18"/>
      <c r="V50" s="18"/>
      <c r="W50" s="18"/>
      <c r="X50" s="18"/>
      <c r="Y50" s="18"/>
    </row>
    <row r="51" ht="15.75" customHeight="1">
      <c r="A51" s="18"/>
      <c r="B51" s="18"/>
      <c r="C51" s="18"/>
      <c r="D51" s="18"/>
      <c r="E51" s="18"/>
      <c r="F51" s="18"/>
      <c r="G51" s="18"/>
      <c r="H51" s="18"/>
      <c r="I51" s="18"/>
      <c r="J51" s="18"/>
      <c r="K51" s="18"/>
      <c r="L51" s="18"/>
      <c r="M51" s="18"/>
      <c r="N51" s="18"/>
      <c r="O51" s="18"/>
      <c r="P51" s="18"/>
      <c r="Q51" s="18"/>
      <c r="R51" s="18"/>
      <c r="S51" s="18"/>
      <c r="T51" s="18"/>
      <c r="U51" s="18"/>
      <c r="V51" s="18"/>
      <c r="W51" s="18"/>
      <c r="X51" s="18"/>
      <c r="Y51" s="18"/>
    </row>
    <row r="52" ht="15.75" customHeight="1">
      <c r="A52" s="18"/>
      <c r="B52" s="18"/>
      <c r="C52" s="18"/>
      <c r="D52" s="18"/>
      <c r="E52" s="18"/>
      <c r="F52" s="18"/>
      <c r="G52" s="18"/>
      <c r="H52" s="18"/>
      <c r="I52" s="18"/>
      <c r="J52" s="18"/>
      <c r="K52" s="18"/>
      <c r="L52" s="18"/>
      <c r="M52" s="18"/>
      <c r="N52" s="18"/>
      <c r="O52" s="18"/>
      <c r="P52" s="18"/>
      <c r="Q52" s="18"/>
      <c r="R52" s="18"/>
      <c r="S52" s="18"/>
      <c r="T52" s="18"/>
      <c r="U52" s="18"/>
      <c r="V52" s="18"/>
      <c r="W52" s="18"/>
      <c r="X52" s="18"/>
      <c r="Y52" s="18"/>
    </row>
    <row r="53" ht="15.75" customHeight="1">
      <c r="A53" s="18"/>
      <c r="B53" s="18"/>
      <c r="C53" s="18"/>
      <c r="D53" s="18"/>
      <c r="E53" s="18"/>
      <c r="F53" s="18"/>
      <c r="G53" s="18"/>
      <c r="H53" s="18"/>
      <c r="I53" s="18"/>
      <c r="J53" s="18"/>
      <c r="K53" s="18"/>
      <c r="L53" s="18"/>
      <c r="M53" s="18"/>
      <c r="N53" s="18"/>
      <c r="O53" s="18"/>
      <c r="P53" s="18"/>
      <c r="Q53" s="18"/>
      <c r="R53" s="18"/>
      <c r="S53" s="18"/>
      <c r="T53" s="18"/>
      <c r="U53" s="18"/>
      <c r="V53" s="18"/>
      <c r="W53" s="18"/>
      <c r="X53" s="18"/>
      <c r="Y53" s="18"/>
    </row>
    <row r="54" ht="15.75" customHeight="1">
      <c r="A54" s="18"/>
      <c r="B54" s="18"/>
      <c r="C54" s="18"/>
      <c r="D54" s="18"/>
      <c r="E54" s="18"/>
      <c r="F54" s="18"/>
      <c r="G54" s="18"/>
      <c r="H54" s="18"/>
      <c r="I54" s="18"/>
      <c r="J54" s="18"/>
      <c r="K54" s="18"/>
      <c r="L54" s="18"/>
      <c r="M54" s="18"/>
      <c r="N54" s="18"/>
      <c r="O54" s="18"/>
      <c r="P54" s="18"/>
      <c r="Q54" s="18"/>
      <c r="R54" s="18"/>
      <c r="S54" s="18"/>
      <c r="T54" s="18"/>
      <c r="U54" s="18"/>
      <c r="V54" s="18"/>
      <c r="W54" s="18"/>
      <c r="X54" s="18"/>
      <c r="Y54" s="18"/>
    </row>
    <row r="55" ht="15.75" customHeight="1">
      <c r="A55" s="18"/>
      <c r="B55" s="18"/>
      <c r="C55" s="18"/>
      <c r="D55" s="18"/>
      <c r="E55" s="18"/>
      <c r="F55" s="18"/>
      <c r="G55" s="18"/>
      <c r="H55" s="18"/>
      <c r="I55" s="18"/>
      <c r="J55" s="18"/>
      <c r="K55" s="18"/>
      <c r="L55" s="18"/>
      <c r="M55" s="18"/>
      <c r="N55" s="18"/>
      <c r="O55" s="18"/>
      <c r="P55" s="18"/>
      <c r="Q55" s="18"/>
      <c r="R55" s="18"/>
      <c r="S55" s="18"/>
      <c r="T55" s="18"/>
      <c r="U55" s="18"/>
      <c r="V55" s="18"/>
      <c r="W55" s="18"/>
      <c r="X55" s="18"/>
      <c r="Y55" s="18"/>
    </row>
    <row r="56" ht="15.75" customHeight="1">
      <c r="A56" s="18"/>
      <c r="B56" s="18"/>
      <c r="C56" s="18"/>
      <c r="D56" s="18"/>
      <c r="E56" s="18"/>
      <c r="F56" s="18"/>
      <c r="G56" s="18"/>
      <c r="H56" s="18"/>
      <c r="I56" s="18"/>
      <c r="J56" s="18"/>
      <c r="K56" s="18"/>
      <c r="L56" s="18"/>
      <c r="M56" s="18"/>
      <c r="N56" s="18"/>
      <c r="O56" s="18"/>
      <c r="P56" s="18"/>
      <c r="Q56" s="18"/>
      <c r="R56" s="18"/>
      <c r="S56" s="18"/>
      <c r="T56" s="18"/>
      <c r="U56" s="18"/>
      <c r="V56" s="18"/>
      <c r="W56" s="18"/>
      <c r="X56" s="18"/>
      <c r="Y56" s="18"/>
    </row>
    <row r="57" ht="15.75" customHeight="1">
      <c r="A57" s="18"/>
      <c r="B57" s="18"/>
      <c r="C57" s="18"/>
      <c r="D57" s="18"/>
      <c r="E57" s="18"/>
      <c r="F57" s="18"/>
      <c r="G57" s="18"/>
      <c r="H57" s="18"/>
      <c r="I57" s="18"/>
      <c r="J57" s="18"/>
      <c r="K57" s="18"/>
      <c r="L57" s="18"/>
      <c r="M57" s="18"/>
      <c r="N57" s="18"/>
      <c r="O57" s="18"/>
      <c r="P57" s="18"/>
      <c r="Q57" s="18"/>
      <c r="R57" s="18"/>
      <c r="S57" s="18"/>
      <c r="T57" s="18"/>
      <c r="U57" s="18"/>
      <c r="V57" s="18"/>
      <c r="W57" s="18"/>
      <c r="X57" s="18"/>
      <c r="Y57" s="18"/>
    </row>
    <row r="58" ht="15.75" customHeight="1">
      <c r="A58" s="18"/>
      <c r="B58" s="18"/>
      <c r="C58" s="18"/>
      <c r="D58" s="18"/>
      <c r="E58" s="18"/>
      <c r="F58" s="18"/>
      <c r="G58" s="18"/>
      <c r="H58" s="18"/>
      <c r="I58" s="18"/>
      <c r="J58" s="18"/>
      <c r="K58" s="18"/>
      <c r="L58" s="18"/>
      <c r="M58" s="18"/>
      <c r="N58" s="18"/>
      <c r="O58" s="18"/>
      <c r="P58" s="18"/>
      <c r="Q58" s="18"/>
      <c r="R58" s="18"/>
      <c r="S58" s="18"/>
      <c r="T58" s="18"/>
      <c r="U58" s="18"/>
      <c r="V58" s="18"/>
      <c r="W58" s="18"/>
      <c r="X58" s="18"/>
      <c r="Y58" s="18"/>
    </row>
    <row r="59" ht="15.75" customHeight="1">
      <c r="A59" s="18"/>
      <c r="B59" s="18"/>
      <c r="C59" s="18"/>
      <c r="D59" s="18"/>
      <c r="E59" s="18"/>
      <c r="F59" s="18"/>
      <c r="G59" s="18"/>
      <c r="H59" s="18"/>
      <c r="I59" s="18"/>
      <c r="J59" s="18"/>
      <c r="K59" s="18"/>
      <c r="L59" s="18"/>
      <c r="M59" s="18"/>
      <c r="N59" s="18"/>
      <c r="O59" s="18"/>
      <c r="P59" s="18"/>
      <c r="Q59" s="18"/>
      <c r="R59" s="18"/>
      <c r="S59" s="18"/>
      <c r="T59" s="18"/>
      <c r="U59" s="18"/>
      <c r="V59" s="18"/>
      <c r="W59" s="18"/>
      <c r="X59" s="18"/>
      <c r="Y59" s="18"/>
    </row>
    <row r="60" ht="15.75" customHeight="1">
      <c r="A60" s="18"/>
      <c r="B60" s="18"/>
      <c r="C60" s="18"/>
      <c r="D60" s="18"/>
      <c r="E60" s="18"/>
      <c r="F60" s="18"/>
      <c r="G60" s="18"/>
      <c r="H60" s="18"/>
      <c r="I60" s="18"/>
      <c r="J60" s="18"/>
      <c r="K60" s="18"/>
      <c r="L60" s="18"/>
      <c r="M60" s="18"/>
      <c r="N60" s="18"/>
      <c r="O60" s="18"/>
      <c r="P60" s="18"/>
      <c r="Q60" s="18"/>
      <c r="R60" s="18"/>
      <c r="S60" s="18"/>
      <c r="T60" s="18"/>
      <c r="U60" s="18"/>
      <c r="V60" s="18"/>
      <c r="W60" s="18"/>
      <c r="X60" s="18"/>
      <c r="Y60" s="18"/>
    </row>
    <row r="61" ht="15.75" customHeight="1">
      <c r="A61" s="18"/>
      <c r="B61" s="18"/>
      <c r="C61" s="18"/>
      <c r="D61" s="18"/>
      <c r="E61" s="18"/>
      <c r="F61" s="18"/>
      <c r="G61" s="18"/>
      <c r="H61" s="18"/>
      <c r="I61" s="18"/>
      <c r="J61" s="18"/>
      <c r="K61" s="18"/>
      <c r="L61" s="18"/>
      <c r="M61" s="18"/>
      <c r="N61" s="18"/>
      <c r="O61" s="18"/>
      <c r="P61" s="18"/>
      <c r="Q61" s="18"/>
      <c r="R61" s="18"/>
      <c r="S61" s="18"/>
      <c r="T61" s="18"/>
      <c r="U61" s="18"/>
      <c r="V61" s="18"/>
      <c r="W61" s="18"/>
      <c r="X61" s="18"/>
      <c r="Y61" s="18"/>
    </row>
    <row r="62" ht="15.75" customHeight="1">
      <c r="A62" s="18"/>
      <c r="B62" s="18"/>
      <c r="C62" s="18"/>
      <c r="D62" s="18"/>
      <c r="E62" s="18"/>
      <c r="F62" s="18"/>
      <c r="G62" s="18"/>
      <c r="H62" s="18"/>
      <c r="I62" s="18"/>
      <c r="J62" s="18"/>
      <c r="K62" s="18"/>
      <c r="L62" s="18"/>
      <c r="M62" s="18"/>
      <c r="N62" s="18"/>
      <c r="O62" s="18"/>
      <c r="P62" s="18"/>
      <c r="Q62" s="18"/>
      <c r="R62" s="18"/>
      <c r="S62" s="18"/>
      <c r="T62" s="18"/>
      <c r="U62" s="18"/>
      <c r="V62" s="18"/>
      <c r="W62" s="18"/>
      <c r="X62" s="18"/>
      <c r="Y62" s="18"/>
    </row>
    <row r="63" ht="15.75" customHeight="1">
      <c r="A63" s="18"/>
      <c r="B63" s="18"/>
      <c r="C63" s="18"/>
      <c r="D63" s="18"/>
      <c r="E63" s="18"/>
      <c r="F63" s="18"/>
      <c r="G63" s="18"/>
      <c r="H63" s="18"/>
      <c r="I63" s="18"/>
      <c r="J63" s="18"/>
      <c r="K63" s="18"/>
      <c r="L63" s="18"/>
      <c r="M63" s="18"/>
      <c r="N63" s="18"/>
      <c r="O63" s="18"/>
      <c r="P63" s="18"/>
      <c r="Q63" s="18"/>
      <c r="R63" s="18"/>
      <c r="S63" s="18"/>
      <c r="T63" s="18"/>
      <c r="U63" s="18"/>
      <c r="V63" s="18"/>
      <c r="W63" s="18"/>
      <c r="X63" s="18"/>
      <c r="Y63" s="18"/>
    </row>
    <row r="64" ht="15.75" customHeight="1">
      <c r="A64" s="18"/>
      <c r="B64" s="18"/>
      <c r="C64" s="18"/>
      <c r="D64" s="18"/>
      <c r="E64" s="18"/>
      <c r="F64" s="18"/>
      <c r="G64" s="18"/>
      <c r="H64" s="18"/>
      <c r="I64" s="18"/>
      <c r="J64" s="18"/>
      <c r="K64" s="18"/>
      <c r="L64" s="18"/>
      <c r="M64" s="18"/>
      <c r="N64" s="18"/>
      <c r="O64" s="18"/>
      <c r="P64" s="18"/>
      <c r="Q64" s="18"/>
      <c r="R64" s="18"/>
      <c r="S64" s="18"/>
      <c r="T64" s="18"/>
      <c r="U64" s="18"/>
      <c r="V64" s="18"/>
      <c r="W64" s="18"/>
      <c r="X64" s="18"/>
      <c r="Y64" s="18"/>
    </row>
    <row r="65" ht="15.75" customHeight="1">
      <c r="A65" s="18"/>
      <c r="B65" s="18"/>
      <c r="C65" s="18"/>
      <c r="D65" s="18"/>
      <c r="E65" s="18"/>
      <c r="F65" s="18"/>
      <c r="G65" s="18"/>
      <c r="H65" s="18"/>
      <c r="I65" s="18"/>
      <c r="J65" s="18"/>
      <c r="K65" s="18"/>
      <c r="L65" s="18"/>
      <c r="M65" s="18"/>
      <c r="N65" s="18"/>
      <c r="O65" s="18"/>
      <c r="P65" s="18"/>
      <c r="Q65" s="18"/>
      <c r="R65" s="18"/>
      <c r="S65" s="18"/>
      <c r="T65" s="18"/>
      <c r="U65" s="18"/>
      <c r="V65" s="18"/>
      <c r="W65" s="18"/>
      <c r="X65" s="18"/>
      <c r="Y65" s="18"/>
    </row>
    <row r="66" ht="15.75" customHeight="1">
      <c r="A66" s="18"/>
      <c r="B66" s="18"/>
      <c r="C66" s="18"/>
      <c r="D66" s="18"/>
      <c r="E66" s="18"/>
      <c r="F66" s="18"/>
      <c r="G66" s="18"/>
      <c r="H66" s="18"/>
      <c r="I66" s="18"/>
      <c r="J66" s="18"/>
      <c r="K66" s="18"/>
      <c r="L66" s="18"/>
      <c r="M66" s="18"/>
      <c r="N66" s="18"/>
      <c r="O66" s="18"/>
      <c r="P66" s="18"/>
      <c r="Q66" s="18"/>
      <c r="R66" s="18"/>
      <c r="S66" s="18"/>
      <c r="T66" s="18"/>
      <c r="U66" s="18"/>
      <c r="V66" s="18"/>
      <c r="W66" s="18"/>
      <c r="X66" s="18"/>
      <c r="Y66" s="18"/>
    </row>
    <row r="67" ht="15.75" customHeight="1">
      <c r="A67" s="18"/>
      <c r="B67" s="18"/>
      <c r="C67" s="18"/>
      <c r="D67" s="18"/>
      <c r="E67" s="18"/>
      <c r="F67" s="18"/>
      <c r="G67" s="18"/>
      <c r="H67" s="18"/>
      <c r="I67" s="18"/>
      <c r="J67" s="18"/>
      <c r="K67" s="18"/>
      <c r="L67" s="18"/>
      <c r="M67" s="18"/>
      <c r="N67" s="18"/>
      <c r="O67" s="18"/>
      <c r="P67" s="18"/>
      <c r="Q67" s="18"/>
      <c r="R67" s="18"/>
      <c r="S67" s="18"/>
      <c r="T67" s="18"/>
      <c r="U67" s="18"/>
      <c r="V67" s="18"/>
      <c r="W67" s="18"/>
      <c r="X67" s="18"/>
      <c r="Y67" s="18"/>
    </row>
    <row r="68" ht="15.75" customHeight="1">
      <c r="A68" s="18"/>
      <c r="B68" s="18"/>
      <c r="C68" s="18"/>
      <c r="D68" s="18"/>
      <c r="E68" s="18"/>
      <c r="F68" s="18"/>
      <c r="G68" s="18"/>
      <c r="H68" s="18"/>
      <c r="I68" s="18"/>
      <c r="J68" s="18"/>
      <c r="K68" s="18"/>
      <c r="L68" s="18"/>
      <c r="M68" s="18"/>
      <c r="N68" s="18"/>
      <c r="O68" s="18"/>
      <c r="P68" s="18"/>
      <c r="Q68" s="18"/>
      <c r="R68" s="18"/>
      <c r="S68" s="18"/>
      <c r="T68" s="18"/>
      <c r="U68" s="18"/>
      <c r="V68" s="18"/>
      <c r="W68" s="18"/>
      <c r="X68" s="18"/>
      <c r="Y68" s="18"/>
    </row>
    <row r="69" ht="15.75" customHeight="1">
      <c r="A69" s="18"/>
      <c r="B69" s="18"/>
      <c r="C69" s="18"/>
      <c r="D69" s="18"/>
      <c r="E69" s="18"/>
      <c r="F69" s="18"/>
      <c r="G69" s="18"/>
      <c r="H69" s="18"/>
      <c r="I69" s="18"/>
      <c r="J69" s="18"/>
      <c r="K69" s="18"/>
      <c r="L69" s="18"/>
      <c r="M69" s="18"/>
      <c r="N69" s="18"/>
      <c r="O69" s="18"/>
      <c r="P69" s="18"/>
      <c r="Q69" s="18"/>
      <c r="R69" s="18"/>
      <c r="S69" s="18"/>
      <c r="T69" s="18"/>
      <c r="U69" s="18"/>
      <c r="V69" s="18"/>
      <c r="W69" s="18"/>
      <c r="X69" s="18"/>
      <c r="Y69" s="18"/>
    </row>
    <row r="70" ht="15.75" customHeight="1">
      <c r="A70" s="18"/>
      <c r="B70" s="18"/>
      <c r="C70" s="18"/>
      <c r="D70" s="18"/>
      <c r="E70" s="18"/>
      <c r="F70" s="18"/>
      <c r="G70" s="18"/>
      <c r="H70" s="18"/>
      <c r="I70" s="18"/>
      <c r="J70" s="18"/>
      <c r="K70" s="18"/>
      <c r="L70" s="18"/>
      <c r="M70" s="18"/>
      <c r="N70" s="18"/>
      <c r="O70" s="18"/>
      <c r="P70" s="18"/>
      <c r="Q70" s="18"/>
      <c r="R70" s="18"/>
      <c r="S70" s="18"/>
      <c r="T70" s="18"/>
      <c r="U70" s="18"/>
      <c r="V70" s="18"/>
      <c r="W70" s="18"/>
      <c r="X70" s="18"/>
      <c r="Y70" s="18"/>
    </row>
    <row r="71" ht="15.75" customHeight="1">
      <c r="A71" s="18"/>
      <c r="B71" s="18"/>
      <c r="C71" s="18"/>
      <c r="D71" s="18"/>
      <c r="E71" s="18"/>
      <c r="F71" s="18"/>
      <c r="G71" s="18"/>
      <c r="H71" s="18"/>
      <c r="I71" s="18"/>
      <c r="J71" s="18"/>
      <c r="K71" s="18"/>
      <c r="L71" s="18"/>
      <c r="M71" s="18"/>
      <c r="N71" s="18"/>
      <c r="O71" s="18"/>
      <c r="P71" s="18"/>
      <c r="Q71" s="18"/>
      <c r="R71" s="18"/>
      <c r="S71" s="18"/>
      <c r="T71" s="18"/>
      <c r="U71" s="18"/>
      <c r="V71" s="18"/>
      <c r="W71" s="18"/>
      <c r="X71" s="18"/>
      <c r="Y71" s="18"/>
    </row>
    <row r="72" ht="15.75" customHeight="1">
      <c r="A72" s="18"/>
      <c r="B72" s="18"/>
      <c r="C72" s="18"/>
      <c r="D72" s="18"/>
      <c r="E72" s="18"/>
      <c r="F72" s="18"/>
      <c r="G72" s="18"/>
      <c r="H72" s="18"/>
      <c r="I72" s="18"/>
      <c r="J72" s="18"/>
      <c r="K72" s="18"/>
      <c r="L72" s="18"/>
      <c r="M72" s="18"/>
      <c r="N72" s="18"/>
      <c r="O72" s="18"/>
      <c r="P72" s="18"/>
      <c r="Q72" s="18"/>
      <c r="R72" s="18"/>
      <c r="S72" s="18"/>
      <c r="T72" s="18"/>
      <c r="U72" s="18"/>
      <c r="V72" s="18"/>
      <c r="W72" s="18"/>
      <c r="X72" s="18"/>
      <c r="Y72" s="18"/>
    </row>
    <row r="73" ht="15.75" customHeight="1">
      <c r="A73" s="18"/>
      <c r="B73" s="18"/>
      <c r="C73" s="18"/>
      <c r="D73" s="18"/>
      <c r="E73" s="18"/>
      <c r="F73" s="18"/>
      <c r="G73" s="18"/>
      <c r="H73" s="18"/>
      <c r="I73" s="18"/>
      <c r="J73" s="18"/>
      <c r="K73" s="18"/>
      <c r="L73" s="18"/>
      <c r="M73" s="18"/>
      <c r="N73" s="18"/>
      <c r="O73" s="18"/>
      <c r="P73" s="18"/>
      <c r="Q73" s="18"/>
      <c r="R73" s="18"/>
      <c r="S73" s="18"/>
      <c r="T73" s="18"/>
      <c r="U73" s="18"/>
      <c r="V73" s="18"/>
      <c r="W73" s="18"/>
      <c r="X73" s="18"/>
      <c r="Y73" s="18"/>
    </row>
    <row r="74" ht="15.75" customHeight="1">
      <c r="A74" s="18"/>
      <c r="B74" s="18"/>
      <c r="C74" s="18"/>
      <c r="D74" s="18"/>
      <c r="E74" s="18"/>
      <c r="F74" s="18"/>
      <c r="G74" s="18"/>
      <c r="H74" s="18"/>
      <c r="I74" s="18"/>
      <c r="J74" s="18"/>
      <c r="K74" s="18"/>
      <c r="L74" s="18"/>
      <c r="M74" s="18"/>
      <c r="N74" s="18"/>
      <c r="O74" s="18"/>
      <c r="P74" s="18"/>
      <c r="Q74" s="18"/>
      <c r="R74" s="18"/>
      <c r="S74" s="18"/>
      <c r="T74" s="18"/>
      <c r="U74" s="18"/>
      <c r="V74" s="18"/>
      <c r="W74" s="18"/>
      <c r="X74" s="18"/>
      <c r="Y74" s="18"/>
    </row>
    <row r="75" ht="15.75" customHeight="1">
      <c r="A75" s="18"/>
      <c r="B75" s="18"/>
      <c r="C75" s="18"/>
      <c r="D75" s="18"/>
      <c r="E75" s="18"/>
      <c r="F75" s="18"/>
      <c r="G75" s="18"/>
      <c r="H75" s="18"/>
      <c r="I75" s="18"/>
      <c r="J75" s="18"/>
      <c r="K75" s="18"/>
      <c r="L75" s="18"/>
      <c r="M75" s="18"/>
      <c r="N75" s="18"/>
      <c r="O75" s="18"/>
      <c r="P75" s="18"/>
      <c r="Q75" s="18"/>
      <c r="R75" s="18"/>
      <c r="S75" s="18"/>
      <c r="T75" s="18"/>
      <c r="U75" s="18"/>
      <c r="V75" s="18"/>
      <c r="W75" s="18"/>
      <c r="X75" s="18"/>
      <c r="Y75" s="18"/>
    </row>
    <row r="76" ht="15.75" customHeight="1">
      <c r="A76" s="18"/>
      <c r="B76" s="18"/>
      <c r="C76" s="18"/>
      <c r="D76" s="18"/>
      <c r="E76" s="18"/>
      <c r="F76" s="18"/>
      <c r="G76" s="18"/>
      <c r="H76" s="18"/>
      <c r="I76" s="18"/>
      <c r="J76" s="18"/>
      <c r="K76" s="18"/>
      <c r="L76" s="18"/>
      <c r="M76" s="18"/>
      <c r="N76" s="18"/>
      <c r="O76" s="18"/>
      <c r="P76" s="18"/>
      <c r="Q76" s="18"/>
      <c r="R76" s="18"/>
      <c r="S76" s="18"/>
      <c r="T76" s="18"/>
      <c r="U76" s="18"/>
      <c r="V76" s="18"/>
      <c r="W76" s="18"/>
      <c r="X76" s="18"/>
      <c r="Y76" s="18"/>
    </row>
    <row r="77" ht="15.75" customHeight="1">
      <c r="A77" s="18"/>
      <c r="B77" s="18"/>
      <c r="C77" s="18"/>
      <c r="D77" s="18"/>
      <c r="E77" s="18"/>
      <c r="F77" s="18"/>
      <c r="G77" s="18"/>
      <c r="H77" s="18"/>
      <c r="I77" s="18"/>
      <c r="J77" s="18"/>
      <c r="K77" s="18"/>
      <c r="L77" s="18"/>
      <c r="M77" s="18"/>
      <c r="N77" s="18"/>
      <c r="O77" s="18"/>
      <c r="P77" s="18"/>
      <c r="Q77" s="18"/>
      <c r="R77" s="18"/>
      <c r="S77" s="18"/>
      <c r="T77" s="18"/>
      <c r="U77" s="18"/>
      <c r="V77" s="18"/>
      <c r="W77" s="18"/>
      <c r="X77" s="18"/>
      <c r="Y77" s="18"/>
    </row>
    <row r="78" ht="15.75" customHeight="1">
      <c r="A78" s="18"/>
      <c r="B78" s="18"/>
      <c r="C78" s="18"/>
      <c r="D78" s="18"/>
      <c r="E78" s="18"/>
      <c r="F78" s="18"/>
      <c r="G78" s="18"/>
      <c r="H78" s="18"/>
      <c r="I78" s="18"/>
      <c r="J78" s="18"/>
      <c r="K78" s="18"/>
      <c r="L78" s="18"/>
      <c r="M78" s="18"/>
      <c r="N78" s="18"/>
      <c r="O78" s="18"/>
      <c r="P78" s="18"/>
      <c r="Q78" s="18"/>
      <c r="R78" s="18"/>
      <c r="S78" s="18"/>
      <c r="T78" s="18"/>
      <c r="U78" s="18"/>
      <c r="V78" s="18"/>
      <c r="W78" s="18"/>
      <c r="X78" s="18"/>
      <c r="Y78" s="18"/>
    </row>
    <row r="79" ht="15.75" customHeight="1">
      <c r="A79" s="18"/>
      <c r="B79" s="18"/>
      <c r="C79" s="18"/>
      <c r="D79" s="18"/>
      <c r="E79" s="18"/>
      <c r="F79" s="18"/>
      <c r="G79" s="18"/>
      <c r="H79" s="18"/>
      <c r="I79" s="18"/>
      <c r="J79" s="18"/>
      <c r="K79" s="18"/>
      <c r="L79" s="18"/>
      <c r="M79" s="18"/>
      <c r="N79" s="18"/>
      <c r="O79" s="18"/>
      <c r="P79" s="18"/>
      <c r="Q79" s="18"/>
      <c r="R79" s="18"/>
      <c r="S79" s="18"/>
      <c r="T79" s="18"/>
      <c r="U79" s="18"/>
      <c r="V79" s="18"/>
      <c r="W79" s="18"/>
      <c r="X79" s="18"/>
      <c r="Y79" s="18"/>
    </row>
    <row r="80" ht="15.75" customHeight="1">
      <c r="A80" s="18"/>
      <c r="B80" s="18"/>
      <c r="C80" s="18"/>
      <c r="D80" s="18"/>
      <c r="E80" s="18"/>
      <c r="F80" s="18"/>
      <c r="G80" s="18"/>
      <c r="H80" s="18"/>
      <c r="I80" s="18"/>
      <c r="J80" s="18"/>
      <c r="K80" s="18"/>
      <c r="L80" s="18"/>
      <c r="M80" s="18"/>
      <c r="N80" s="18"/>
      <c r="O80" s="18"/>
      <c r="P80" s="18"/>
      <c r="Q80" s="18"/>
      <c r="R80" s="18"/>
      <c r="S80" s="18"/>
      <c r="T80" s="18"/>
      <c r="U80" s="18"/>
      <c r="V80" s="18"/>
      <c r="W80" s="18"/>
      <c r="X80" s="18"/>
      <c r="Y80" s="18"/>
    </row>
    <row r="81" ht="15.75" customHeight="1">
      <c r="A81" s="18"/>
      <c r="B81" s="18"/>
      <c r="C81" s="18"/>
      <c r="D81" s="18"/>
      <c r="E81" s="18"/>
      <c r="F81" s="18"/>
      <c r="G81" s="18"/>
      <c r="H81" s="18"/>
      <c r="I81" s="18"/>
      <c r="J81" s="18"/>
      <c r="K81" s="18"/>
      <c r="L81" s="18"/>
      <c r="M81" s="18"/>
      <c r="N81" s="18"/>
      <c r="O81" s="18"/>
      <c r="P81" s="18"/>
      <c r="Q81" s="18"/>
      <c r="R81" s="18"/>
      <c r="S81" s="18"/>
      <c r="T81" s="18"/>
      <c r="U81" s="18"/>
      <c r="V81" s="18"/>
      <c r="W81" s="18"/>
      <c r="X81" s="18"/>
      <c r="Y81" s="18"/>
    </row>
    <row r="82" ht="15.75" customHeight="1">
      <c r="A82" s="18"/>
      <c r="B82" s="18"/>
      <c r="C82" s="18"/>
      <c r="D82" s="18"/>
      <c r="E82" s="18"/>
      <c r="F82" s="18"/>
      <c r="G82" s="18"/>
      <c r="H82" s="18"/>
      <c r="I82" s="18"/>
      <c r="J82" s="18"/>
      <c r="K82" s="18"/>
      <c r="L82" s="18"/>
      <c r="M82" s="18"/>
      <c r="N82" s="18"/>
      <c r="O82" s="18"/>
      <c r="P82" s="18"/>
      <c r="Q82" s="18"/>
      <c r="R82" s="18"/>
      <c r="S82" s="18"/>
      <c r="T82" s="18"/>
      <c r="U82" s="18"/>
      <c r="V82" s="18"/>
      <c r="W82" s="18"/>
      <c r="X82" s="18"/>
      <c r="Y82" s="18"/>
    </row>
    <row r="83" ht="15.75" customHeight="1">
      <c r="A83" s="18"/>
      <c r="B83" s="18"/>
      <c r="C83" s="18"/>
      <c r="D83" s="18"/>
      <c r="E83" s="18"/>
      <c r="F83" s="18"/>
      <c r="G83" s="18"/>
      <c r="H83" s="18"/>
      <c r="I83" s="18"/>
      <c r="J83" s="18"/>
      <c r="K83" s="18"/>
      <c r="L83" s="18"/>
      <c r="M83" s="18"/>
      <c r="N83" s="18"/>
      <c r="O83" s="18"/>
      <c r="P83" s="18"/>
      <c r="Q83" s="18"/>
      <c r="R83" s="18"/>
      <c r="S83" s="18"/>
      <c r="T83" s="18"/>
      <c r="U83" s="18"/>
      <c r="V83" s="18"/>
      <c r="W83" s="18"/>
      <c r="X83" s="18"/>
      <c r="Y83" s="18"/>
    </row>
    <row r="84" ht="15.75" customHeight="1">
      <c r="A84" s="18"/>
      <c r="B84" s="18"/>
      <c r="C84" s="18"/>
      <c r="D84" s="18"/>
      <c r="E84" s="18"/>
      <c r="F84" s="18"/>
      <c r="G84" s="18"/>
      <c r="H84" s="18"/>
      <c r="I84" s="18"/>
      <c r="J84" s="18"/>
      <c r="K84" s="18"/>
      <c r="L84" s="18"/>
      <c r="M84" s="18"/>
      <c r="N84" s="18"/>
      <c r="O84" s="18"/>
      <c r="P84" s="18"/>
      <c r="Q84" s="18"/>
      <c r="R84" s="18"/>
      <c r="S84" s="18"/>
      <c r="T84" s="18"/>
      <c r="U84" s="18"/>
      <c r="V84" s="18"/>
      <c r="W84" s="18"/>
      <c r="X84" s="18"/>
      <c r="Y84" s="18"/>
    </row>
    <row r="85" ht="15.75" customHeight="1">
      <c r="A85" s="18"/>
      <c r="B85" s="18"/>
      <c r="C85" s="18"/>
      <c r="D85" s="18"/>
      <c r="E85" s="18"/>
      <c r="F85" s="18"/>
      <c r="G85" s="18"/>
      <c r="H85" s="18"/>
      <c r="I85" s="18"/>
      <c r="J85" s="18"/>
      <c r="K85" s="18"/>
      <c r="L85" s="18"/>
      <c r="M85" s="18"/>
      <c r="N85" s="18"/>
      <c r="O85" s="18"/>
      <c r="P85" s="18"/>
      <c r="Q85" s="18"/>
      <c r="R85" s="18"/>
      <c r="S85" s="18"/>
      <c r="T85" s="18"/>
      <c r="U85" s="18"/>
      <c r="V85" s="18"/>
      <c r="W85" s="18"/>
      <c r="X85" s="18"/>
      <c r="Y85" s="18"/>
    </row>
    <row r="86" ht="15.75" customHeight="1">
      <c r="A86" s="18"/>
      <c r="B86" s="18"/>
      <c r="C86" s="18"/>
      <c r="D86" s="18"/>
      <c r="E86" s="18"/>
      <c r="F86" s="18"/>
      <c r="G86" s="18"/>
      <c r="H86" s="18"/>
      <c r="I86" s="18"/>
      <c r="J86" s="18"/>
      <c r="K86" s="18"/>
      <c r="L86" s="18"/>
      <c r="M86" s="18"/>
      <c r="N86" s="18"/>
      <c r="O86" s="18"/>
      <c r="P86" s="18"/>
      <c r="Q86" s="18"/>
      <c r="R86" s="18"/>
      <c r="S86" s="18"/>
      <c r="T86" s="18"/>
      <c r="U86" s="18"/>
      <c r="V86" s="18"/>
      <c r="W86" s="18"/>
      <c r="X86" s="18"/>
      <c r="Y86" s="18"/>
    </row>
    <row r="87" ht="15.75" customHeight="1">
      <c r="A87" s="18"/>
      <c r="B87" s="18"/>
      <c r="C87" s="18"/>
      <c r="D87" s="18"/>
      <c r="E87" s="18"/>
      <c r="F87" s="18"/>
      <c r="G87" s="18"/>
      <c r="H87" s="18"/>
      <c r="I87" s="18"/>
      <c r="J87" s="18"/>
      <c r="K87" s="18"/>
      <c r="L87" s="18"/>
      <c r="M87" s="18"/>
      <c r="N87" s="18"/>
      <c r="O87" s="18"/>
      <c r="P87" s="18"/>
      <c r="Q87" s="18"/>
      <c r="R87" s="18"/>
      <c r="S87" s="18"/>
      <c r="T87" s="18"/>
      <c r="U87" s="18"/>
      <c r="V87" s="18"/>
      <c r="W87" s="18"/>
      <c r="X87" s="18"/>
      <c r="Y87" s="18"/>
    </row>
    <row r="88" ht="15.75" customHeight="1">
      <c r="A88" s="18"/>
      <c r="B88" s="18"/>
      <c r="C88" s="18"/>
      <c r="D88" s="18"/>
      <c r="E88" s="18"/>
      <c r="F88" s="18"/>
      <c r="G88" s="18"/>
      <c r="H88" s="18"/>
      <c r="I88" s="18"/>
      <c r="J88" s="18"/>
      <c r="K88" s="18"/>
      <c r="L88" s="18"/>
      <c r="M88" s="18"/>
      <c r="N88" s="18"/>
      <c r="O88" s="18"/>
      <c r="P88" s="18"/>
      <c r="Q88" s="18"/>
      <c r="R88" s="18"/>
      <c r="S88" s="18"/>
      <c r="T88" s="18"/>
      <c r="U88" s="18"/>
      <c r="V88" s="18"/>
      <c r="W88" s="18"/>
      <c r="X88" s="18"/>
      <c r="Y88" s="18"/>
    </row>
    <row r="89" ht="15.75" customHeight="1">
      <c r="A89" s="18"/>
      <c r="B89" s="18"/>
      <c r="C89" s="18"/>
      <c r="D89" s="18"/>
      <c r="E89" s="18"/>
      <c r="F89" s="18"/>
      <c r="G89" s="18"/>
      <c r="H89" s="18"/>
      <c r="I89" s="18"/>
      <c r="J89" s="18"/>
      <c r="K89" s="18"/>
      <c r="L89" s="18"/>
      <c r="M89" s="18"/>
      <c r="N89" s="18"/>
      <c r="O89" s="18"/>
      <c r="P89" s="18"/>
      <c r="Q89" s="18"/>
      <c r="R89" s="18"/>
      <c r="S89" s="18"/>
      <c r="T89" s="18"/>
      <c r="U89" s="18"/>
      <c r="V89" s="18"/>
      <c r="W89" s="18"/>
      <c r="X89" s="18"/>
      <c r="Y89" s="18"/>
    </row>
    <row r="90" ht="15.75" customHeight="1">
      <c r="A90" s="18"/>
      <c r="B90" s="18"/>
      <c r="C90" s="18"/>
      <c r="D90" s="18"/>
      <c r="E90" s="18"/>
      <c r="F90" s="18"/>
      <c r="G90" s="18"/>
      <c r="H90" s="18"/>
      <c r="I90" s="18"/>
      <c r="J90" s="18"/>
      <c r="K90" s="18"/>
      <c r="L90" s="18"/>
      <c r="M90" s="18"/>
      <c r="N90" s="18"/>
      <c r="O90" s="18"/>
      <c r="P90" s="18"/>
      <c r="Q90" s="18"/>
      <c r="R90" s="18"/>
      <c r="S90" s="18"/>
      <c r="T90" s="18"/>
      <c r="U90" s="18"/>
      <c r="V90" s="18"/>
      <c r="W90" s="18"/>
      <c r="X90" s="18"/>
      <c r="Y90" s="18"/>
    </row>
    <row r="91" ht="15.75" customHeight="1">
      <c r="A91" s="18"/>
      <c r="B91" s="18"/>
      <c r="C91" s="18"/>
      <c r="D91" s="18"/>
      <c r="E91" s="18"/>
      <c r="F91" s="18"/>
      <c r="G91" s="18"/>
      <c r="H91" s="18"/>
      <c r="I91" s="18"/>
      <c r="J91" s="18"/>
      <c r="K91" s="18"/>
      <c r="L91" s="18"/>
      <c r="M91" s="18"/>
      <c r="N91" s="18"/>
      <c r="O91" s="18"/>
      <c r="P91" s="18"/>
      <c r="Q91" s="18"/>
      <c r="R91" s="18"/>
      <c r="S91" s="18"/>
      <c r="T91" s="18"/>
      <c r="U91" s="18"/>
      <c r="V91" s="18"/>
      <c r="W91" s="18"/>
      <c r="X91" s="18"/>
      <c r="Y91" s="18"/>
    </row>
    <row r="92" ht="15.75" customHeight="1">
      <c r="A92" s="18"/>
      <c r="B92" s="18"/>
      <c r="C92" s="18"/>
      <c r="D92" s="18"/>
      <c r="E92" s="18"/>
      <c r="F92" s="18"/>
      <c r="G92" s="18"/>
      <c r="H92" s="18"/>
      <c r="I92" s="18"/>
      <c r="J92" s="18"/>
      <c r="K92" s="18"/>
      <c r="L92" s="18"/>
      <c r="M92" s="18"/>
      <c r="N92" s="18"/>
      <c r="O92" s="18"/>
      <c r="P92" s="18"/>
      <c r="Q92" s="18"/>
      <c r="R92" s="18"/>
      <c r="S92" s="18"/>
      <c r="T92" s="18"/>
      <c r="U92" s="18"/>
      <c r="V92" s="18"/>
      <c r="W92" s="18"/>
      <c r="X92" s="18"/>
      <c r="Y92" s="18"/>
    </row>
    <row r="93" ht="15.75" customHeight="1">
      <c r="A93" s="18"/>
      <c r="B93" s="18"/>
      <c r="C93" s="18"/>
      <c r="D93" s="18"/>
      <c r="E93" s="18"/>
      <c r="F93" s="18"/>
      <c r="G93" s="18"/>
      <c r="H93" s="18"/>
      <c r="I93" s="18"/>
      <c r="J93" s="18"/>
      <c r="K93" s="18"/>
      <c r="L93" s="18"/>
      <c r="M93" s="18"/>
      <c r="N93" s="18"/>
      <c r="O93" s="18"/>
      <c r="P93" s="18"/>
      <c r="Q93" s="18"/>
      <c r="R93" s="18"/>
      <c r="S93" s="18"/>
      <c r="T93" s="18"/>
      <c r="U93" s="18"/>
      <c r="V93" s="18"/>
      <c r="W93" s="18"/>
      <c r="X93" s="18"/>
      <c r="Y93" s="18"/>
    </row>
    <row r="94" ht="15.75" customHeight="1">
      <c r="A94" s="18"/>
      <c r="B94" s="18"/>
      <c r="C94" s="18"/>
      <c r="D94" s="18"/>
      <c r="E94" s="18"/>
      <c r="F94" s="18"/>
      <c r="G94" s="18"/>
      <c r="H94" s="18"/>
      <c r="I94" s="18"/>
      <c r="J94" s="18"/>
      <c r="K94" s="18"/>
      <c r="L94" s="18"/>
      <c r="M94" s="18"/>
      <c r="N94" s="18"/>
      <c r="O94" s="18"/>
      <c r="P94" s="18"/>
      <c r="Q94" s="18"/>
      <c r="R94" s="18"/>
      <c r="S94" s="18"/>
      <c r="T94" s="18"/>
      <c r="U94" s="18"/>
      <c r="V94" s="18"/>
      <c r="W94" s="18"/>
      <c r="X94" s="18"/>
      <c r="Y94" s="18"/>
    </row>
    <row r="95" ht="15.75" customHeight="1">
      <c r="A95" s="18"/>
      <c r="B95" s="18"/>
      <c r="C95" s="18"/>
      <c r="D95" s="18"/>
      <c r="E95" s="18"/>
      <c r="F95" s="18"/>
      <c r="G95" s="18"/>
      <c r="H95" s="18"/>
      <c r="I95" s="18"/>
      <c r="J95" s="18"/>
      <c r="K95" s="18"/>
      <c r="L95" s="18"/>
      <c r="M95" s="18"/>
      <c r="N95" s="18"/>
      <c r="O95" s="18"/>
      <c r="P95" s="18"/>
      <c r="Q95" s="18"/>
      <c r="R95" s="18"/>
      <c r="S95" s="18"/>
      <c r="T95" s="18"/>
      <c r="U95" s="18"/>
      <c r="V95" s="18"/>
      <c r="W95" s="18"/>
      <c r="X95" s="18"/>
      <c r="Y95" s="18"/>
    </row>
    <row r="96" ht="15.75" customHeight="1">
      <c r="A96" s="18"/>
      <c r="B96" s="18"/>
      <c r="C96" s="18"/>
      <c r="D96" s="18"/>
      <c r="E96" s="18"/>
      <c r="F96" s="18"/>
      <c r="G96" s="18"/>
      <c r="H96" s="18"/>
      <c r="I96" s="18"/>
      <c r="J96" s="18"/>
      <c r="K96" s="18"/>
      <c r="L96" s="18"/>
      <c r="M96" s="18"/>
      <c r="N96" s="18"/>
      <c r="O96" s="18"/>
      <c r="P96" s="18"/>
      <c r="Q96" s="18"/>
      <c r="R96" s="18"/>
      <c r="S96" s="18"/>
      <c r="T96" s="18"/>
      <c r="U96" s="18"/>
      <c r="V96" s="18"/>
      <c r="W96" s="18"/>
      <c r="X96" s="18"/>
      <c r="Y96" s="18"/>
    </row>
    <row r="97" ht="15.75" customHeight="1">
      <c r="A97" s="18"/>
      <c r="B97" s="18"/>
      <c r="C97" s="18"/>
      <c r="D97" s="18"/>
      <c r="E97" s="18"/>
      <c r="F97" s="18"/>
      <c r="G97" s="18"/>
      <c r="H97" s="18"/>
      <c r="I97" s="18"/>
      <c r="J97" s="18"/>
      <c r="K97" s="18"/>
      <c r="L97" s="18"/>
      <c r="M97" s="18"/>
      <c r="N97" s="18"/>
      <c r="O97" s="18"/>
      <c r="P97" s="18"/>
      <c r="Q97" s="18"/>
      <c r="R97" s="18"/>
      <c r="S97" s="18"/>
      <c r="T97" s="18"/>
      <c r="U97" s="18"/>
      <c r="V97" s="18"/>
      <c r="W97" s="18"/>
      <c r="X97" s="18"/>
      <c r="Y97" s="18"/>
    </row>
    <row r="98" ht="15.75" customHeight="1">
      <c r="A98" s="18"/>
      <c r="B98" s="18"/>
      <c r="C98" s="18"/>
      <c r="D98" s="18"/>
      <c r="E98" s="18"/>
      <c r="F98" s="18"/>
      <c r="G98" s="18"/>
      <c r="H98" s="18"/>
      <c r="I98" s="18"/>
      <c r="J98" s="18"/>
      <c r="K98" s="18"/>
      <c r="L98" s="18"/>
      <c r="M98" s="18"/>
      <c r="N98" s="18"/>
      <c r="O98" s="18"/>
      <c r="P98" s="18"/>
      <c r="Q98" s="18"/>
      <c r="R98" s="18"/>
      <c r="S98" s="18"/>
      <c r="T98" s="18"/>
      <c r="U98" s="18"/>
      <c r="V98" s="18"/>
      <c r="W98" s="18"/>
      <c r="X98" s="18"/>
      <c r="Y98" s="18"/>
    </row>
    <row r="99" ht="15.75" customHeight="1">
      <c r="A99" s="18"/>
      <c r="B99" s="18"/>
      <c r="C99" s="18"/>
      <c r="D99" s="18"/>
      <c r="E99" s="18"/>
      <c r="F99" s="18"/>
      <c r="G99" s="18"/>
      <c r="H99" s="18"/>
      <c r="I99" s="18"/>
      <c r="J99" s="18"/>
      <c r="K99" s="18"/>
      <c r="L99" s="18"/>
      <c r="M99" s="18"/>
      <c r="N99" s="18"/>
      <c r="O99" s="18"/>
      <c r="P99" s="18"/>
      <c r="Q99" s="18"/>
      <c r="R99" s="18"/>
      <c r="S99" s="18"/>
      <c r="T99" s="18"/>
      <c r="U99" s="18"/>
      <c r="V99" s="18"/>
      <c r="W99" s="18"/>
      <c r="X99" s="18"/>
      <c r="Y99" s="18"/>
    </row>
    <row r="100" ht="15.75" customHeight="1">
      <c r="A100" s="18"/>
      <c r="B100" s="18"/>
      <c r="C100" s="18"/>
      <c r="D100" s="18"/>
      <c r="E100" s="18"/>
      <c r="F100" s="18"/>
      <c r="G100" s="18"/>
      <c r="H100" s="18"/>
      <c r="I100" s="18"/>
      <c r="J100" s="18"/>
      <c r="K100" s="18"/>
      <c r="L100" s="18"/>
      <c r="M100" s="18"/>
      <c r="N100" s="18"/>
      <c r="O100" s="18"/>
      <c r="P100" s="18"/>
      <c r="Q100" s="18"/>
      <c r="R100" s="18"/>
      <c r="S100" s="18"/>
      <c r="T100" s="18"/>
      <c r="U100" s="18"/>
      <c r="V100" s="18"/>
      <c r="W100" s="18"/>
      <c r="X100" s="18"/>
      <c r="Y100" s="18"/>
    </row>
    <row r="101" ht="15.75" customHeight="1">
      <c r="A101" s="18"/>
      <c r="B101" s="18"/>
      <c r="C101" s="18"/>
      <c r="D101" s="18"/>
      <c r="E101" s="18"/>
      <c r="F101" s="18"/>
      <c r="G101" s="18"/>
      <c r="H101" s="18"/>
      <c r="I101" s="18"/>
      <c r="J101" s="18"/>
      <c r="K101" s="18"/>
      <c r="L101" s="18"/>
      <c r="M101" s="18"/>
      <c r="N101" s="18"/>
      <c r="O101" s="18"/>
      <c r="P101" s="18"/>
      <c r="Q101" s="18"/>
      <c r="R101" s="18"/>
      <c r="S101" s="18"/>
      <c r="T101" s="18"/>
      <c r="U101" s="18"/>
      <c r="V101" s="18"/>
      <c r="W101" s="18"/>
      <c r="X101" s="18"/>
      <c r="Y101" s="18"/>
    </row>
    <row r="102" ht="15.75" customHeight="1">
      <c r="A102" s="18"/>
      <c r="B102" s="18"/>
      <c r="C102" s="18"/>
      <c r="D102" s="18"/>
      <c r="E102" s="18"/>
      <c r="F102" s="18"/>
      <c r="G102" s="18"/>
      <c r="H102" s="18"/>
      <c r="I102" s="18"/>
      <c r="J102" s="18"/>
      <c r="K102" s="18"/>
      <c r="L102" s="18"/>
      <c r="M102" s="18"/>
      <c r="N102" s="18"/>
      <c r="O102" s="18"/>
      <c r="P102" s="18"/>
      <c r="Q102" s="18"/>
      <c r="R102" s="18"/>
      <c r="S102" s="18"/>
      <c r="T102" s="18"/>
      <c r="U102" s="18"/>
      <c r="V102" s="18"/>
      <c r="W102" s="18"/>
      <c r="X102" s="18"/>
      <c r="Y102" s="18"/>
    </row>
    <row r="103" ht="15.75" customHeight="1">
      <c r="A103" s="18"/>
      <c r="B103" s="18"/>
      <c r="C103" s="18"/>
      <c r="D103" s="18"/>
      <c r="E103" s="18"/>
      <c r="F103" s="18"/>
      <c r="G103" s="18"/>
      <c r="H103" s="18"/>
      <c r="I103" s="18"/>
      <c r="J103" s="18"/>
      <c r="K103" s="18"/>
      <c r="L103" s="18"/>
      <c r="M103" s="18"/>
      <c r="N103" s="18"/>
      <c r="O103" s="18"/>
      <c r="P103" s="18"/>
      <c r="Q103" s="18"/>
      <c r="R103" s="18"/>
      <c r="S103" s="18"/>
      <c r="T103" s="18"/>
      <c r="U103" s="18"/>
      <c r="V103" s="18"/>
      <c r="W103" s="18"/>
      <c r="X103" s="18"/>
      <c r="Y103" s="18"/>
    </row>
    <row r="104" ht="15.75" customHeight="1">
      <c r="A104" s="18"/>
      <c r="B104" s="18"/>
      <c r="C104" s="18"/>
      <c r="D104" s="18"/>
      <c r="E104" s="18"/>
      <c r="F104" s="18"/>
      <c r="G104" s="18"/>
      <c r="H104" s="18"/>
      <c r="I104" s="18"/>
      <c r="J104" s="18"/>
      <c r="K104" s="18"/>
      <c r="L104" s="18"/>
      <c r="M104" s="18"/>
      <c r="N104" s="18"/>
      <c r="O104" s="18"/>
      <c r="P104" s="18"/>
      <c r="Q104" s="18"/>
      <c r="R104" s="18"/>
      <c r="S104" s="18"/>
      <c r="T104" s="18"/>
      <c r="U104" s="18"/>
      <c r="V104" s="18"/>
      <c r="W104" s="18"/>
      <c r="X104" s="18"/>
      <c r="Y104" s="18"/>
    </row>
    <row r="105" ht="15.75" customHeight="1">
      <c r="A105" s="18"/>
      <c r="B105" s="18"/>
      <c r="C105" s="18"/>
      <c r="D105" s="18"/>
      <c r="E105" s="18"/>
      <c r="F105" s="18"/>
      <c r="G105" s="18"/>
      <c r="H105" s="18"/>
      <c r="I105" s="18"/>
      <c r="J105" s="18"/>
      <c r="K105" s="18"/>
      <c r="L105" s="18"/>
      <c r="M105" s="18"/>
      <c r="N105" s="18"/>
      <c r="O105" s="18"/>
      <c r="P105" s="18"/>
      <c r="Q105" s="18"/>
      <c r="R105" s="18"/>
      <c r="S105" s="18"/>
      <c r="T105" s="18"/>
      <c r="U105" s="18"/>
      <c r="V105" s="18"/>
      <c r="W105" s="18"/>
      <c r="X105" s="18"/>
      <c r="Y105" s="18"/>
    </row>
    <row r="106" ht="15.75" customHeight="1">
      <c r="A106" s="18"/>
      <c r="B106" s="18"/>
      <c r="C106" s="18"/>
      <c r="D106" s="18"/>
      <c r="E106" s="18"/>
      <c r="F106" s="18"/>
      <c r="G106" s="18"/>
      <c r="H106" s="18"/>
      <c r="I106" s="18"/>
      <c r="J106" s="18"/>
      <c r="K106" s="18"/>
      <c r="L106" s="18"/>
      <c r="M106" s="18"/>
      <c r="N106" s="18"/>
      <c r="O106" s="18"/>
      <c r="P106" s="18"/>
      <c r="Q106" s="18"/>
      <c r="R106" s="18"/>
      <c r="S106" s="18"/>
      <c r="T106" s="18"/>
      <c r="U106" s="18"/>
      <c r="V106" s="18"/>
      <c r="W106" s="18"/>
      <c r="X106" s="18"/>
      <c r="Y106" s="18"/>
    </row>
    <row r="107" ht="15.75" customHeight="1">
      <c r="A107" s="18"/>
      <c r="B107" s="18"/>
      <c r="C107" s="18"/>
      <c r="D107" s="18"/>
      <c r="E107" s="18"/>
      <c r="F107" s="18"/>
      <c r="G107" s="18"/>
      <c r="H107" s="18"/>
      <c r="I107" s="18"/>
      <c r="J107" s="18"/>
      <c r="K107" s="18"/>
      <c r="L107" s="18"/>
      <c r="M107" s="18"/>
      <c r="N107" s="18"/>
      <c r="O107" s="18"/>
      <c r="P107" s="18"/>
      <c r="Q107" s="18"/>
      <c r="R107" s="18"/>
      <c r="S107" s="18"/>
      <c r="T107" s="18"/>
      <c r="U107" s="18"/>
      <c r="V107" s="18"/>
      <c r="W107" s="18"/>
      <c r="X107" s="18"/>
      <c r="Y107" s="18"/>
    </row>
    <row r="108" ht="15.75" customHeight="1">
      <c r="A108" s="18"/>
      <c r="B108" s="18"/>
      <c r="C108" s="18"/>
      <c r="D108" s="18"/>
      <c r="E108" s="18"/>
      <c r="F108" s="18"/>
      <c r="G108" s="18"/>
      <c r="H108" s="18"/>
      <c r="I108" s="18"/>
      <c r="J108" s="18"/>
      <c r="K108" s="18"/>
      <c r="L108" s="18"/>
      <c r="M108" s="18"/>
      <c r="N108" s="18"/>
      <c r="O108" s="18"/>
      <c r="P108" s="18"/>
      <c r="Q108" s="18"/>
      <c r="R108" s="18"/>
      <c r="S108" s="18"/>
      <c r="T108" s="18"/>
      <c r="U108" s="18"/>
      <c r="V108" s="18"/>
      <c r="W108" s="18"/>
      <c r="X108" s="18"/>
      <c r="Y108" s="18"/>
    </row>
    <row r="109" ht="15.75" customHeight="1">
      <c r="A109" s="18"/>
      <c r="B109" s="18"/>
      <c r="C109" s="18"/>
      <c r="D109" s="18"/>
      <c r="E109" s="18"/>
      <c r="F109" s="18"/>
      <c r="G109" s="18"/>
      <c r="H109" s="18"/>
      <c r="I109" s="18"/>
      <c r="J109" s="18"/>
      <c r="K109" s="18"/>
      <c r="L109" s="18"/>
      <c r="M109" s="18"/>
      <c r="N109" s="18"/>
      <c r="O109" s="18"/>
      <c r="P109" s="18"/>
      <c r="Q109" s="18"/>
      <c r="R109" s="18"/>
      <c r="S109" s="18"/>
      <c r="T109" s="18"/>
      <c r="U109" s="18"/>
      <c r="V109" s="18"/>
      <c r="W109" s="18"/>
      <c r="X109" s="18"/>
      <c r="Y109" s="18"/>
    </row>
    <row r="110" ht="15.75" customHeight="1">
      <c r="A110" s="18"/>
      <c r="B110" s="18"/>
      <c r="C110" s="18"/>
      <c r="D110" s="18"/>
      <c r="E110" s="18"/>
      <c r="F110" s="18"/>
      <c r="G110" s="18"/>
      <c r="H110" s="18"/>
      <c r="I110" s="18"/>
      <c r="J110" s="18"/>
      <c r="K110" s="18"/>
      <c r="L110" s="18"/>
      <c r="M110" s="18"/>
      <c r="N110" s="18"/>
      <c r="O110" s="18"/>
      <c r="P110" s="18"/>
      <c r="Q110" s="18"/>
      <c r="R110" s="18"/>
      <c r="S110" s="18"/>
      <c r="T110" s="18"/>
      <c r="U110" s="18"/>
      <c r="V110" s="18"/>
      <c r="W110" s="18"/>
      <c r="X110" s="18"/>
      <c r="Y110" s="18"/>
    </row>
    <row r="111" ht="15.75" customHeight="1">
      <c r="A111" s="18"/>
      <c r="B111" s="18"/>
      <c r="C111" s="18"/>
      <c r="D111" s="18"/>
      <c r="E111" s="18"/>
      <c r="F111" s="18"/>
      <c r="G111" s="18"/>
      <c r="H111" s="18"/>
      <c r="I111" s="18"/>
      <c r="J111" s="18"/>
      <c r="K111" s="18"/>
      <c r="L111" s="18"/>
      <c r="M111" s="18"/>
      <c r="N111" s="18"/>
      <c r="O111" s="18"/>
      <c r="P111" s="18"/>
      <c r="Q111" s="18"/>
      <c r="R111" s="18"/>
      <c r="S111" s="18"/>
      <c r="T111" s="18"/>
      <c r="U111" s="18"/>
      <c r="V111" s="18"/>
      <c r="W111" s="18"/>
      <c r="X111" s="18"/>
      <c r="Y111" s="18"/>
    </row>
    <row r="112" ht="15.75" customHeight="1">
      <c r="A112" s="18"/>
      <c r="B112" s="18"/>
      <c r="C112" s="18"/>
      <c r="D112" s="18"/>
      <c r="E112" s="18"/>
      <c r="F112" s="18"/>
      <c r="G112" s="18"/>
      <c r="H112" s="18"/>
      <c r="I112" s="18"/>
      <c r="J112" s="18"/>
      <c r="K112" s="18"/>
      <c r="L112" s="18"/>
      <c r="M112" s="18"/>
      <c r="N112" s="18"/>
      <c r="O112" s="18"/>
      <c r="P112" s="18"/>
      <c r="Q112" s="18"/>
      <c r="R112" s="18"/>
      <c r="S112" s="18"/>
      <c r="T112" s="18"/>
      <c r="U112" s="18"/>
      <c r="V112" s="18"/>
      <c r="W112" s="18"/>
      <c r="X112" s="18"/>
      <c r="Y112" s="18"/>
    </row>
    <row r="113" ht="15.75" customHeight="1">
      <c r="A113" s="18"/>
      <c r="B113" s="18"/>
      <c r="C113" s="18"/>
      <c r="D113" s="18"/>
      <c r="E113" s="18"/>
      <c r="F113" s="18"/>
      <c r="G113" s="18"/>
      <c r="H113" s="18"/>
      <c r="I113" s="18"/>
      <c r="J113" s="18"/>
      <c r="K113" s="18"/>
      <c r="L113" s="18"/>
      <c r="M113" s="18"/>
      <c r="N113" s="18"/>
      <c r="O113" s="18"/>
      <c r="P113" s="18"/>
      <c r="Q113" s="18"/>
      <c r="R113" s="18"/>
      <c r="S113" s="18"/>
      <c r="T113" s="18"/>
      <c r="U113" s="18"/>
      <c r="V113" s="18"/>
      <c r="W113" s="18"/>
      <c r="X113" s="18"/>
      <c r="Y113" s="18"/>
    </row>
    <row r="114" ht="15.75" customHeight="1">
      <c r="A114" s="18"/>
      <c r="B114" s="18"/>
      <c r="C114" s="18"/>
      <c r="D114" s="18"/>
      <c r="E114" s="18"/>
      <c r="F114" s="18"/>
      <c r="G114" s="18"/>
      <c r="H114" s="18"/>
      <c r="I114" s="18"/>
      <c r="J114" s="18"/>
      <c r="K114" s="18"/>
      <c r="L114" s="18"/>
      <c r="M114" s="18"/>
      <c r="N114" s="18"/>
      <c r="O114" s="18"/>
      <c r="P114" s="18"/>
      <c r="Q114" s="18"/>
      <c r="R114" s="18"/>
      <c r="S114" s="18"/>
      <c r="T114" s="18"/>
      <c r="U114" s="18"/>
      <c r="V114" s="18"/>
      <c r="W114" s="18"/>
      <c r="X114" s="18"/>
      <c r="Y114" s="18"/>
    </row>
    <row r="115" ht="15.75" customHeight="1">
      <c r="A115" s="18"/>
      <c r="B115" s="18"/>
      <c r="C115" s="18"/>
      <c r="D115" s="18"/>
      <c r="E115" s="18"/>
      <c r="F115" s="18"/>
      <c r="G115" s="18"/>
      <c r="H115" s="18"/>
      <c r="I115" s="18"/>
      <c r="J115" s="18"/>
      <c r="K115" s="18"/>
      <c r="L115" s="18"/>
      <c r="M115" s="18"/>
      <c r="N115" s="18"/>
      <c r="O115" s="18"/>
      <c r="P115" s="18"/>
      <c r="Q115" s="18"/>
      <c r="R115" s="18"/>
      <c r="S115" s="18"/>
      <c r="T115" s="18"/>
      <c r="U115" s="18"/>
      <c r="V115" s="18"/>
      <c r="W115" s="18"/>
      <c r="X115" s="18"/>
      <c r="Y115" s="18"/>
    </row>
    <row r="116" ht="15.75" customHeight="1">
      <c r="A116" s="18"/>
      <c r="B116" s="18"/>
      <c r="C116" s="18"/>
      <c r="D116" s="18"/>
      <c r="E116" s="18"/>
      <c r="F116" s="18"/>
      <c r="G116" s="18"/>
      <c r="H116" s="18"/>
      <c r="I116" s="18"/>
      <c r="J116" s="18"/>
      <c r="K116" s="18"/>
      <c r="L116" s="18"/>
      <c r="M116" s="18"/>
      <c r="N116" s="18"/>
      <c r="O116" s="18"/>
      <c r="P116" s="18"/>
      <c r="Q116" s="18"/>
      <c r="R116" s="18"/>
      <c r="S116" s="18"/>
      <c r="T116" s="18"/>
      <c r="U116" s="18"/>
      <c r="V116" s="18"/>
      <c r="W116" s="18"/>
      <c r="X116" s="18"/>
      <c r="Y116" s="18"/>
    </row>
    <row r="117" ht="15.75" customHeight="1">
      <c r="A117" s="18"/>
      <c r="B117" s="18"/>
      <c r="C117" s="18"/>
      <c r="D117" s="18"/>
      <c r="E117" s="18"/>
      <c r="F117" s="18"/>
      <c r="G117" s="18"/>
      <c r="H117" s="18"/>
      <c r="I117" s="18"/>
      <c r="J117" s="18"/>
      <c r="K117" s="18"/>
      <c r="L117" s="18"/>
      <c r="M117" s="18"/>
      <c r="N117" s="18"/>
      <c r="O117" s="18"/>
      <c r="P117" s="18"/>
      <c r="Q117" s="18"/>
      <c r="R117" s="18"/>
      <c r="S117" s="18"/>
      <c r="T117" s="18"/>
      <c r="U117" s="18"/>
      <c r="V117" s="18"/>
      <c r="W117" s="18"/>
      <c r="X117" s="18"/>
      <c r="Y117" s="18"/>
    </row>
    <row r="118" ht="15.75" customHeight="1">
      <c r="A118" s="18"/>
      <c r="B118" s="18"/>
      <c r="C118" s="18"/>
      <c r="D118" s="18"/>
      <c r="E118" s="18"/>
      <c r="F118" s="18"/>
      <c r="G118" s="18"/>
      <c r="H118" s="18"/>
      <c r="I118" s="18"/>
      <c r="J118" s="18"/>
      <c r="K118" s="18"/>
      <c r="L118" s="18"/>
      <c r="M118" s="18"/>
      <c r="N118" s="18"/>
      <c r="O118" s="18"/>
      <c r="P118" s="18"/>
      <c r="Q118" s="18"/>
      <c r="R118" s="18"/>
      <c r="S118" s="18"/>
      <c r="T118" s="18"/>
      <c r="U118" s="18"/>
      <c r="V118" s="18"/>
      <c r="W118" s="18"/>
      <c r="X118" s="18"/>
      <c r="Y118" s="18"/>
    </row>
    <row r="119" ht="15.75" customHeight="1">
      <c r="A119" s="18"/>
      <c r="B119" s="18"/>
      <c r="C119" s="18"/>
      <c r="D119" s="18"/>
      <c r="E119" s="18"/>
      <c r="F119" s="18"/>
      <c r="G119" s="18"/>
      <c r="H119" s="18"/>
      <c r="I119" s="18"/>
      <c r="J119" s="18"/>
      <c r="K119" s="18"/>
      <c r="L119" s="18"/>
      <c r="M119" s="18"/>
      <c r="N119" s="18"/>
      <c r="O119" s="18"/>
      <c r="P119" s="18"/>
      <c r="Q119" s="18"/>
      <c r="R119" s="18"/>
      <c r="S119" s="18"/>
      <c r="T119" s="18"/>
      <c r="U119" s="18"/>
      <c r="V119" s="18"/>
      <c r="W119" s="18"/>
      <c r="X119" s="18"/>
      <c r="Y119" s="18"/>
    </row>
    <row r="120" ht="15.75" customHeight="1">
      <c r="A120" s="18"/>
      <c r="B120" s="18"/>
      <c r="C120" s="18"/>
      <c r="D120" s="18"/>
      <c r="E120" s="18"/>
      <c r="F120" s="18"/>
      <c r="G120" s="18"/>
      <c r="H120" s="18"/>
      <c r="I120" s="18"/>
      <c r="J120" s="18"/>
      <c r="K120" s="18"/>
      <c r="L120" s="18"/>
      <c r="M120" s="18"/>
      <c r="N120" s="18"/>
      <c r="O120" s="18"/>
      <c r="P120" s="18"/>
      <c r="Q120" s="18"/>
      <c r="R120" s="18"/>
      <c r="S120" s="18"/>
      <c r="T120" s="18"/>
      <c r="U120" s="18"/>
      <c r="V120" s="18"/>
      <c r="W120" s="18"/>
      <c r="X120" s="18"/>
      <c r="Y120" s="18"/>
    </row>
    <row r="121" ht="15.75" customHeight="1">
      <c r="A121" s="18"/>
      <c r="B121" s="18"/>
      <c r="C121" s="18"/>
      <c r="D121" s="18"/>
      <c r="E121" s="18"/>
      <c r="F121" s="18"/>
      <c r="G121" s="18"/>
      <c r="H121" s="18"/>
      <c r="I121" s="18"/>
      <c r="J121" s="18"/>
      <c r="K121" s="18"/>
      <c r="L121" s="18"/>
      <c r="M121" s="18"/>
      <c r="N121" s="18"/>
      <c r="O121" s="18"/>
      <c r="P121" s="18"/>
      <c r="Q121" s="18"/>
      <c r="R121" s="18"/>
      <c r="S121" s="18"/>
      <c r="T121" s="18"/>
      <c r="U121" s="18"/>
      <c r="V121" s="18"/>
      <c r="W121" s="18"/>
      <c r="X121" s="18"/>
      <c r="Y121" s="18"/>
    </row>
    <row r="122" ht="15.75" customHeight="1">
      <c r="A122" s="18"/>
      <c r="B122" s="18"/>
      <c r="C122" s="18"/>
      <c r="D122" s="18"/>
      <c r="E122" s="18"/>
      <c r="F122" s="18"/>
      <c r="G122" s="18"/>
      <c r="H122" s="18"/>
      <c r="I122" s="18"/>
      <c r="J122" s="18"/>
      <c r="K122" s="18"/>
      <c r="L122" s="18"/>
      <c r="M122" s="18"/>
      <c r="N122" s="18"/>
      <c r="O122" s="18"/>
      <c r="P122" s="18"/>
      <c r="Q122" s="18"/>
      <c r="R122" s="18"/>
      <c r="S122" s="18"/>
      <c r="T122" s="18"/>
      <c r="U122" s="18"/>
      <c r="V122" s="18"/>
      <c r="W122" s="18"/>
      <c r="X122" s="18"/>
      <c r="Y122" s="18"/>
    </row>
    <row r="123" ht="15.75" customHeight="1">
      <c r="A123" s="18"/>
      <c r="B123" s="18"/>
      <c r="C123" s="18"/>
      <c r="D123" s="18"/>
      <c r="E123" s="18"/>
      <c r="F123" s="18"/>
      <c r="G123" s="18"/>
      <c r="H123" s="18"/>
      <c r="I123" s="18"/>
      <c r="J123" s="18"/>
      <c r="K123" s="18"/>
      <c r="L123" s="18"/>
      <c r="M123" s="18"/>
      <c r="N123" s="18"/>
      <c r="O123" s="18"/>
      <c r="P123" s="18"/>
      <c r="Q123" s="18"/>
      <c r="R123" s="18"/>
      <c r="S123" s="18"/>
      <c r="T123" s="18"/>
      <c r="U123" s="18"/>
      <c r="V123" s="18"/>
      <c r="W123" s="18"/>
      <c r="X123" s="18"/>
      <c r="Y123" s="18"/>
    </row>
    <row r="124" ht="15.75" customHeight="1">
      <c r="A124" s="18"/>
      <c r="B124" s="18"/>
      <c r="C124" s="18"/>
      <c r="D124" s="18"/>
      <c r="E124" s="18"/>
      <c r="F124" s="18"/>
      <c r="G124" s="18"/>
      <c r="H124" s="18"/>
      <c r="I124" s="18"/>
      <c r="J124" s="18"/>
      <c r="K124" s="18"/>
      <c r="L124" s="18"/>
      <c r="M124" s="18"/>
      <c r="N124" s="18"/>
      <c r="O124" s="18"/>
      <c r="P124" s="18"/>
      <c r="Q124" s="18"/>
      <c r="R124" s="18"/>
      <c r="S124" s="18"/>
      <c r="T124" s="18"/>
      <c r="U124" s="18"/>
      <c r="V124" s="18"/>
      <c r="W124" s="18"/>
      <c r="X124" s="18"/>
      <c r="Y124" s="18"/>
    </row>
    <row r="125" ht="15.75" customHeight="1">
      <c r="A125" s="18"/>
      <c r="B125" s="18"/>
      <c r="C125" s="18"/>
      <c r="D125" s="18"/>
      <c r="E125" s="18"/>
      <c r="F125" s="18"/>
      <c r="G125" s="18"/>
      <c r="H125" s="18"/>
      <c r="I125" s="18"/>
      <c r="J125" s="18"/>
      <c r="K125" s="18"/>
      <c r="L125" s="18"/>
      <c r="M125" s="18"/>
      <c r="N125" s="18"/>
      <c r="O125" s="18"/>
      <c r="P125" s="18"/>
      <c r="Q125" s="18"/>
      <c r="R125" s="18"/>
      <c r="S125" s="18"/>
      <c r="T125" s="18"/>
      <c r="U125" s="18"/>
      <c r="V125" s="18"/>
      <c r="W125" s="18"/>
      <c r="X125" s="18"/>
      <c r="Y125" s="18"/>
    </row>
    <row r="126" ht="15.75" customHeight="1">
      <c r="A126" s="18"/>
      <c r="B126" s="18"/>
      <c r="C126" s="18"/>
      <c r="D126" s="18"/>
      <c r="E126" s="18"/>
      <c r="F126" s="18"/>
      <c r="G126" s="18"/>
      <c r="H126" s="18"/>
      <c r="I126" s="18"/>
      <c r="J126" s="18"/>
      <c r="K126" s="18"/>
      <c r="L126" s="18"/>
      <c r="M126" s="18"/>
      <c r="N126" s="18"/>
      <c r="O126" s="18"/>
      <c r="P126" s="18"/>
      <c r="Q126" s="18"/>
      <c r="R126" s="18"/>
      <c r="S126" s="18"/>
      <c r="T126" s="18"/>
      <c r="U126" s="18"/>
      <c r="V126" s="18"/>
      <c r="W126" s="18"/>
      <c r="X126" s="18"/>
      <c r="Y126" s="18"/>
    </row>
    <row r="127" ht="15.75" customHeight="1">
      <c r="A127" s="18"/>
      <c r="B127" s="18"/>
      <c r="C127" s="18"/>
      <c r="D127" s="18"/>
      <c r="E127" s="18"/>
      <c r="F127" s="18"/>
      <c r="G127" s="18"/>
      <c r="H127" s="18"/>
      <c r="I127" s="18"/>
      <c r="J127" s="18"/>
      <c r="K127" s="18"/>
      <c r="L127" s="18"/>
      <c r="M127" s="18"/>
      <c r="N127" s="18"/>
      <c r="O127" s="18"/>
      <c r="P127" s="18"/>
      <c r="Q127" s="18"/>
      <c r="R127" s="18"/>
      <c r="S127" s="18"/>
      <c r="T127" s="18"/>
      <c r="U127" s="18"/>
      <c r="V127" s="18"/>
      <c r="W127" s="18"/>
      <c r="X127" s="18"/>
      <c r="Y127" s="18"/>
    </row>
    <row r="128" ht="15.75" customHeight="1">
      <c r="A128" s="18"/>
      <c r="B128" s="18"/>
      <c r="C128" s="18"/>
      <c r="D128" s="18"/>
      <c r="E128" s="18"/>
      <c r="F128" s="18"/>
      <c r="G128" s="18"/>
      <c r="H128" s="18"/>
      <c r="I128" s="18"/>
      <c r="J128" s="18"/>
      <c r="K128" s="18"/>
      <c r="L128" s="18"/>
      <c r="M128" s="18"/>
      <c r="N128" s="18"/>
      <c r="O128" s="18"/>
      <c r="P128" s="18"/>
      <c r="Q128" s="18"/>
      <c r="R128" s="18"/>
      <c r="S128" s="18"/>
      <c r="T128" s="18"/>
      <c r="U128" s="18"/>
      <c r="V128" s="18"/>
      <c r="W128" s="18"/>
      <c r="X128" s="18"/>
      <c r="Y128" s="18"/>
    </row>
    <row r="129" ht="15.75" customHeight="1">
      <c r="A129" s="18"/>
      <c r="B129" s="18"/>
      <c r="C129" s="18"/>
      <c r="D129" s="18"/>
      <c r="E129" s="18"/>
      <c r="F129" s="18"/>
      <c r="G129" s="18"/>
      <c r="H129" s="18"/>
      <c r="I129" s="18"/>
      <c r="J129" s="18"/>
      <c r="K129" s="18"/>
      <c r="L129" s="18"/>
      <c r="M129" s="18"/>
      <c r="N129" s="18"/>
      <c r="O129" s="18"/>
      <c r="P129" s="18"/>
      <c r="Q129" s="18"/>
      <c r="R129" s="18"/>
      <c r="S129" s="18"/>
      <c r="T129" s="18"/>
      <c r="U129" s="18"/>
      <c r="V129" s="18"/>
      <c r="W129" s="18"/>
      <c r="X129" s="18"/>
      <c r="Y129" s="18"/>
    </row>
    <row r="130" ht="15.75" customHeight="1">
      <c r="A130" s="18"/>
      <c r="B130" s="18"/>
      <c r="C130" s="18"/>
      <c r="D130" s="18"/>
      <c r="E130" s="18"/>
      <c r="F130" s="18"/>
      <c r="G130" s="18"/>
      <c r="H130" s="18"/>
      <c r="I130" s="18"/>
      <c r="J130" s="18"/>
      <c r="K130" s="18"/>
      <c r="L130" s="18"/>
      <c r="M130" s="18"/>
      <c r="N130" s="18"/>
      <c r="O130" s="18"/>
      <c r="P130" s="18"/>
      <c r="Q130" s="18"/>
      <c r="R130" s="18"/>
      <c r="S130" s="18"/>
      <c r="T130" s="18"/>
      <c r="U130" s="18"/>
      <c r="V130" s="18"/>
      <c r="W130" s="18"/>
      <c r="X130" s="18"/>
      <c r="Y130" s="18"/>
    </row>
    <row r="131" ht="15.75" customHeight="1">
      <c r="A131" s="18"/>
      <c r="B131" s="18"/>
      <c r="C131" s="18"/>
      <c r="D131" s="18"/>
      <c r="E131" s="18"/>
      <c r="F131" s="18"/>
      <c r="G131" s="18"/>
      <c r="H131" s="18"/>
      <c r="I131" s="18"/>
      <c r="J131" s="18"/>
      <c r="K131" s="18"/>
      <c r="L131" s="18"/>
      <c r="M131" s="18"/>
      <c r="N131" s="18"/>
      <c r="O131" s="18"/>
      <c r="P131" s="18"/>
      <c r="Q131" s="18"/>
      <c r="R131" s="18"/>
      <c r="S131" s="18"/>
      <c r="T131" s="18"/>
      <c r="U131" s="18"/>
      <c r="V131" s="18"/>
      <c r="W131" s="18"/>
      <c r="X131" s="18"/>
      <c r="Y131" s="18"/>
    </row>
    <row r="132" ht="15.75" customHeight="1">
      <c r="A132" s="18"/>
      <c r="B132" s="18"/>
      <c r="C132" s="18"/>
      <c r="D132" s="18"/>
      <c r="E132" s="18"/>
      <c r="F132" s="18"/>
      <c r="G132" s="18"/>
      <c r="H132" s="18"/>
      <c r="I132" s="18"/>
      <c r="J132" s="18"/>
      <c r="K132" s="18"/>
      <c r="L132" s="18"/>
      <c r="M132" s="18"/>
      <c r="N132" s="18"/>
      <c r="O132" s="18"/>
      <c r="P132" s="18"/>
      <c r="Q132" s="18"/>
      <c r="R132" s="18"/>
      <c r="S132" s="18"/>
      <c r="T132" s="18"/>
      <c r="U132" s="18"/>
      <c r="V132" s="18"/>
      <c r="W132" s="18"/>
      <c r="X132" s="18"/>
      <c r="Y132" s="18"/>
    </row>
    <row r="133" ht="15.75" customHeight="1">
      <c r="A133" s="18"/>
      <c r="B133" s="18"/>
      <c r="C133" s="18"/>
      <c r="D133" s="18"/>
      <c r="E133" s="18"/>
      <c r="F133" s="18"/>
      <c r="G133" s="18"/>
      <c r="H133" s="18"/>
      <c r="I133" s="18"/>
      <c r="J133" s="18"/>
      <c r="K133" s="18"/>
      <c r="L133" s="18"/>
      <c r="M133" s="18"/>
      <c r="N133" s="18"/>
      <c r="O133" s="18"/>
      <c r="P133" s="18"/>
      <c r="Q133" s="18"/>
      <c r="R133" s="18"/>
      <c r="S133" s="18"/>
      <c r="T133" s="18"/>
      <c r="U133" s="18"/>
      <c r="V133" s="18"/>
      <c r="W133" s="18"/>
      <c r="X133" s="18"/>
      <c r="Y133" s="18"/>
    </row>
    <row r="134" ht="15.75" customHeight="1">
      <c r="A134" s="18"/>
      <c r="B134" s="18"/>
      <c r="C134" s="18"/>
      <c r="D134" s="18"/>
      <c r="E134" s="18"/>
      <c r="F134" s="18"/>
      <c r="G134" s="18"/>
      <c r="H134" s="18"/>
      <c r="I134" s="18"/>
      <c r="J134" s="18"/>
      <c r="K134" s="18"/>
      <c r="L134" s="18"/>
      <c r="M134" s="18"/>
      <c r="N134" s="18"/>
      <c r="O134" s="18"/>
      <c r="P134" s="18"/>
      <c r="Q134" s="18"/>
      <c r="R134" s="18"/>
      <c r="S134" s="18"/>
      <c r="T134" s="18"/>
      <c r="U134" s="18"/>
      <c r="V134" s="18"/>
      <c r="W134" s="18"/>
      <c r="X134" s="18"/>
      <c r="Y134" s="18"/>
    </row>
    <row r="135" ht="15.75" customHeight="1">
      <c r="A135" s="18"/>
      <c r="B135" s="18"/>
      <c r="C135" s="18"/>
      <c r="D135" s="18"/>
      <c r="E135" s="18"/>
      <c r="F135" s="18"/>
      <c r="G135" s="18"/>
      <c r="H135" s="18"/>
      <c r="I135" s="18"/>
      <c r="J135" s="18"/>
      <c r="K135" s="18"/>
      <c r="L135" s="18"/>
      <c r="M135" s="18"/>
      <c r="N135" s="18"/>
      <c r="O135" s="18"/>
      <c r="P135" s="18"/>
      <c r="Q135" s="18"/>
      <c r="R135" s="18"/>
      <c r="S135" s="18"/>
      <c r="T135" s="18"/>
      <c r="U135" s="18"/>
      <c r="V135" s="18"/>
      <c r="W135" s="18"/>
      <c r="X135" s="18"/>
      <c r="Y135" s="18"/>
    </row>
    <row r="136" ht="15.75" customHeight="1">
      <c r="A136" s="18"/>
      <c r="B136" s="18"/>
      <c r="C136" s="18"/>
      <c r="D136" s="18"/>
      <c r="E136" s="18"/>
      <c r="F136" s="18"/>
      <c r="G136" s="18"/>
      <c r="H136" s="18"/>
      <c r="I136" s="18"/>
      <c r="J136" s="18"/>
      <c r="K136" s="18"/>
      <c r="L136" s="18"/>
      <c r="M136" s="18"/>
      <c r="N136" s="18"/>
      <c r="O136" s="18"/>
      <c r="P136" s="18"/>
      <c r="Q136" s="18"/>
      <c r="R136" s="18"/>
      <c r="S136" s="18"/>
      <c r="T136" s="18"/>
      <c r="U136" s="18"/>
      <c r="V136" s="18"/>
      <c r="W136" s="18"/>
      <c r="X136" s="18"/>
      <c r="Y136" s="18"/>
    </row>
    <row r="137" ht="15.75" customHeight="1">
      <c r="A137" s="18"/>
      <c r="B137" s="18"/>
      <c r="C137" s="18"/>
      <c r="D137" s="18"/>
      <c r="E137" s="18"/>
      <c r="F137" s="18"/>
      <c r="G137" s="18"/>
      <c r="H137" s="18"/>
      <c r="I137" s="18"/>
      <c r="J137" s="18"/>
      <c r="K137" s="18"/>
      <c r="L137" s="18"/>
      <c r="M137" s="18"/>
      <c r="N137" s="18"/>
      <c r="O137" s="18"/>
      <c r="P137" s="18"/>
      <c r="Q137" s="18"/>
      <c r="R137" s="18"/>
      <c r="S137" s="18"/>
      <c r="T137" s="18"/>
      <c r="U137" s="18"/>
      <c r="V137" s="18"/>
      <c r="W137" s="18"/>
      <c r="X137" s="18"/>
      <c r="Y137" s="18"/>
    </row>
    <row r="138" ht="15.75" customHeight="1">
      <c r="A138" s="18"/>
      <c r="B138" s="18"/>
      <c r="C138" s="18"/>
      <c r="D138" s="18"/>
      <c r="E138" s="18"/>
      <c r="F138" s="18"/>
      <c r="G138" s="18"/>
      <c r="H138" s="18"/>
      <c r="I138" s="18"/>
      <c r="J138" s="18"/>
      <c r="K138" s="18"/>
      <c r="L138" s="18"/>
      <c r="M138" s="18"/>
      <c r="N138" s="18"/>
      <c r="O138" s="18"/>
      <c r="P138" s="18"/>
      <c r="Q138" s="18"/>
      <c r="R138" s="18"/>
      <c r="S138" s="18"/>
      <c r="T138" s="18"/>
      <c r="U138" s="18"/>
      <c r="V138" s="18"/>
      <c r="W138" s="18"/>
      <c r="X138" s="18"/>
      <c r="Y138" s="18"/>
    </row>
    <row r="139" ht="15.75" customHeight="1">
      <c r="A139" s="18"/>
      <c r="B139" s="18"/>
      <c r="C139" s="18"/>
      <c r="D139" s="18"/>
      <c r="E139" s="18"/>
      <c r="F139" s="18"/>
      <c r="G139" s="18"/>
      <c r="H139" s="18"/>
      <c r="I139" s="18"/>
      <c r="J139" s="18"/>
      <c r="K139" s="18"/>
      <c r="L139" s="18"/>
      <c r="M139" s="18"/>
      <c r="N139" s="18"/>
      <c r="O139" s="18"/>
      <c r="P139" s="18"/>
      <c r="Q139" s="18"/>
      <c r="R139" s="18"/>
      <c r="S139" s="18"/>
      <c r="T139" s="18"/>
      <c r="U139" s="18"/>
      <c r="V139" s="18"/>
      <c r="W139" s="18"/>
      <c r="X139" s="18"/>
      <c r="Y139" s="18"/>
    </row>
    <row r="140" ht="15.75" customHeight="1">
      <c r="A140" s="18"/>
      <c r="B140" s="18"/>
      <c r="C140" s="18"/>
      <c r="D140" s="18"/>
      <c r="E140" s="18"/>
      <c r="F140" s="18"/>
      <c r="G140" s="18"/>
      <c r="H140" s="18"/>
      <c r="I140" s="18"/>
      <c r="J140" s="18"/>
      <c r="K140" s="18"/>
      <c r="L140" s="18"/>
      <c r="M140" s="18"/>
      <c r="N140" s="18"/>
      <c r="O140" s="18"/>
      <c r="P140" s="18"/>
      <c r="Q140" s="18"/>
      <c r="R140" s="18"/>
      <c r="S140" s="18"/>
      <c r="T140" s="18"/>
      <c r="U140" s="18"/>
      <c r="V140" s="18"/>
      <c r="W140" s="18"/>
      <c r="X140" s="18"/>
      <c r="Y140" s="18"/>
    </row>
    <row r="141" ht="15.75" customHeight="1">
      <c r="A141" s="18"/>
      <c r="B141" s="18"/>
      <c r="C141" s="18"/>
      <c r="D141" s="18"/>
      <c r="E141" s="18"/>
      <c r="F141" s="18"/>
      <c r="G141" s="18"/>
      <c r="H141" s="18"/>
      <c r="I141" s="18"/>
      <c r="J141" s="18"/>
      <c r="K141" s="18"/>
      <c r="L141" s="18"/>
      <c r="M141" s="18"/>
      <c r="N141" s="18"/>
      <c r="O141" s="18"/>
      <c r="P141" s="18"/>
      <c r="Q141" s="18"/>
      <c r="R141" s="18"/>
      <c r="S141" s="18"/>
      <c r="T141" s="18"/>
      <c r="U141" s="18"/>
      <c r="V141" s="18"/>
      <c r="W141" s="18"/>
      <c r="X141" s="18"/>
      <c r="Y141" s="18"/>
    </row>
    <row r="142" ht="15.75" customHeight="1">
      <c r="A142" s="18"/>
      <c r="B142" s="18"/>
      <c r="C142" s="18"/>
      <c r="D142" s="18"/>
      <c r="E142" s="18"/>
      <c r="F142" s="18"/>
      <c r="G142" s="18"/>
      <c r="H142" s="18"/>
      <c r="I142" s="18"/>
      <c r="J142" s="18"/>
      <c r="K142" s="18"/>
      <c r="L142" s="18"/>
      <c r="M142" s="18"/>
      <c r="N142" s="18"/>
      <c r="O142" s="18"/>
      <c r="P142" s="18"/>
      <c r="Q142" s="18"/>
      <c r="R142" s="18"/>
      <c r="S142" s="18"/>
      <c r="T142" s="18"/>
      <c r="U142" s="18"/>
      <c r="V142" s="18"/>
      <c r="W142" s="18"/>
      <c r="X142" s="18"/>
      <c r="Y142" s="18"/>
    </row>
    <row r="143" ht="15.75" customHeight="1">
      <c r="A143" s="18"/>
      <c r="B143" s="18"/>
      <c r="C143" s="18"/>
      <c r="D143" s="18"/>
      <c r="E143" s="18"/>
      <c r="F143" s="18"/>
      <c r="G143" s="18"/>
      <c r="H143" s="18"/>
      <c r="I143" s="18"/>
      <c r="J143" s="18"/>
      <c r="K143" s="18"/>
      <c r="L143" s="18"/>
      <c r="M143" s="18"/>
      <c r="N143" s="18"/>
      <c r="O143" s="18"/>
      <c r="P143" s="18"/>
      <c r="Q143" s="18"/>
      <c r="R143" s="18"/>
      <c r="S143" s="18"/>
      <c r="T143" s="18"/>
      <c r="U143" s="18"/>
      <c r="V143" s="18"/>
      <c r="W143" s="18"/>
      <c r="X143" s="18"/>
      <c r="Y143" s="18"/>
    </row>
    <row r="144" ht="15.75" customHeight="1">
      <c r="A144" s="18"/>
      <c r="B144" s="18"/>
      <c r="C144" s="18"/>
      <c r="D144" s="18"/>
      <c r="E144" s="18"/>
      <c r="F144" s="18"/>
      <c r="G144" s="18"/>
      <c r="H144" s="18"/>
      <c r="I144" s="18"/>
      <c r="J144" s="18"/>
      <c r="K144" s="18"/>
      <c r="L144" s="18"/>
      <c r="M144" s="18"/>
      <c r="N144" s="18"/>
      <c r="O144" s="18"/>
      <c r="P144" s="18"/>
      <c r="Q144" s="18"/>
      <c r="R144" s="18"/>
      <c r="S144" s="18"/>
      <c r="T144" s="18"/>
      <c r="U144" s="18"/>
      <c r="V144" s="18"/>
      <c r="W144" s="18"/>
      <c r="X144" s="18"/>
      <c r="Y144" s="18"/>
    </row>
    <row r="145" ht="15.75" customHeight="1">
      <c r="A145" s="18"/>
      <c r="B145" s="18"/>
      <c r="C145" s="18"/>
      <c r="D145" s="18"/>
      <c r="E145" s="18"/>
      <c r="F145" s="18"/>
      <c r="G145" s="18"/>
      <c r="H145" s="18"/>
      <c r="I145" s="18"/>
      <c r="J145" s="18"/>
      <c r="K145" s="18"/>
      <c r="L145" s="18"/>
      <c r="M145" s="18"/>
      <c r="N145" s="18"/>
      <c r="O145" s="18"/>
      <c r="P145" s="18"/>
      <c r="Q145" s="18"/>
      <c r="R145" s="18"/>
      <c r="S145" s="18"/>
      <c r="T145" s="18"/>
      <c r="U145" s="18"/>
      <c r="V145" s="18"/>
      <c r="W145" s="18"/>
      <c r="X145" s="18"/>
      <c r="Y145" s="18"/>
    </row>
    <row r="146" ht="15.75" customHeight="1">
      <c r="A146" s="18"/>
      <c r="B146" s="18"/>
      <c r="C146" s="18"/>
      <c r="D146" s="18"/>
      <c r="E146" s="18"/>
      <c r="F146" s="18"/>
      <c r="G146" s="18"/>
      <c r="H146" s="18"/>
      <c r="I146" s="18"/>
      <c r="J146" s="18"/>
      <c r="K146" s="18"/>
      <c r="L146" s="18"/>
      <c r="M146" s="18"/>
      <c r="N146" s="18"/>
      <c r="O146" s="18"/>
      <c r="P146" s="18"/>
      <c r="Q146" s="18"/>
      <c r="R146" s="18"/>
      <c r="S146" s="18"/>
      <c r="T146" s="18"/>
      <c r="U146" s="18"/>
      <c r="V146" s="18"/>
      <c r="W146" s="18"/>
      <c r="X146" s="18"/>
      <c r="Y146" s="18"/>
    </row>
    <row r="147" ht="15.75" customHeight="1">
      <c r="A147" s="18"/>
      <c r="B147" s="18"/>
      <c r="C147" s="18"/>
      <c r="D147" s="18"/>
      <c r="E147" s="18"/>
      <c r="F147" s="18"/>
      <c r="G147" s="18"/>
      <c r="H147" s="18"/>
      <c r="I147" s="18"/>
      <c r="J147" s="18"/>
      <c r="K147" s="18"/>
      <c r="L147" s="18"/>
      <c r="M147" s="18"/>
      <c r="N147" s="18"/>
      <c r="O147" s="18"/>
      <c r="P147" s="18"/>
      <c r="Q147" s="18"/>
      <c r="R147" s="18"/>
      <c r="S147" s="18"/>
      <c r="T147" s="18"/>
      <c r="U147" s="18"/>
      <c r="V147" s="18"/>
      <c r="W147" s="18"/>
      <c r="X147" s="18"/>
      <c r="Y147" s="18"/>
    </row>
    <row r="148" ht="15.75" customHeight="1">
      <c r="A148" s="18"/>
      <c r="B148" s="18"/>
      <c r="C148" s="18"/>
      <c r="D148" s="18"/>
      <c r="E148" s="18"/>
      <c r="F148" s="18"/>
      <c r="G148" s="18"/>
      <c r="H148" s="18"/>
      <c r="I148" s="18"/>
      <c r="J148" s="18"/>
      <c r="K148" s="18"/>
      <c r="L148" s="18"/>
      <c r="M148" s="18"/>
      <c r="N148" s="18"/>
      <c r="O148" s="18"/>
      <c r="P148" s="18"/>
      <c r="Q148" s="18"/>
      <c r="R148" s="18"/>
      <c r="S148" s="18"/>
      <c r="T148" s="18"/>
      <c r="U148" s="18"/>
      <c r="V148" s="18"/>
      <c r="W148" s="18"/>
      <c r="X148" s="18"/>
      <c r="Y148" s="18"/>
    </row>
    <row r="149" ht="15.75" customHeight="1">
      <c r="A149" s="18"/>
      <c r="B149" s="18"/>
      <c r="C149" s="18"/>
      <c r="D149" s="18"/>
      <c r="E149" s="18"/>
      <c r="F149" s="18"/>
      <c r="G149" s="18"/>
      <c r="H149" s="18"/>
      <c r="I149" s="18"/>
      <c r="J149" s="18"/>
      <c r="K149" s="18"/>
      <c r="L149" s="18"/>
      <c r="M149" s="18"/>
      <c r="N149" s="18"/>
      <c r="O149" s="18"/>
      <c r="P149" s="18"/>
      <c r="Q149" s="18"/>
      <c r="R149" s="18"/>
      <c r="S149" s="18"/>
      <c r="T149" s="18"/>
      <c r="U149" s="18"/>
      <c r="V149" s="18"/>
      <c r="W149" s="18"/>
      <c r="X149" s="18"/>
      <c r="Y149" s="18"/>
    </row>
    <row r="150" ht="15.75" customHeight="1">
      <c r="A150" s="18"/>
      <c r="B150" s="18"/>
      <c r="C150" s="18"/>
      <c r="D150" s="18"/>
      <c r="E150" s="18"/>
      <c r="F150" s="18"/>
      <c r="G150" s="18"/>
      <c r="H150" s="18"/>
      <c r="I150" s="18"/>
      <c r="J150" s="18"/>
      <c r="K150" s="18"/>
      <c r="L150" s="18"/>
      <c r="M150" s="18"/>
      <c r="N150" s="18"/>
      <c r="O150" s="18"/>
      <c r="P150" s="18"/>
      <c r="Q150" s="18"/>
      <c r="R150" s="18"/>
      <c r="S150" s="18"/>
      <c r="T150" s="18"/>
      <c r="U150" s="18"/>
      <c r="V150" s="18"/>
      <c r="W150" s="18"/>
      <c r="X150" s="18"/>
      <c r="Y150" s="18"/>
    </row>
    <row r="151" ht="15.75" customHeight="1">
      <c r="A151" s="18"/>
      <c r="B151" s="18"/>
      <c r="C151" s="18"/>
      <c r="D151" s="18"/>
      <c r="E151" s="18"/>
      <c r="F151" s="18"/>
      <c r="G151" s="18"/>
      <c r="H151" s="18"/>
      <c r="I151" s="18"/>
      <c r="J151" s="18"/>
      <c r="K151" s="18"/>
      <c r="L151" s="18"/>
      <c r="M151" s="18"/>
      <c r="N151" s="18"/>
      <c r="O151" s="18"/>
      <c r="P151" s="18"/>
      <c r="Q151" s="18"/>
      <c r="R151" s="18"/>
      <c r="S151" s="18"/>
      <c r="T151" s="18"/>
      <c r="U151" s="18"/>
      <c r="V151" s="18"/>
      <c r="W151" s="18"/>
      <c r="X151" s="18"/>
      <c r="Y151" s="18"/>
    </row>
    <row r="152" ht="15.75" customHeight="1">
      <c r="A152" s="18"/>
      <c r="B152" s="18"/>
      <c r="C152" s="18"/>
      <c r="D152" s="18"/>
      <c r="E152" s="18"/>
      <c r="F152" s="18"/>
      <c r="G152" s="18"/>
      <c r="H152" s="18"/>
      <c r="I152" s="18"/>
      <c r="J152" s="18"/>
      <c r="K152" s="18"/>
      <c r="L152" s="18"/>
      <c r="M152" s="18"/>
      <c r="N152" s="18"/>
      <c r="O152" s="18"/>
      <c r="P152" s="18"/>
      <c r="Q152" s="18"/>
      <c r="R152" s="18"/>
      <c r="S152" s="18"/>
      <c r="T152" s="18"/>
      <c r="U152" s="18"/>
      <c r="V152" s="18"/>
      <c r="W152" s="18"/>
      <c r="X152" s="18"/>
      <c r="Y152" s="18"/>
    </row>
    <row r="153" ht="15.75" customHeight="1">
      <c r="A153" s="18"/>
      <c r="B153" s="18"/>
      <c r="C153" s="18"/>
      <c r="D153" s="18"/>
      <c r="E153" s="18"/>
      <c r="F153" s="18"/>
      <c r="G153" s="18"/>
      <c r="H153" s="18"/>
      <c r="I153" s="18"/>
      <c r="J153" s="18"/>
      <c r="K153" s="18"/>
      <c r="L153" s="18"/>
      <c r="M153" s="18"/>
      <c r="N153" s="18"/>
      <c r="O153" s="18"/>
      <c r="P153" s="18"/>
      <c r="Q153" s="18"/>
      <c r="R153" s="18"/>
      <c r="S153" s="18"/>
      <c r="T153" s="18"/>
      <c r="U153" s="18"/>
      <c r="V153" s="18"/>
      <c r="W153" s="18"/>
      <c r="X153" s="18"/>
      <c r="Y153" s="18"/>
    </row>
    <row r="154" ht="15.75" customHeight="1">
      <c r="A154" s="18"/>
      <c r="B154" s="18"/>
      <c r="C154" s="18"/>
      <c r="D154" s="18"/>
      <c r="E154" s="18"/>
      <c r="F154" s="18"/>
      <c r="G154" s="18"/>
      <c r="H154" s="18"/>
      <c r="I154" s="18"/>
      <c r="J154" s="18"/>
      <c r="K154" s="18"/>
      <c r="L154" s="18"/>
      <c r="M154" s="18"/>
      <c r="N154" s="18"/>
      <c r="O154" s="18"/>
      <c r="P154" s="18"/>
      <c r="Q154" s="18"/>
      <c r="R154" s="18"/>
      <c r="S154" s="18"/>
      <c r="T154" s="18"/>
      <c r="U154" s="18"/>
      <c r="V154" s="18"/>
      <c r="W154" s="18"/>
      <c r="X154" s="18"/>
      <c r="Y154" s="18"/>
    </row>
    <row r="155" ht="15.75" customHeight="1">
      <c r="A155" s="18"/>
      <c r="B155" s="18"/>
      <c r="C155" s="18"/>
      <c r="D155" s="18"/>
      <c r="E155" s="18"/>
      <c r="F155" s="18"/>
      <c r="G155" s="18"/>
      <c r="H155" s="18"/>
      <c r="I155" s="18"/>
      <c r="J155" s="18"/>
      <c r="K155" s="18"/>
      <c r="L155" s="18"/>
      <c r="M155" s="18"/>
      <c r="N155" s="18"/>
      <c r="O155" s="18"/>
      <c r="P155" s="18"/>
      <c r="Q155" s="18"/>
      <c r="R155" s="18"/>
      <c r="S155" s="18"/>
      <c r="T155" s="18"/>
      <c r="U155" s="18"/>
      <c r="V155" s="18"/>
      <c r="W155" s="18"/>
      <c r="X155" s="18"/>
      <c r="Y155" s="18"/>
    </row>
    <row r="156" ht="15.75" customHeight="1">
      <c r="A156" s="18"/>
      <c r="B156" s="18"/>
      <c r="C156" s="18"/>
      <c r="D156" s="18"/>
      <c r="E156" s="18"/>
      <c r="F156" s="18"/>
      <c r="G156" s="18"/>
      <c r="H156" s="18"/>
      <c r="I156" s="18"/>
      <c r="J156" s="18"/>
      <c r="K156" s="18"/>
      <c r="L156" s="18"/>
      <c r="M156" s="18"/>
      <c r="N156" s="18"/>
      <c r="O156" s="18"/>
      <c r="P156" s="18"/>
      <c r="Q156" s="18"/>
      <c r="R156" s="18"/>
      <c r="S156" s="18"/>
      <c r="T156" s="18"/>
      <c r="U156" s="18"/>
      <c r="V156" s="18"/>
      <c r="W156" s="18"/>
      <c r="X156" s="18"/>
      <c r="Y156" s="18"/>
    </row>
    <row r="157" ht="15.75" customHeight="1">
      <c r="A157" s="18"/>
      <c r="B157" s="18"/>
      <c r="C157" s="18"/>
      <c r="D157" s="18"/>
      <c r="E157" s="18"/>
      <c r="F157" s="18"/>
      <c r="G157" s="18"/>
      <c r="H157" s="18"/>
      <c r="I157" s="18"/>
      <c r="J157" s="18"/>
      <c r="K157" s="18"/>
      <c r="L157" s="18"/>
      <c r="M157" s="18"/>
      <c r="N157" s="18"/>
      <c r="O157" s="18"/>
      <c r="P157" s="18"/>
      <c r="Q157" s="18"/>
      <c r="R157" s="18"/>
      <c r="S157" s="18"/>
      <c r="T157" s="18"/>
      <c r="U157" s="18"/>
      <c r="V157" s="18"/>
      <c r="W157" s="18"/>
      <c r="X157" s="18"/>
      <c r="Y157" s="18"/>
    </row>
    <row r="158" ht="15.75" customHeight="1">
      <c r="A158" s="18"/>
      <c r="B158" s="18"/>
      <c r="C158" s="18"/>
      <c r="D158" s="18"/>
      <c r="E158" s="18"/>
      <c r="F158" s="18"/>
      <c r="G158" s="18"/>
      <c r="H158" s="18"/>
      <c r="I158" s="18"/>
      <c r="J158" s="18"/>
      <c r="K158" s="18"/>
      <c r="L158" s="18"/>
      <c r="M158" s="18"/>
      <c r="N158" s="18"/>
      <c r="O158" s="18"/>
      <c r="P158" s="18"/>
      <c r="Q158" s="18"/>
      <c r="R158" s="18"/>
      <c r="S158" s="18"/>
      <c r="T158" s="18"/>
      <c r="U158" s="18"/>
      <c r="V158" s="18"/>
      <c r="W158" s="18"/>
      <c r="X158" s="18"/>
      <c r="Y158" s="18"/>
    </row>
    <row r="159" ht="15.75" customHeight="1">
      <c r="A159" s="18"/>
      <c r="B159" s="18"/>
      <c r="C159" s="18"/>
      <c r="D159" s="18"/>
      <c r="E159" s="18"/>
      <c r="F159" s="18"/>
      <c r="G159" s="18"/>
      <c r="H159" s="18"/>
      <c r="I159" s="18"/>
      <c r="J159" s="18"/>
      <c r="K159" s="18"/>
      <c r="L159" s="18"/>
      <c r="M159" s="18"/>
      <c r="N159" s="18"/>
      <c r="O159" s="18"/>
      <c r="P159" s="18"/>
      <c r="Q159" s="18"/>
      <c r="R159" s="18"/>
      <c r="S159" s="18"/>
      <c r="T159" s="18"/>
      <c r="U159" s="18"/>
      <c r="V159" s="18"/>
      <c r="W159" s="18"/>
      <c r="X159" s="18"/>
      <c r="Y159" s="18"/>
    </row>
    <row r="160" ht="15.75" customHeight="1">
      <c r="A160" s="18"/>
      <c r="B160" s="18"/>
      <c r="C160" s="18"/>
      <c r="D160" s="18"/>
      <c r="E160" s="18"/>
      <c r="F160" s="18"/>
      <c r="G160" s="18"/>
      <c r="H160" s="18"/>
      <c r="I160" s="18"/>
      <c r="J160" s="18"/>
      <c r="K160" s="18"/>
      <c r="L160" s="18"/>
      <c r="M160" s="18"/>
      <c r="N160" s="18"/>
      <c r="O160" s="18"/>
      <c r="P160" s="18"/>
      <c r="Q160" s="18"/>
      <c r="R160" s="18"/>
      <c r="S160" s="18"/>
      <c r="T160" s="18"/>
      <c r="U160" s="18"/>
      <c r="V160" s="18"/>
      <c r="W160" s="18"/>
      <c r="X160" s="18"/>
      <c r="Y160" s="18"/>
    </row>
    <row r="161" ht="15.75" customHeight="1">
      <c r="A161" s="18"/>
      <c r="B161" s="18"/>
      <c r="C161" s="18"/>
      <c r="D161" s="18"/>
      <c r="E161" s="18"/>
      <c r="F161" s="18"/>
      <c r="G161" s="18"/>
      <c r="H161" s="18"/>
      <c r="I161" s="18"/>
      <c r="J161" s="18"/>
      <c r="K161" s="18"/>
      <c r="L161" s="18"/>
      <c r="M161" s="18"/>
      <c r="N161" s="18"/>
      <c r="O161" s="18"/>
      <c r="P161" s="18"/>
      <c r="Q161" s="18"/>
      <c r="R161" s="18"/>
      <c r="S161" s="18"/>
      <c r="T161" s="18"/>
      <c r="U161" s="18"/>
      <c r="V161" s="18"/>
      <c r="W161" s="18"/>
      <c r="X161" s="18"/>
      <c r="Y161" s="18"/>
    </row>
    <row r="162" ht="15.75" customHeight="1">
      <c r="A162" s="18"/>
      <c r="B162" s="18"/>
      <c r="C162" s="18"/>
      <c r="D162" s="18"/>
      <c r="E162" s="18"/>
      <c r="F162" s="18"/>
      <c r="G162" s="18"/>
      <c r="H162" s="18"/>
      <c r="I162" s="18"/>
      <c r="J162" s="18"/>
      <c r="K162" s="18"/>
      <c r="L162" s="18"/>
      <c r="M162" s="18"/>
      <c r="N162" s="18"/>
      <c r="O162" s="18"/>
      <c r="P162" s="18"/>
      <c r="Q162" s="18"/>
      <c r="R162" s="18"/>
      <c r="S162" s="18"/>
      <c r="T162" s="18"/>
      <c r="U162" s="18"/>
      <c r="V162" s="18"/>
      <c r="W162" s="18"/>
      <c r="X162" s="18"/>
      <c r="Y162" s="18"/>
    </row>
    <row r="163" ht="15.75" customHeight="1">
      <c r="A163" s="18"/>
      <c r="B163" s="18"/>
      <c r="C163" s="18"/>
      <c r="D163" s="18"/>
      <c r="E163" s="18"/>
      <c r="F163" s="18"/>
      <c r="G163" s="18"/>
      <c r="H163" s="18"/>
      <c r="I163" s="18"/>
      <c r="J163" s="18"/>
      <c r="K163" s="18"/>
      <c r="L163" s="18"/>
      <c r="M163" s="18"/>
      <c r="N163" s="18"/>
      <c r="O163" s="18"/>
      <c r="P163" s="18"/>
      <c r="Q163" s="18"/>
      <c r="R163" s="18"/>
      <c r="S163" s="18"/>
      <c r="T163" s="18"/>
      <c r="U163" s="18"/>
      <c r="V163" s="18"/>
      <c r="W163" s="18"/>
      <c r="X163" s="18"/>
      <c r="Y163" s="18"/>
    </row>
    <row r="164" ht="15.75" customHeight="1">
      <c r="A164" s="18"/>
      <c r="B164" s="18"/>
      <c r="C164" s="18"/>
      <c r="D164" s="18"/>
      <c r="E164" s="18"/>
      <c r="F164" s="18"/>
      <c r="G164" s="18"/>
      <c r="H164" s="18"/>
      <c r="I164" s="18"/>
      <c r="J164" s="18"/>
      <c r="K164" s="18"/>
      <c r="L164" s="18"/>
      <c r="M164" s="18"/>
      <c r="N164" s="18"/>
      <c r="O164" s="18"/>
      <c r="P164" s="18"/>
      <c r="Q164" s="18"/>
      <c r="R164" s="18"/>
      <c r="S164" s="18"/>
      <c r="T164" s="18"/>
      <c r="U164" s="18"/>
      <c r="V164" s="18"/>
      <c r="W164" s="18"/>
      <c r="X164" s="18"/>
      <c r="Y164" s="18"/>
    </row>
    <row r="165" ht="15.75" customHeight="1">
      <c r="A165" s="18"/>
      <c r="B165" s="18"/>
      <c r="C165" s="18"/>
      <c r="D165" s="18"/>
      <c r="E165" s="18"/>
      <c r="F165" s="18"/>
      <c r="G165" s="18"/>
      <c r="H165" s="18"/>
      <c r="I165" s="18"/>
      <c r="J165" s="18"/>
      <c r="K165" s="18"/>
      <c r="L165" s="18"/>
      <c r="M165" s="18"/>
      <c r="N165" s="18"/>
      <c r="O165" s="18"/>
      <c r="P165" s="18"/>
      <c r="Q165" s="18"/>
      <c r="R165" s="18"/>
      <c r="S165" s="18"/>
      <c r="T165" s="18"/>
      <c r="U165" s="18"/>
      <c r="V165" s="18"/>
      <c r="W165" s="18"/>
      <c r="X165" s="18"/>
      <c r="Y165" s="18"/>
    </row>
    <row r="166" ht="15.75" customHeight="1">
      <c r="A166" s="18"/>
      <c r="B166" s="18"/>
      <c r="C166" s="18"/>
      <c r="D166" s="18"/>
      <c r="E166" s="18"/>
      <c r="F166" s="18"/>
      <c r="G166" s="18"/>
      <c r="H166" s="18"/>
      <c r="I166" s="18"/>
      <c r="J166" s="18"/>
      <c r="K166" s="18"/>
      <c r="L166" s="18"/>
      <c r="M166" s="18"/>
      <c r="N166" s="18"/>
      <c r="O166" s="18"/>
      <c r="P166" s="18"/>
      <c r="Q166" s="18"/>
      <c r="R166" s="18"/>
      <c r="S166" s="18"/>
      <c r="T166" s="18"/>
      <c r="U166" s="18"/>
      <c r="V166" s="18"/>
      <c r="W166" s="18"/>
      <c r="X166" s="18"/>
      <c r="Y166" s="18"/>
    </row>
    <row r="167" ht="15.75" customHeight="1">
      <c r="A167" s="18"/>
      <c r="B167" s="18"/>
      <c r="C167" s="18"/>
      <c r="D167" s="18"/>
      <c r="E167" s="18"/>
      <c r="F167" s="18"/>
      <c r="G167" s="18"/>
      <c r="H167" s="18"/>
      <c r="I167" s="18"/>
      <c r="J167" s="18"/>
      <c r="K167" s="18"/>
      <c r="L167" s="18"/>
      <c r="M167" s="18"/>
      <c r="N167" s="18"/>
      <c r="O167" s="18"/>
      <c r="P167" s="18"/>
      <c r="Q167" s="18"/>
      <c r="R167" s="18"/>
      <c r="S167" s="18"/>
      <c r="T167" s="18"/>
      <c r="U167" s="18"/>
      <c r="V167" s="18"/>
      <c r="W167" s="18"/>
      <c r="X167" s="18"/>
      <c r="Y167" s="18"/>
    </row>
    <row r="168" ht="15.75" customHeight="1">
      <c r="A168" s="18"/>
      <c r="B168" s="18"/>
      <c r="C168" s="18"/>
      <c r="D168" s="18"/>
      <c r="E168" s="18"/>
      <c r="F168" s="18"/>
      <c r="G168" s="18"/>
      <c r="H168" s="18"/>
      <c r="I168" s="18"/>
      <c r="J168" s="18"/>
      <c r="K168" s="18"/>
      <c r="L168" s="18"/>
      <c r="M168" s="18"/>
      <c r="N168" s="18"/>
      <c r="O168" s="18"/>
      <c r="P168" s="18"/>
      <c r="Q168" s="18"/>
      <c r="R168" s="18"/>
      <c r="S168" s="18"/>
      <c r="T168" s="18"/>
      <c r="U168" s="18"/>
      <c r="V168" s="18"/>
      <c r="W168" s="18"/>
      <c r="X168" s="18"/>
      <c r="Y168" s="18"/>
    </row>
    <row r="169" ht="15.75" customHeight="1">
      <c r="A169" s="18"/>
      <c r="B169" s="18"/>
      <c r="C169" s="18"/>
      <c r="D169" s="18"/>
      <c r="E169" s="18"/>
      <c r="F169" s="18"/>
      <c r="G169" s="18"/>
      <c r="H169" s="18"/>
      <c r="I169" s="18"/>
      <c r="J169" s="18"/>
      <c r="K169" s="18"/>
      <c r="L169" s="18"/>
      <c r="M169" s="18"/>
      <c r="N169" s="18"/>
      <c r="O169" s="18"/>
      <c r="P169" s="18"/>
      <c r="Q169" s="18"/>
      <c r="R169" s="18"/>
      <c r="S169" s="18"/>
      <c r="T169" s="18"/>
      <c r="U169" s="18"/>
      <c r="V169" s="18"/>
      <c r="W169" s="18"/>
      <c r="X169" s="18"/>
      <c r="Y169" s="18"/>
    </row>
    <row r="170" ht="15.75" customHeight="1">
      <c r="A170" s="18"/>
      <c r="B170" s="18"/>
      <c r="C170" s="18"/>
      <c r="D170" s="18"/>
      <c r="E170" s="18"/>
      <c r="F170" s="18"/>
      <c r="G170" s="18"/>
      <c r="H170" s="18"/>
      <c r="I170" s="18"/>
      <c r="J170" s="18"/>
      <c r="K170" s="18"/>
      <c r="L170" s="18"/>
      <c r="M170" s="18"/>
      <c r="N170" s="18"/>
      <c r="O170" s="18"/>
      <c r="P170" s="18"/>
      <c r="Q170" s="18"/>
      <c r="R170" s="18"/>
      <c r="S170" s="18"/>
      <c r="T170" s="18"/>
      <c r="U170" s="18"/>
      <c r="V170" s="18"/>
      <c r="W170" s="18"/>
      <c r="X170" s="18"/>
      <c r="Y170" s="18"/>
    </row>
    <row r="171" ht="15.75" customHeight="1">
      <c r="A171" s="18"/>
      <c r="B171" s="18"/>
      <c r="C171" s="18"/>
      <c r="D171" s="18"/>
      <c r="E171" s="18"/>
      <c r="F171" s="18"/>
      <c r="G171" s="18"/>
      <c r="H171" s="18"/>
      <c r="I171" s="18"/>
      <c r="J171" s="18"/>
      <c r="K171" s="18"/>
      <c r="L171" s="18"/>
      <c r="M171" s="18"/>
      <c r="N171" s="18"/>
      <c r="O171" s="18"/>
      <c r="P171" s="18"/>
      <c r="Q171" s="18"/>
      <c r="R171" s="18"/>
      <c r="S171" s="18"/>
      <c r="T171" s="18"/>
      <c r="U171" s="18"/>
      <c r="V171" s="18"/>
      <c r="W171" s="18"/>
      <c r="X171" s="18"/>
      <c r="Y171" s="18"/>
    </row>
    <row r="172" ht="15.75" customHeight="1">
      <c r="A172" s="18"/>
      <c r="B172" s="18"/>
      <c r="C172" s="18"/>
      <c r="D172" s="18"/>
      <c r="E172" s="18"/>
      <c r="F172" s="18"/>
      <c r="G172" s="18"/>
      <c r="H172" s="18"/>
      <c r="I172" s="18"/>
      <c r="J172" s="18"/>
      <c r="K172" s="18"/>
      <c r="L172" s="18"/>
      <c r="M172" s="18"/>
      <c r="N172" s="18"/>
      <c r="O172" s="18"/>
      <c r="P172" s="18"/>
      <c r="Q172" s="18"/>
      <c r="R172" s="18"/>
      <c r="S172" s="18"/>
      <c r="T172" s="18"/>
      <c r="U172" s="18"/>
      <c r="V172" s="18"/>
      <c r="W172" s="18"/>
      <c r="X172" s="18"/>
      <c r="Y172" s="18"/>
    </row>
    <row r="173" ht="15.75" customHeight="1">
      <c r="A173" s="18"/>
      <c r="B173" s="18"/>
      <c r="C173" s="18"/>
      <c r="D173" s="18"/>
      <c r="E173" s="18"/>
      <c r="F173" s="18"/>
      <c r="G173" s="18"/>
      <c r="H173" s="18"/>
      <c r="I173" s="18"/>
      <c r="J173" s="18"/>
      <c r="K173" s="18"/>
      <c r="L173" s="18"/>
      <c r="M173" s="18"/>
      <c r="N173" s="18"/>
      <c r="O173" s="18"/>
      <c r="P173" s="18"/>
      <c r="Q173" s="18"/>
      <c r="R173" s="18"/>
      <c r="S173" s="18"/>
      <c r="T173" s="18"/>
      <c r="U173" s="18"/>
      <c r="V173" s="18"/>
      <c r="W173" s="18"/>
      <c r="X173" s="18"/>
      <c r="Y173" s="18"/>
    </row>
    <row r="174" ht="15.75" customHeight="1">
      <c r="A174" s="18"/>
      <c r="B174" s="18"/>
      <c r="C174" s="18"/>
      <c r="D174" s="18"/>
      <c r="E174" s="18"/>
      <c r="F174" s="18"/>
      <c r="G174" s="18"/>
      <c r="H174" s="18"/>
      <c r="I174" s="18"/>
      <c r="J174" s="18"/>
      <c r="K174" s="18"/>
      <c r="L174" s="18"/>
      <c r="M174" s="18"/>
      <c r="N174" s="18"/>
      <c r="O174" s="18"/>
      <c r="P174" s="18"/>
      <c r="Q174" s="18"/>
      <c r="R174" s="18"/>
      <c r="S174" s="18"/>
      <c r="T174" s="18"/>
      <c r="U174" s="18"/>
      <c r="V174" s="18"/>
      <c r="W174" s="18"/>
      <c r="X174" s="18"/>
      <c r="Y174" s="18"/>
    </row>
    <row r="175" ht="15.75" customHeight="1">
      <c r="A175" s="18"/>
      <c r="B175" s="18"/>
      <c r="C175" s="18"/>
      <c r="D175" s="18"/>
      <c r="E175" s="18"/>
      <c r="F175" s="18"/>
      <c r="G175" s="18"/>
      <c r="H175" s="18"/>
      <c r="I175" s="18"/>
      <c r="J175" s="18"/>
      <c r="K175" s="18"/>
      <c r="L175" s="18"/>
      <c r="M175" s="18"/>
      <c r="N175" s="18"/>
      <c r="O175" s="18"/>
      <c r="P175" s="18"/>
      <c r="Q175" s="18"/>
      <c r="R175" s="18"/>
      <c r="S175" s="18"/>
      <c r="T175" s="18"/>
      <c r="U175" s="18"/>
      <c r="V175" s="18"/>
      <c r="W175" s="18"/>
      <c r="X175" s="18"/>
      <c r="Y175" s="18"/>
    </row>
    <row r="176" ht="15.75" customHeight="1">
      <c r="A176" s="18"/>
      <c r="B176" s="18"/>
      <c r="C176" s="18"/>
      <c r="D176" s="18"/>
      <c r="E176" s="18"/>
      <c r="F176" s="18"/>
      <c r="G176" s="18"/>
      <c r="H176" s="18"/>
      <c r="I176" s="18"/>
      <c r="J176" s="18"/>
      <c r="K176" s="18"/>
      <c r="L176" s="18"/>
      <c r="M176" s="18"/>
      <c r="N176" s="18"/>
      <c r="O176" s="18"/>
      <c r="P176" s="18"/>
      <c r="Q176" s="18"/>
      <c r="R176" s="18"/>
      <c r="S176" s="18"/>
      <c r="T176" s="18"/>
      <c r="U176" s="18"/>
      <c r="V176" s="18"/>
      <c r="W176" s="18"/>
      <c r="X176" s="18"/>
      <c r="Y176" s="18"/>
    </row>
    <row r="177" ht="15.75" customHeight="1">
      <c r="A177" s="18"/>
      <c r="B177" s="18"/>
      <c r="C177" s="18"/>
      <c r="D177" s="18"/>
      <c r="E177" s="18"/>
      <c r="F177" s="18"/>
      <c r="G177" s="18"/>
      <c r="H177" s="18"/>
      <c r="I177" s="18"/>
      <c r="J177" s="18"/>
      <c r="K177" s="18"/>
      <c r="L177" s="18"/>
      <c r="M177" s="18"/>
      <c r="N177" s="18"/>
      <c r="O177" s="18"/>
      <c r="P177" s="18"/>
      <c r="Q177" s="18"/>
      <c r="R177" s="18"/>
      <c r="S177" s="18"/>
      <c r="T177" s="18"/>
      <c r="U177" s="18"/>
      <c r="V177" s="18"/>
      <c r="W177" s="18"/>
      <c r="X177" s="18"/>
      <c r="Y177" s="18"/>
    </row>
    <row r="178" ht="15.75" customHeight="1">
      <c r="A178" s="18"/>
      <c r="B178" s="18"/>
      <c r="C178" s="18"/>
      <c r="D178" s="18"/>
      <c r="E178" s="18"/>
      <c r="F178" s="18"/>
      <c r="G178" s="18"/>
      <c r="H178" s="18"/>
      <c r="I178" s="18"/>
      <c r="J178" s="18"/>
      <c r="K178" s="18"/>
      <c r="L178" s="18"/>
      <c r="M178" s="18"/>
      <c r="N178" s="18"/>
      <c r="O178" s="18"/>
      <c r="P178" s="18"/>
      <c r="Q178" s="18"/>
      <c r="R178" s="18"/>
      <c r="S178" s="18"/>
      <c r="T178" s="18"/>
      <c r="U178" s="18"/>
      <c r="V178" s="18"/>
      <c r="W178" s="18"/>
      <c r="X178" s="18"/>
      <c r="Y178" s="18"/>
    </row>
    <row r="179" ht="15.75" customHeight="1">
      <c r="A179" s="18"/>
      <c r="B179" s="18"/>
      <c r="C179" s="18"/>
      <c r="D179" s="18"/>
      <c r="E179" s="18"/>
      <c r="F179" s="18"/>
      <c r="G179" s="18"/>
      <c r="H179" s="18"/>
      <c r="I179" s="18"/>
      <c r="J179" s="18"/>
      <c r="K179" s="18"/>
      <c r="L179" s="18"/>
      <c r="M179" s="18"/>
      <c r="N179" s="18"/>
      <c r="O179" s="18"/>
      <c r="P179" s="18"/>
      <c r="Q179" s="18"/>
      <c r="R179" s="18"/>
      <c r="S179" s="18"/>
      <c r="T179" s="18"/>
      <c r="U179" s="18"/>
      <c r="V179" s="18"/>
      <c r="W179" s="18"/>
      <c r="X179" s="18"/>
      <c r="Y179" s="18"/>
    </row>
    <row r="180" ht="15.75" customHeight="1">
      <c r="A180" s="18"/>
      <c r="B180" s="18"/>
      <c r="C180" s="18"/>
      <c r="D180" s="18"/>
      <c r="E180" s="18"/>
      <c r="F180" s="18"/>
      <c r="G180" s="18"/>
      <c r="H180" s="18"/>
      <c r="I180" s="18"/>
      <c r="J180" s="18"/>
      <c r="K180" s="18"/>
      <c r="L180" s="18"/>
      <c r="M180" s="18"/>
      <c r="N180" s="18"/>
      <c r="O180" s="18"/>
      <c r="P180" s="18"/>
      <c r="Q180" s="18"/>
      <c r="R180" s="18"/>
      <c r="S180" s="18"/>
      <c r="T180" s="18"/>
      <c r="U180" s="18"/>
      <c r="V180" s="18"/>
      <c r="W180" s="18"/>
      <c r="X180" s="18"/>
      <c r="Y180" s="18"/>
    </row>
    <row r="181" ht="15.75" customHeight="1">
      <c r="A181" s="18"/>
      <c r="B181" s="18"/>
      <c r="C181" s="18"/>
      <c r="D181" s="18"/>
      <c r="E181" s="18"/>
      <c r="F181" s="18"/>
      <c r="G181" s="18"/>
      <c r="H181" s="18"/>
      <c r="I181" s="18"/>
      <c r="J181" s="18"/>
      <c r="K181" s="18"/>
      <c r="L181" s="18"/>
      <c r="M181" s="18"/>
      <c r="N181" s="18"/>
      <c r="O181" s="18"/>
      <c r="P181" s="18"/>
      <c r="Q181" s="18"/>
      <c r="R181" s="18"/>
      <c r="S181" s="18"/>
      <c r="T181" s="18"/>
      <c r="U181" s="18"/>
      <c r="V181" s="18"/>
      <c r="W181" s="18"/>
      <c r="X181" s="18"/>
      <c r="Y181" s="18"/>
    </row>
    <row r="182" ht="15.75" customHeight="1">
      <c r="A182" s="18"/>
      <c r="B182" s="18"/>
      <c r="C182" s="18"/>
      <c r="D182" s="18"/>
      <c r="E182" s="18"/>
      <c r="F182" s="18"/>
      <c r="G182" s="18"/>
      <c r="H182" s="18"/>
      <c r="I182" s="18"/>
      <c r="J182" s="18"/>
      <c r="K182" s="18"/>
      <c r="L182" s="18"/>
      <c r="M182" s="18"/>
      <c r="N182" s="18"/>
      <c r="O182" s="18"/>
      <c r="P182" s="18"/>
      <c r="Q182" s="18"/>
      <c r="R182" s="18"/>
      <c r="S182" s="18"/>
      <c r="T182" s="18"/>
      <c r="U182" s="18"/>
      <c r="V182" s="18"/>
      <c r="W182" s="18"/>
      <c r="X182" s="18"/>
      <c r="Y182" s="18"/>
    </row>
    <row r="183" ht="15.75" customHeight="1">
      <c r="A183" s="18"/>
      <c r="B183" s="18"/>
      <c r="C183" s="18"/>
      <c r="D183" s="18"/>
      <c r="E183" s="18"/>
      <c r="F183" s="18"/>
      <c r="G183" s="18"/>
      <c r="H183" s="18"/>
      <c r="I183" s="18"/>
      <c r="J183" s="18"/>
      <c r="K183" s="18"/>
      <c r="L183" s="18"/>
      <c r="M183" s="18"/>
      <c r="N183" s="18"/>
      <c r="O183" s="18"/>
      <c r="P183" s="18"/>
      <c r="Q183" s="18"/>
      <c r="R183" s="18"/>
      <c r="S183" s="18"/>
      <c r="T183" s="18"/>
      <c r="U183" s="18"/>
      <c r="V183" s="18"/>
      <c r="W183" s="18"/>
      <c r="X183" s="18"/>
      <c r="Y183" s="18"/>
    </row>
    <row r="184" ht="15.75" customHeight="1">
      <c r="A184" s="18"/>
      <c r="B184" s="18"/>
      <c r="C184" s="18"/>
      <c r="D184" s="18"/>
      <c r="E184" s="18"/>
      <c r="F184" s="18"/>
      <c r="G184" s="18"/>
      <c r="H184" s="18"/>
      <c r="I184" s="18"/>
      <c r="J184" s="18"/>
      <c r="K184" s="18"/>
      <c r="L184" s="18"/>
      <c r="M184" s="18"/>
      <c r="N184" s="18"/>
      <c r="O184" s="18"/>
      <c r="P184" s="18"/>
      <c r="Q184" s="18"/>
      <c r="R184" s="18"/>
      <c r="S184" s="18"/>
      <c r="T184" s="18"/>
      <c r="U184" s="18"/>
      <c r="V184" s="18"/>
      <c r="W184" s="18"/>
      <c r="X184" s="18"/>
      <c r="Y184" s="18"/>
    </row>
    <row r="185" ht="15.75" customHeight="1">
      <c r="A185" s="18"/>
      <c r="B185" s="18"/>
      <c r="C185" s="18"/>
      <c r="D185" s="18"/>
      <c r="E185" s="18"/>
      <c r="F185" s="18"/>
      <c r="G185" s="18"/>
      <c r="H185" s="18"/>
      <c r="I185" s="18"/>
      <c r="J185" s="18"/>
      <c r="K185" s="18"/>
      <c r="L185" s="18"/>
      <c r="M185" s="18"/>
      <c r="N185" s="18"/>
      <c r="O185" s="18"/>
      <c r="P185" s="18"/>
      <c r="Q185" s="18"/>
      <c r="R185" s="18"/>
      <c r="S185" s="18"/>
      <c r="T185" s="18"/>
      <c r="U185" s="18"/>
      <c r="V185" s="18"/>
      <c r="W185" s="18"/>
      <c r="X185" s="18"/>
      <c r="Y185" s="18"/>
    </row>
    <row r="186" ht="15.75" customHeight="1">
      <c r="A186" s="18"/>
      <c r="B186" s="18"/>
      <c r="C186" s="18"/>
      <c r="D186" s="18"/>
      <c r="E186" s="18"/>
      <c r="F186" s="18"/>
      <c r="G186" s="18"/>
      <c r="H186" s="18"/>
      <c r="I186" s="18"/>
      <c r="J186" s="18"/>
      <c r="K186" s="18"/>
      <c r="L186" s="18"/>
      <c r="M186" s="18"/>
      <c r="N186" s="18"/>
      <c r="O186" s="18"/>
      <c r="P186" s="18"/>
      <c r="Q186" s="18"/>
      <c r="R186" s="18"/>
      <c r="S186" s="18"/>
      <c r="T186" s="18"/>
      <c r="U186" s="18"/>
      <c r="V186" s="18"/>
      <c r="W186" s="18"/>
      <c r="X186" s="18"/>
      <c r="Y186" s="18"/>
    </row>
    <row r="187" ht="15.75" customHeight="1">
      <c r="A187" s="18"/>
      <c r="B187" s="18"/>
      <c r="C187" s="18"/>
      <c r="D187" s="18"/>
      <c r="E187" s="18"/>
      <c r="F187" s="18"/>
      <c r="G187" s="18"/>
      <c r="H187" s="18"/>
      <c r="I187" s="18"/>
      <c r="J187" s="18"/>
      <c r="K187" s="18"/>
      <c r="L187" s="18"/>
      <c r="M187" s="18"/>
      <c r="N187" s="18"/>
      <c r="O187" s="18"/>
      <c r="P187" s="18"/>
      <c r="Q187" s="18"/>
      <c r="R187" s="18"/>
      <c r="S187" s="18"/>
      <c r="T187" s="18"/>
      <c r="U187" s="18"/>
      <c r="V187" s="18"/>
      <c r="W187" s="18"/>
      <c r="X187" s="18"/>
      <c r="Y187" s="18"/>
    </row>
    <row r="188" ht="15.75" customHeight="1">
      <c r="A188" s="18"/>
      <c r="B188" s="18"/>
      <c r="C188" s="18"/>
      <c r="D188" s="18"/>
      <c r="E188" s="18"/>
      <c r="F188" s="18"/>
      <c r="G188" s="18"/>
      <c r="H188" s="18"/>
      <c r="I188" s="18"/>
      <c r="J188" s="18"/>
      <c r="K188" s="18"/>
      <c r="L188" s="18"/>
      <c r="M188" s="18"/>
      <c r="N188" s="18"/>
      <c r="O188" s="18"/>
      <c r="P188" s="18"/>
      <c r="Q188" s="18"/>
      <c r="R188" s="18"/>
      <c r="S188" s="18"/>
      <c r="T188" s="18"/>
      <c r="U188" s="18"/>
      <c r="V188" s="18"/>
      <c r="W188" s="18"/>
      <c r="X188" s="18"/>
      <c r="Y188" s="18"/>
    </row>
    <row r="189" ht="15.75" customHeight="1">
      <c r="A189" s="18"/>
      <c r="B189" s="18"/>
      <c r="C189" s="18"/>
      <c r="D189" s="18"/>
      <c r="E189" s="18"/>
      <c r="F189" s="18"/>
      <c r="G189" s="18"/>
      <c r="H189" s="18"/>
      <c r="I189" s="18"/>
      <c r="J189" s="18"/>
      <c r="K189" s="18"/>
      <c r="L189" s="18"/>
      <c r="M189" s="18"/>
      <c r="N189" s="18"/>
      <c r="O189" s="18"/>
      <c r="P189" s="18"/>
      <c r="Q189" s="18"/>
      <c r="R189" s="18"/>
      <c r="S189" s="18"/>
      <c r="T189" s="18"/>
      <c r="U189" s="18"/>
      <c r="V189" s="18"/>
      <c r="W189" s="18"/>
      <c r="X189" s="18"/>
      <c r="Y189" s="18"/>
    </row>
    <row r="190" ht="15.75" customHeight="1">
      <c r="A190" s="18"/>
      <c r="B190" s="18"/>
      <c r="C190" s="18"/>
      <c r="D190" s="18"/>
      <c r="E190" s="18"/>
      <c r="F190" s="18"/>
      <c r="G190" s="18"/>
      <c r="H190" s="18"/>
      <c r="I190" s="18"/>
      <c r="J190" s="18"/>
      <c r="K190" s="18"/>
      <c r="L190" s="18"/>
      <c r="M190" s="18"/>
      <c r="N190" s="18"/>
      <c r="O190" s="18"/>
      <c r="P190" s="18"/>
      <c r="Q190" s="18"/>
      <c r="R190" s="18"/>
      <c r="S190" s="18"/>
      <c r="T190" s="18"/>
      <c r="U190" s="18"/>
      <c r="V190" s="18"/>
      <c r="W190" s="18"/>
      <c r="X190" s="18"/>
      <c r="Y190" s="18"/>
    </row>
    <row r="191" ht="15.75" customHeight="1">
      <c r="A191" s="18"/>
      <c r="B191" s="18"/>
      <c r="C191" s="18"/>
      <c r="D191" s="18"/>
      <c r="E191" s="18"/>
      <c r="F191" s="18"/>
      <c r="G191" s="18"/>
      <c r="H191" s="18"/>
      <c r="I191" s="18"/>
      <c r="J191" s="18"/>
      <c r="K191" s="18"/>
      <c r="L191" s="18"/>
      <c r="M191" s="18"/>
      <c r="N191" s="18"/>
      <c r="O191" s="18"/>
      <c r="P191" s="18"/>
      <c r="Q191" s="18"/>
      <c r="R191" s="18"/>
      <c r="S191" s="18"/>
      <c r="T191" s="18"/>
      <c r="U191" s="18"/>
      <c r="V191" s="18"/>
      <c r="W191" s="18"/>
      <c r="X191" s="18"/>
      <c r="Y191" s="18"/>
    </row>
    <row r="192" ht="15.75" customHeight="1">
      <c r="A192" s="18"/>
      <c r="B192" s="18"/>
      <c r="C192" s="18"/>
      <c r="D192" s="18"/>
      <c r="E192" s="18"/>
      <c r="F192" s="18"/>
      <c r="G192" s="18"/>
      <c r="H192" s="18"/>
      <c r="I192" s="18"/>
      <c r="J192" s="18"/>
      <c r="K192" s="18"/>
      <c r="L192" s="18"/>
      <c r="M192" s="18"/>
      <c r="N192" s="18"/>
      <c r="O192" s="18"/>
      <c r="P192" s="18"/>
      <c r="Q192" s="18"/>
      <c r="R192" s="18"/>
      <c r="S192" s="18"/>
      <c r="T192" s="18"/>
      <c r="U192" s="18"/>
      <c r="V192" s="18"/>
      <c r="W192" s="18"/>
      <c r="X192" s="18"/>
      <c r="Y192" s="18"/>
    </row>
    <row r="193" ht="15.75" customHeight="1">
      <c r="A193" s="18"/>
      <c r="B193" s="18"/>
      <c r="C193" s="18"/>
      <c r="D193" s="18"/>
      <c r="E193" s="18"/>
      <c r="F193" s="18"/>
      <c r="G193" s="18"/>
      <c r="H193" s="18"/>
      <c r="I193" s="18"/>
      <c r="J193" s="18"/>
      <c r="K193" s="18"/>
      <c r="L193" s="18"/>
      <c r="M193" s="18"/>
      <c r="N193" s="18"/>
      <c r="O193" s="18"/>
      <c r="P193" s="18"/>
      <c r="Q193" s="18"/>
      <c r="R193" s="18"/>
      <c r="S193" s="18"/>
      <c r="T193" s="18"/>
      <c r="U193" s="18"/>
      <c r="V193" s="18"/>
      <c r="W193" s="18"/>
      <c r="X193" s="18"/>
      <c r="Y193" s="18"/>
    </row>
    <row r="194" ht="15.75" customHeight="1">
      <c r="A194" s="18"/>
      <c r="B194" s="18"/>
      <c r="C194" s="18"/>
      <c r="D194" s="18"/>
      <c r="E194" s="18"/>
      <c r="F194" s="18"/>
      <c r="G194" s="18"/>
      <c r="H194" s="18"/>
      <c r="I194" s="18"/>
      <c r="J194" s="18"/>
      <c r="K194" s="18"/>
      <c r="L194" s="18"/>
      <c r="M194" s="18"/>
      <c r="N194" s="18"/>
      <c r="O194" s="18"/>
      <c r="P194" s="18"/>
      <c r="Q194" s="18"/>
      <c r="R194" s="18"/>
      <c r="S194" s="18"/>
      <c r="T194" s="18"/>
      <c r="U194" s="18"/>
      <c r="V194" s="18"/>
      <c r="W194" s="18"/>
      <c r="X194" s="18"/>
      <c r="Y194" s="18"/>
    </row>
    <row r="195" ht="15.75" customHeight="1">
      <c r="A195" s="18"/>
      <c r="B195" s="18"/>
      <c r="C195" s="18"/>
      <c r="D195" s="18"/>
      <c r="E195" s="18"/>
      <c r="F195" s="18"/>
      <c r="G195" s="18"/>
      <c r="H195" s="18"/>
      <c r="I195" s="18"/>
      <c r="J195" s="18"/>
      <c r="K195" s="18"/>
      <c r="L195" s="18"/>
      <c r="M195" s="18"/>
      <c r="N195" s="18"/>
      <c r="O195" s="18"/>
      <c r="P195" s="18"/>
      <c r="Q195" s="18"/>
      <c r="R195" s="18"/>
      <c r="S195" s="18"/>
      <c r="T195" s="18"/>
      <c r="U195" s="18"/>
      <c r="V195" s="18"/>
      <c r="W195" s="18"/>
      <c r="X195" s="18"/>
      <c r="Y195" s="18"/>
    </row>
    <row r="196" ht="15.75" customHeight="1">
      <c r="A196" s="18"/>
      <c r="B196" s="18"/>
      <c r="C196" s="18"/>
      <c r="D196" s="18"/>
      <c r="E196" s="18"/>
      <c r="F196" s="18"/>
      <c r="G196" s="18"/>
      <c r="H196" s="18"/>
      <c r="I196" s="18"/>
      <c r="J196" s="18"/>
      <c r="K196" s="18"/>
      <c r="L196" s="18"/>
      <c r="M196" s="18"/>
      <c r="N196" s="18"/>
      <c r="O196" s="18"/>
      <c r="P196" s="18"/>
      <c r="Q196" s="18"/>
      <c r="R196" s="18"/>
      <c r="S196" s="18"/>
      <c r="T196" s="18"/>
      <c r="U196" s="18"/>
      <c r="V196" s="18"/>
      <c r="W196" s="18"/>
      <c r="X196" s="18"/>
      <c r="Y196" s="18"/>
    </row>
    <row r="197" ht="15.75" customHeight="1">
      <c r="A197" s="18"/>
      <c r="B197" s="18"/>
      <c r="C197" s="18"/>
      <c r="D197" s="18"/>
      <c r="E197" s="18"/>
      <c r="F197" s="18"/>
      <c r="G197" s="18"/>
      <c r="H197" s="18"/>
      <c r="I197" s="18"/>
      <c r="J197" s="18"/>
      <c r="K197" s="18"/>
      <c r="L197" s="18"/>
      <c r="M197" s="18"/>
      <c r="N197" s="18"/>
      <c r="O197" s="18"/>
      <c r="P197" s="18"/>
      <c r="Q197" s="18"/>
      <c r="R197" s="18"/>
      <c r="S197" s="18"/>
      <c r="T197" s="18"/>
      <c r="U197" s="18"/>
      <c r="V197" s="18"/>
      <c r="W197" s="18"/>
      <c r="X197" s="18"/>
      <c r="Y197" s="18"/>
    </row>
    <row r="198" ht="15.75" customHeight="1">
      <c r="A198" s="18"/>
      <c r="B198" s="18"/>
      <c r="C198" s="18"/>
      <c r="D198" s="18"/>
      <c r="E198" s="18"/>
      <c r="F198" s="18"/>
      <c r="G198" s="18"/>
      <c r="H198" s="18"/>
      <c r="I198" s="18"/>
      <c r="J198" s="18"/>
      <c r="K198" s="18"/>
      <c r="L198" s="18"/>
      <c r="M198" s="18"/>
      <c r="N198" s="18"/>
      <c r="O198" s="18"/>
      <c r="P198" s="18"/>
      <c r="Q198" s="18"/>
      <c r="R198" s="18"/>
      <c r="S198" s="18"/>
      <c r="T198" s="18"/>
      <c r="U198" s="18"/>
      <c r="V198" s="18"/>
      <c r="W198" s="18"/>
      <c r="X198" s="18"/>
      <c r="Y198" s="18"/>
    </row>
    <row r="199" ht="15.75" customHeight="1">
      <c r="A199" s="18"/>
      <c r="B199" s="18"/>
      <c r="C199" s="18"/>
      <c r="D199" s="18"/>
      <c r="E199" s="18"/>
      <c r="F199" s="18"/>
      <c r="G199" s="18"/>
      <c r="H199" s="18"/>
      <c r="I199" s="18"/>
      <c r="J199" s="18"/>
      <c r="K199" s="18"/>
      <c r="L199" s="18"/>
      <c r="M199" s="18"/>
      <c r="N199" s="18"/>
      <c r="O199" s="18"/>
      <c r="P199" s="18"/>
      <c r="Q199" s="18"/>
      <c r="R199" s="18"/>
      <c r="S199" s="18"/>
      <c r="T199" s="18"/>
      <c r="U199" s="18"/>
      <c r="V199" s="18"/>
      <c r="W199" s="18"/>
      <c r="X199" s="18"/>
      <c r="Y199" s="18"/>
    </row>
    <row r="200" ht="15.75" customHeight="1">
      <c r="A200" s="18"/>
      <c r="B200" s="18"/>
      <c r="C200" s="18"/>
      <c r="D200" s="18"/>
      <c r="E200" s="18"/>
      <c r="F200" s="18"/>
      <c r="G200" s="18"/>
      <c r="H200" s="18"/>
      <c r="I200" s="18"/>
      <c r="J200" s="18"/>
      <c r="K200" s="18"/>
      <c r="L200" s="18"/>
      <c r="M200" s="18"/>
      <c r="N200" s="18"/>
      <c r="O200" s="18"/>
      <c r="P200" s="18"/>
      <c r="Q200" s="18"/>
      <c r="R200" s="18"/>
      <c r="S200" s="18"/>
      <c r="T200" s="18"/>
      <c r="U200" s="18"/>
      <c r="V200" s="18"/>
      <c r="W200" s="18"/>
      <c r="X200" s="18"/>
      <c r="Y200" s="18"/>
    </row>
    <row r="201" ht="15.75" customHeight="1">
      <c r="A201" s="18"/>
      <c r="B201" s="18"/>
      <c r="C201" s="18"/>
      <c r="D201" s="18"/>
      <c r="E201" s="18"/>
      <c r="F201" s="18"/>
      <c r="G201" s="18"/>
      <c r="H201" s="18"/>
      <c r="I201" s="18"/>
      <c r="J201" s="18"/>
      <c r="K201" s="18"/>
      <c r="L201" s="18"/>
      <c r="M201" s="18"/>
      <c r="N201" s="18"/>
      <c r="O201" s="18"/>
      <c r="P201" s="18"/>
      <c r="Q201" s="18"/>
      <c r="R201" s="18"/>
      <c r="S201" s="18"/>
      <c r="T201" s="18"/>
      <c r="U201" s="18"/>
      <c r="V201" s="18"/>
      <c r="W201" s="18"/>
      <c r="X201" s="18"/>
      <c r="Y201" s="18"/>
    </row>
    <row r="202" ht="15.75" customHeight="1">
      <c r="A202" s="18"/>
      <c r="B202" s="18"/>
      <c r="C202" s="18"/>
      <c r="D202" s="18"/>
      <c r="E202" s="18"/>
      <c r="F202" s="18"/>
      <c r="G202" s="18"/>
      <c r="H202" s="18"/>
      <c r="I202" s="18"/>
      <c r="J202" s="18"/>
      <c r="K202" s="18"/>
      <c r="L202" s="18"/>
      <c r="M202" s="18"/>
      <c r="N202" s="18"/>
      <c r="O202" s="18"/>
      <c r="P202" s="18"/>
      <c r="Q202" s="18"/>
      <c r="R202" s="18"/>
      <c r="S202" s="18"/>
      <c r="T202" s="18"/>
      <c r="U202" s="18"/>
      <c r="V202" s="18"/>
      <c r="W202" s="18"/>
      <c r="X202" s="18"/>
      <c r="Y202" s="18"/>
    </row>
    <row r="203" ht="15.75" customHeight="1">
      <c r="A203" s="18"/>
      <c r="B203" s="18"/>
      <c r="C203" s="18"/>
      <c r="D203" s="18"/>
      <c r="E203" s="18"/>
      <c r="F203" s="18"/>
      <c r="G203" s="18"/>
      <c r="H203" s="18"/>
      <c r="I203" s="18"/>
      <c r="J203" s="18"/>
      <c r="K203" s="18"/>
      <c r="L203" s="18"/>
      <c r="M203" s="18"/>
      <c r="N203" s="18"/>
      <c r="O203" s="18"/>
      <c r="P203" s="18"/>
      <c r="Q203" s="18"/>
      <c r="R203" s="18"/>
      <c r="S203" s="18"/>
      <c r="T203" s="18"/>
      <c r="U203" s="18"/>
      <c r="V203" s="18"/>
      <c r="W203" s="18"/>
      <c r="X203" s="18"/>
      <c r="Y203" s="18"/>
    </row>
    <row r="204" ht="15.75" customHeight="1">
      <c r="A204" s="18"/>
      <c r="B204" s="18"/>
      <c r="C204" s="18"/>
      <c r="D204" s="18"/>
      <c r="E204" s="18"/>
      <c r="F204" s="18"/>
      <c r="G204" s="18"/>
      <c r="H204" s="18"/>
      <c r="I204" s="18"/>
      <c r="J204" s="18"/>
      <c r="K204" s="18"/>
      <c r="L204" s="18"/>
      <c r="M204" s="18"/>
      <c r="N204" s="18"/>
      <c r="O204" s="18"/>
      <c r="P204" s="18"/>
      <c r="Q204" s="18"/>
      <c r="R204" s="18"/>
      <c r="S204" s="18"/>
      <c r="T204" s="18"/>
      <c r="U204" s="18"/>
      <c r="V204" s="18"/>
      <c r="W204" s="18"/>
      <c r="X204" s="18"/>
      <c r="Y204" s="18"/>
    </row>
    <row r="205" ht="15.75" customHeight="1">
      <c r="A205" s="18"/>
      <c r="B205" s="18"/>
      <c r="C205" s="18"/>
      <c r="D205" s="18"/>
      <c r="E205" s="18"/>
      <c r="F205" s="18"/>
      <c r="G205" s="18"/>
      <c r="H205" s="18"/>
      <c r="I205" s="18"/>
      <c r="J205" s="18"/>
      <c r="K205" s="18"/>
      <c r="L205" s="18"/>
      <c r="M205" s="18"/>
      <c r="N205" s="18"/>
      <c r="O205" s="18"/>
      <c r="P205" s="18"/>
      <c r="Q205" s="18"/>
      <c r="R205" s="18"/>
      <c r="S205" s="18"/>
      <c r="T205" s="18"/>
      <c r="U205" s="18"/>
      <c r="V205" s="18"/>
      <c r="W205" s="18"/>
      <c r="X205" s="18"/>
      <c r="Y205" s="18"/>
    </row>
    <row r="206" ht="15.75" customHeight="1">
      <c r="A206" s="18"/>
      <c r="B206" s="18"/>
      <c r="C206" s="18"/>
      <c r="D206" s="18"/>
      <c r="E206" s="18"/>
      <c r="F206" s="18"/>
      <c r="G206" s="18"/>
      <c r="H206" s="18"/>
      <c r="I206" s="18"/>
      <c r="J206" s="18"/>
      <c r="K206" s="18"/>
      <c r="L206" s="18"/>
      <c r="M206" s="18"/>
      <c r="N206" s="18"/>
      <c r="O206" s="18"/>
      <c r="P206" s="18"/>
      <c r="Q206" s="18"/>
      <c r="R206" s="18"/>
      <c r="S206" s="18"/>
      <c r="T206" s="18"/>
      <c r="U206" s="18"/>
      <c r="V206" s="18"/>
      <c r="W206" s="18"/>
      <c r="X206" s="18"/>
      <c r="Y206" s="18"/>
    </row>
    <row r="207" ht="15.75" customHeight="1">
      <c r="A207" s="18"/>
      <c r="B207" s="18"/>
      <c r="C207" s="18"/>
      <c r="D207" s="18"/>
      <c r="E207" s="18"/>
      <c r="F207" s="18"/>
      <c r="G207" s="18"/>
      <c r="H207" s="18"/>
      <c r="I207" s="18"/>
      <c r="J207" s="18"/>
      <c r="K207" s="18"/>
      <c r="L207" s="18"/>
      <c r="M207" s="18"/>
      <c r="N207" s="18"/>
      <c r="O207" s="18"/>
      <c r="P207" s="18"/>
      <c r="Q207" s="18"/>
      <c r="R207" s="18"/>
      <c r="S207" s="18"/>
      <c r="T207" s="18"/>
      <c r="U207" s="18"/>
      <c r="V207" s="18"/>
      <c r="W207" s="18"/>
      <c r="X207" s="18"/>
      <c r="Y207" s="18"/>
    </row>
    <row r="208" ht="15.75" customHeight="1">
      <c r="A208" s="18"/>
      <c r="B208" s="18"/>
      <c r="C208" s="18"/>
      <c r="D208" s="18"/>
      <c r="E208" s="18"/>
      <c r="F208" s="18"/>
      <c r="G208" s="18"/>
      <c r="H208" s="18"/>
      <c r="I208" s="18"/>
      <c r="J208" s="18"/>
      <c r="K208" s="18"/>
      <c r="L208" s="18"/>
      <c r="M208" s="18"/>
      <c r="N208" s="18"/>
      <c r="O208" s="18"/>
      <c r="P208" s="18"/>
      <c r="Q208" s="18"/>
      <c r="R208" s="18"/>
      <c r="S208" s="18"/>
      <c r="T208" s="18"/>
      <c r="U208" s="18"/>
      <c r="V208" s="18"/>
      <c r="W208" s="18"/>
      <c r="X208" s="18"/>
      <c r="Y208" s="18"/>
    </row>
    <row r="209" ht="15.75" customHeight="1">
      <c r="A209" s="18"/>
      <c r="B209" s="18"/>
      <c r="C209" s="18"/>
      <c r="D209" s="18"/>
      <c r="E209" s="18"/>
      <c r="F209" s="18"/>
      <c r="G209" s="18"/>
      <c r="H209" s="18"/>
      <c r="I209" s="18"/>
      <c r="J209" s="18"/>
      <c r="K209" s="18"/>
      <c r="L209" s="18"/>
      <c r="M209" s="18"/>
      <c r="N209" s="18"/>
      <c r="O209" s="18"/>
      <c r="P209" s="18"/>
      <c r="Q209" s="18"/>
      <c r="R209" s="18"/>
      <c r="S209" s="18"/>
      <c r="T209" s="18"/>
      <c r="U209" s="18"/>
      <c r="V209" s="18"/>
      <c r="W209" s="18"/>
      <c r="X209" s="18"/>
      <c r="Y209" s="18"/>
    </row>
    <row r="210" ht="15.75" customHeight="1">
      <c r="A210" s="18"/>
      <c r="B210" s="18"/>
      <c r="C210" s="18"/>
      <c r="D210" s="18"/>
      <c r="E210" s="18"/>
      <c r="F210" s="18"/>
      <c r="G210" s="18"/>
      <c r="H210" s="18"/>
      <c r="I210" s="18"/>
      <c r="J210" s="18"/>
      <c r="K210" s="18"/>
      <c r="L210" s="18"/>
      <c r="M210" s="18"/>
      <c r="N210" s="18"/>
      <c r="O210" s="18"/>
      <c r="P210" s="18"/>
      <c r="Q210" s="18"/>
      <c r="R210" s="18"/>
      <c r="S210" s="18"/>
      <c r="T210" s="18"/>
      <c r="U210" s="18"/>
      <c r="V210" s="18"/>
      <c r="W210" s="18"/>
      <c r="X210" s="18"/>
      <c r="Y210" s="18"/>
    </row>
    <row r="211" ht="15.75" customHeight="1">
      <c r="A211" s="18"/>
      <c r="B211" s="18"/>
      <c r="C211" s="18"/>
      <c r="D211" s="18"/>
      <c r="E211" s="18"/>
      <c r="F211" s="18"/>
      <c r="G211" s="18"/>
      <c r="H211" s="18"/>
      <c r="I211" s="18"/>
      <c r="J211" s="18"/>
      <c r="K211" s="18"/>
      <c r="L211" s="18"/>
      <c r="M211" s="18"/>
      <c r="N211" s="18"/>
      <c r="O211" s="18"/>
      <c r="P211" s="18"/>
      <c r="Q211" s="18"/>
      <c r="R211" s="18"/>
      <c r="S211" s="18"/>
      <c r="T211" s="18"/>
      <c r="U211" s="18"/>
      <c r="V211" s="18"/>
      <c r="W211" s="18"/>
      <c r="X211" s="18"/>
      <c r="Y211" s="18"/>
    </row>
    <row r="212" ht="15.75" customHeight="1">
      <c r="A212" s="18"/>
      <c r="B212" s="18"/>
      <c r="C212" s="18"/>
      <c r="D212" s="18"/>
      <c r="E212" s="18"/>
      <c r="F212" s="18"/>
      <c r="G212" s="18"/>
      <c r="H212" s="18"/>
      <c r="I212" s="18"/>
      <c r="J212" s="18"/>
      <c r="K212" s="18"/>
      <c r="L212" s="18"/>
      <c r="M212" s="18"/>
      <c r="N212" s="18"/>
      <c r="O212" s="18"/>
      <c r="P212" s="18"/>
      <c r="Q212" s="18"/>
      <c r="R212" s="18"/>
      <c r="S212" s="18"/>
      <c r="T212" s="18"/>
      <c r="U212" s="18"/>
      <c r="V212" s="18"/>
      <c r="W212" s="18"/>
      <c r="X212" s="18"/>
      <c r="Y212" s="18"/>
    </row>
    <row r="213" ht="15.75" customHeight="1">
      <c r="A213" s="18"/>
      <c r="B213" s="18"/>
      <c r="C213" s="18"/>
      <c r="D213" s="18"/>
      <c r="E213" s="18"/>
      <c r="F213" s="18"/>
      <c r="G213" s="18"/>
      <c r="H213" s="18"/>
      <c r="I213" s="18"/>
      <c r="J213" s="18"/>
      <c r="K213" s="18"/>
      <c r="L213" s="18"/>
      <c r="M213" s="18"/>
      <c r="N213" s="18"/>
      <c r="O213" s="18"/>
      <c r="P213" s="18"/>
      <c r="Q213" s="18"/>
      <c r="R213" s="18"/>
      <c r="S213" s="18"/>
      <c r="T213" s="18"/>
      <c r="U213" s="18"/>
      <c r="V213" s="18"/>
      <c r="W213" s="18"/>
      <c r="X213" s="18"/>
      <c r="Y213" s="18"/>
    </row>
    <row r="214" ht="15.75" customHeight="1">
      <c r="A214" s="18"/>
      <c r="B214" s="18"/>
      <c r="C214" s="18"/>
      <c r="D214" s="18"/>
      <c r="E214" s="18"/>
      <c r="F214" s="18"/>
      <c r="G214" s="18"/>
      <c r="H214" s="18"/>
      <c r="I214" s="18"/>
      <c r="J214" s="18"/>
      <c r="K214" s="18"/>
      <c r="L214" s="18"/>
      <c r="M214" s="18"/>
      <c r="N214" s="18"/>
      <c r="O214" s="18"/>
      <c r="P214" s="18"/>
      <c r="Q214" s="18"/>
      <c r="R214" s="18"/>
      <c r="S214" s="18"/>
      <c r="T214" s="18"/>
      <c r="U214" s="18"/>
      <c r="V214" s="18"/>
      <c r="W214" s="18"/>
      <c r="X214" s="18"/>
      <c r="Y214" s="18"/>
    </row>
    <row r="215" ht="15.75" customHeight="1">
      <c r="A215" s="18"/>
      <c r="B215" s="18"/>
      <c r="C215" s="18"/>
      <c r="D215" s="18"/>
      <c r="E215" s="18"/>
      <c r="F215" s="18"/>
      <c r="G215" s="18"/>
      <c r="H215" s="18"/>
      <c r="I215" s="18"/>
      <c r="J215" s="18"/>
      <c r="K215" s="18"/>
      <c r="L215" s="18"/>
      <c r="M215" s="18"/>
      <c r="N215" s="18"/>
      <c r="O215" s="18"/>
      <c r="P215" s="18"/>
      <c r="Q215" s="18"/>
      <c r="R215" s="18"/>
      <c r="S215" s="18"/>
      <c r="T215" s="18"/>
      <c r="U215" s="18"/>
      <c r="V215" s="18"/>
      <c r="W215" s="18"/>
      <c r="X215" s="18"/>
      <c r="Y215" s="18"/>
    </row>
    <row r="216" ht="15.75" customHeight="1">
      <c r="A216" s="18"/>
      <c r="B216" s="18"/>
      <c r="C216" s="18"/>
      <c r="D216" s="18"/>
      <c r="E216" s="18"/>
      <c r="F216" s="18"/>
      <c r="G216" s="18"/>
      <c r="H216" s="18"/>
      <c r="I216" s="18"/>
      <c r="J216" s="18"/>
      <c r="K216" s="18"/>
      <c r="L216" s="18"/>
      <c r="M216" s="18"/>
      <c r="N216" s="18"/>
      <c r="O216" s="18"/>
      <c r="P216" s="18"/>
      <c r="Q216" s="18"/>
      <c r="R216" s="18"/>
      <c r="S216" s="18"/>
      <c r="T216" s="18"/>
      <c r="U216" s="18"/>
      <c r="V216" s="18"/>
      <c r="W216" s="18"/>
      <c r="X216" s="18"/>
      <c r="Y216" s="18"/>
    </row>
    <row r="217" ht="15.75" customHeight="1">
      <c r="A217" s="18"/>
      <c r="B217" s="18"/>
      <c r="C217" s="18"/>
      <c r="D217" s="18"/>
      <c r="E217" s="18"/>
      <c r="F217" s="18"/>
      <c r="G217" s="18"/>
      <c r="H217" s="18"/>
      <c r="I217" s="18"/>
      <c r="J217" s="18"/>
      <c r="K217" s="18"/>
      <c r="L217" s="18"/>
      <c r="M217" s="18"/>
      <c r="N217" s="18"/>
      <c r="O217" s="18"/>
      <c r="P217" s="18"/>
      <c r="Q217" s="18"/>
      <c r="R217" s="18"/>
      <c r="S217" s="18"/>
      <c r="T217" s="18"/>
      <c r="U217" s="18"/>
      <c r="V217" s="18"/>
      <c r="W217" s="18"/>
      <c r="X217" s="18"/>
      <c r="Y217" s="18"/>
    </row>
    <row r="218" ht="15.75" customHeight="1">
      <c r="A218" s="18"/>
      <c r="B218" s="18"/>
      <c r="C218" s="18"/>
      <c r="D218" s="18"/>
      <c r="E218" s="18"/>
      <c r="F218" s="18"/>
      <c r="G218" s="18"/>
      <c r="H218" s="18"/>
      <c r="I218" s="18"/>
      <c r="J218" s="18"/>
      <c r="K218" s="18"/>
      <c r="L218" s="18"/>
      <c r="M218" s="18"/>
      <c r="N218" s="18"/>
      <c r="O218" s="18"/>
      <c r="P218" s="18"/>
      <c r="Q218" s="18"/>
      <c r="R218" s="18"/>
      <c r="S218" s="18"/>
      <c r="T218" s="18"/>
      <c r="U218" s="18"/>
      <c r="V218" s="18"/>
      <c r="W218" s="18"/>
      <c r="X218" s="18"/>
      <c r="Y218" s="18"/>
    </row>
    <row r="219" ht="15.75" customHeight="1">
      <c r="A219" s="18"/>
      <c r="B219" s="18"/>
      <c r="C219" s="18"/>
      <c r="D219" s="18"/>
      <c r="E219" s="18"/>
      <c r="F219" s="18"/>
      <c r="G219" s="18"/>
      <c r="H219" s="18"/>
      <c r="I219" s="18"/>
      <c r="J219" s="18"/>
      <c r="K219" s="18"/>
      <c r="L219" s="18"/>
      <c r="M219" s="18"/>
      <c r="N219" s="18"/>
      <c r="O219" s="18"/>
      <c r="P219" s="18"/>
      <c r="Q219" s="18"/>
      <c r="R219" s="18"/>
      <c r="S219" s="18"/>
      <c r="T219" s="18"/>
      <c r="U219" s="18"/>
      <c r="V219" s="18"/>
      <c r="W219" s="18"/>
      <c r="X219" s="18"/>
      <c r="Y219" s="18"/>
    </row>
    <row r="220" ht="15.75" customHeight="1">
      <c r="A220" s="18"/>
      <c r="B220" s="18"/>
      <c r="C220" s="18"/>
      <c r="D220" s="18"/>
      <c r="E220" s="18"/>
      <c r="F220" s="18"/>
      <c r="G220" s="18"/>
      <c r="H220" s="18"/>
      <c r="I220" s="18"/>
      <c r="J220" s="18"/>
      <c r="K220" s="18"/>
      <c r="L220" s="18"/>
      <c r="M220" s="18"/>
      <c r="N220" s="18"/>
      <c r="O220" s="18"/>
      <c r="P220" s="18"/>
      <c r="Q220" s="18"/>
      <c r="R220" s="18"/>
      <c r="S220" s="18"/>
      <c r="T220" s="18"/>
      <c r="U220" s="18"/>
      <c r="V220" s="18"/>
      <c r="W220" s="18"/>
      <c r="X220" s="18"/>
      <c r="Y220" s="18"/>
    </row>
    <row r="221" ht="15.75" customHeight="1">
      <c r="A221" s="18"/>
      <c r="B221" s="18"/>
      <c r="C221" s="18"/>
      <c r="D221" s="18"/>
      <c r="E221" s="18"/>
      <c r="F221" s="18"/>
      <c r="G221" s="18"/>
      <c r="H221" s="18"/>
      <c r="I221" s="18"/>
      <c r="J221" s="18"/>
      <c r="K221" s="18"/>
      <c r="L221" s="18"/>
      <c r="M221" s="18"/>
      <c r="N221" s="18"/>
      <c r="O221" s="18"/>
      <c r="P221" s="18"/>
      <c r="Q221" s="18"/>
      <c r="R221" s="18"/>
      <c r="S221" s="18"/>
      <c r="T221" s="18"/>
      <c r="U221" s="18"/>
      <c r="V221" s="18"/>
      <c r="W221" s="18"/>
      <c r="X221" s="18"/>
      <c r="Y221" s="18"/>
    </row>
    <row r="222" ht="15.75" customHeight="1">
      <c r="A222" s="18"/>
      <c r="B222" s="18"/>
      <c r="C222" s="18"/>
      <c r="D222" s="18"/>
      <c r="E222" s="18"/>
      <c r="F222" s="18"/>
      <c r="G222" s="18"/>
      <c r="H222" s="18"/>
      <c r="I222" s="18"/>
      <c r="J222" s="18"/>
      <c r="K222" s="18"/>
      <c r="L222" s="18"/>
      <c r="M222" s="18"/>
      <c r="N222" s="18"/>
      <c r="O222" s="18"/>
      <c r="P222" s="18"/>
      <c r="Q222" s="18"/>
      <c r="R222" s="18"/>
      <c r="S222" s="18"/>
      <c r="T222" s="18"/>
      <c r="U222" s="18"/>
      <c r="V222" s="18"/>
      <c r="W222" s="18"/>
      <c r="X222" s="18"/>
      <c r="Y222" s="18"/>
    </row>
    <row r="223" ht="15.75" customHeight="1">
      <c r="A223" s="18"/>
      <c r="B223" s="18"/>
      <c r="C223" s="18"/>
      <c r="D223" s="18"/>
      <c r="E223" s="18"/>
      <c r="F223" s="18"/>
      <c r="G223" s="18"/>
      <c r="H223" s="18"/>
      <c r="I223" s="18"/>
      <c r="J223" s="18"/>
      <c r="K223" s="18"/>
      <c r="L223" s="18"/>
      <c r="M223" s="18"/>
      <c r="N223" s="18"/>
      <c r="O223" s="18"/>
      <c r="P223" s="18"/>
      <c r="Q223" s="18"/>
      <c r="R223" s="18"/>
      <c r="S223" s="18"/>
      <c r="T223" s="18"/>
      <c r="U223" s="18"/>
      <c r="V223" s="18"/>
      <c r="W223" s="18"/>
      <c r="X223" s="18"/>
      <c r="Y223" s="18"/>
    </row>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3">
    <mergeCell ref="C9:D11"/>
    <mergeCell ref="B17:D17"/>
    <mergeCell ref="B18:D18"/>
    <mergeCell ref="B19:D19"/>
    <mergeCell ref="J22:M22"/>
    <mergeCell ref="J23:M23"/>
    <mergeCell ref="D2:E2"/>
    <mergeCell ref="D3:E3"/>
    <mergeCell ref="D4:E4"/>
    <mergeCell ref="D5:E5"/>
    <mergeCell ref="B9:B11"/>
    <mergeCell ref="E9:K9"/>
    <mergeCell ref="L9:M9"/>
  </mergeCells>
  <printOptions/>
  <pageMargins bottom="0.75" footer="0.0" header="0.0" left="0.7" right="0.7" top="0.75"/>
  <pageSetup orientation="landscape"/>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10" width="9.71"/>
  </cols>
  <sheetData>
    <row r="4">
      <c r="A4" s="37" t="s">
        <v>22</v>
      </c>
      <c r="B4" s="37" t="s">
        <v>25</v>
      </c>
      <c r="C4" s="37" t="s">
        <v>26</v>
      </c>
      <c r="D4" s="37" t="s">
        <v>27</v>
      </c>
      <c r="E4" s="37" t="s">
        <v>28</v>
      </c>
      <c r="F4" s="37" t="s">
        <v>29</v>
      </c>
      <c r="G4" s="37" t="s">
        <v>30</v>
      </c>
      <c r="H4" s="37" t="s">
        <v>31</v>
      </c>
      <c r="I4" s="37" t="s">
        <v>32</v>
      </c>
      <c r="J4" s="37" t="s">
        <v>33</v>
      </c>
    </row>
    <row r="5">
      <c r="A5" s="349" t="s">
        <v>9</v>
      </c>
      <c r="B5" s="37">
        <v>3.0</v>
      </c>
      <c r="C5" s="37">
        <v>2.0</v>
      </c>
      <c r="D5" s="37">
        <v>2.0</v>
      </c>
      <c r="E5" s="37">
        <v>1.0</v>
      </c>
      <c r="F5" s="37">
        <v>1.0</v>
      </c>
      <c r="G5" s="37" t="s">
        <v>43</v>
      </c>
      <c r="H5" s="37" t="s">
        <v>43</v>
      </c>
      <c r="I5" s="37">
        <v>3.0</v>
      </c>
      <c r="J5" s="37">
        <v>1.0</v>
      </c>
    </row>
    <row r="6">
      <c r="A6" s="349" t="s">
        <v>11</v>
      </c>
      <c r="B6" s="37">
        <v>3.0</v>
      </c>
      <c r="C6" s="37">
        <v>3.0</v>
      </c>
      <c r="D6" s="37">
        <v>3.0</v>
      </c>
      <c r="E6" s="37">
        <v>2.0</v>
      </c>
      <c r="F6" s="37">
        <v>2.0</v>
      </c>
      <c r="G6" s="37" t="s">
        <v>43</v>
      </c>
      <c r="H6" s="37" t="s">
        <v>43</v>
      </c>
      <c r="I6" s="37">
        <v>3.0</v>
      </c>
      <c r="J6" s="37">
        <v>2.0</v>
      </c>
    </row>
    <row r="7">
      <c r="A7" s="349" t="s">
        <v>13</v>
      </c>
      <c r="B7" s="37">
        <v>3.0</v>
      </c>
      <c r="C7" s="37">
        <v>3.0</v>
      </c>
      <c r="D7" s="37">
        <v>3.0</v>
      </c>
      <c r="E7" s="37">
        <v>2.0</v>
      </c>
      <c r="F7" s="37">
        <v>2.0</v>
      </c>
      <c r="G7" s="37" t="s">
        <v>43</v>
      </c>
      <c r="H7" s="37" t="s">
        <v>43</v>
      </c>
      <c r="I7" s="37">
        <v>3.0</v>
      </c>
      <c r="J7" s="37">
        <v>2.0</v>
      </c>
    </row>
    <row r="8">
      <c r="A8" s="349" t="s">
        <v>15</v>
      </c>
      <c r="B8" s="37">
        <v>3.0</v>
      </c>
      <c r="C8" s="37">
        <v>3.0</v>
      </c>
      <c r="D8" s="37">
        <v>3.0</v>
      </c>
      <c r="E8" s="37">
        <v>2.0</v>
      </c>
      <c r="F8" s="37">
        <v>2.0</v>
      </c>
      <c r="G8" s="37" t="s">
        <v>43</v>
      </c>
      <c r="H8" s="37" t="s">
        <v>43</v>
      </c>
      <c r="I8" s="37">
        <v>3.0</v>
      </c>
      <c r="J8" s="37">
        <v>2.0</v>
      </c>
    </row>
    <row r="9">
      <c r="A9" s="349" t="s">
        <v>17</v>
      </c>
      <c r="B9" s="37">
        <v>3.0</v>
      </c>
      <c r="C9" s="37">
        <v>3.0</v>
      </c>
      <c r="D9" s="37">
        <v>3.0</v>
      </c>
      <c r="E9" s="37">
        <v>3.0</v>
      </c>
      <c r="F9" s="37">
        <v>2.0</v>
      </c>
      <c r="G9" s="37" t="s">
        <v>43</v>
      </c>
      <c r="H9" s="37" t="s">
        <v>43</v>
      </c>
      <c r="I9" s="37">
        <v>3.0</v>
      </c>
      <c r="J9" s="37">
        <v>2.0</v>
      </c>
    </row>
    <row r="14">
      <c r="C14" s="350" t="s">
        <v>251</v>
      </c>
    </row>
    <row r="15">
      <c r="C15" s="351"/>
    </row>
    <row r="16">
      <c r="C16" s="350" t="s">
        <v>252</v>
      </c>
    </row>
    <row r="17">
      <c r="C17" s="351"/>
    </row>
    <row r="18">
      <c r="C18" s="350" t="s">
        <v>253</v>
      </c>
    </row>
    <row r="19">
      <c r="C19" s="351"/>
    </row>
    <row r="20">
      <c r="C20" s="350" t="s">
        <v>254</v>
      </c>
    </row>
    <row r="21">
      <c r="C21" s="351"/>
    </row>
    <row r="22">
      <c r="C22" s="350" t="s">
        <v>255</v>
      </c>
    </row>
    <row r="23">
      <c r="C23" s="351"/>
    </row>
    <row r="24">
      <c r="C24" s="350" t="s">
        <v>256</v>
      </c>
    </row>
    <row r="25">
      <c r="C25" s="351"/>
    </row>
    <row r="26">
      <c r="C26" s="350" t="s">
        <v>257</v>
      </c>
    </row>
    <row r="27">
      <c r="C27" s="351"/>
    </row>
    <row r="28">
      <c r="C28" s="350" t="s">
        <v>258</v>
      </c>
    </row>
    <row r="29">
      <c r="C29" s="351"/>
    </row>
    <row r="30">
      <c r="C30" s="350" t="s">
        <v>259</v>
      </c>
    </row>
  </sheetData>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2019-05-31T18:42:57Z</dcterms:created>
  <dc:creator>hp</dc:creator>
</cp:coreProperties>
</file>