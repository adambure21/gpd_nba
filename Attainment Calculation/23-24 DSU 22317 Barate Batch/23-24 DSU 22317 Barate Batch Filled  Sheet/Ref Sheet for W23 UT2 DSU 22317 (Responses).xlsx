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SBTE-28\Documents\ada\gpd_nba\Attainment Calculation\23-24 DSU 22317 Barate Batch\23-24 DSU 22317 Barate Batch Filled  Sheet\"/>
    </mc:Choice>
  </mc:AlternateContent>
  <xr:revisionPtr revIDLastSave="0" documentId="8_{B56CE2E6-9862-49B0-9B54-47468962416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orm Responses 1" sheetId="1" r:id="rId1"/>
    <sheet name="Sheet1" sheetId="2" r:id="rId2"/>
    <sheet name="Form Responses 1 (2)" sheetId="3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" i="3" l="1"/>
  <c r="P26" i="3"/>
  <c r="Q26" i="3"/>
  <c r="O27" i="3"/>
  <c r="P27" i="3"/>
  <c r="Q27" i="3"/>
  <c r="O28" i="3"/>
  <c r="P28" i="3"/>
  <c r="Q28" i="3"/>
  <c r="O29" i="3"/>
  <c r="P29" i="3"/>
  <c r="Q29" i="3"/>
  <c r="O30" i="3"/>
  <c r="P30" i="3"/>
  <c r="Q30" i="3"/>
  <c r="O31" i="3"/>
  <c r="P31" i="3"/>
  <c r="Q31" i="3"/>
  <c r="O32" i="3"/>
  <c r="P32" i="3"/>
  <c r="Q32" i="3"/>
  <c r="O33" i="3"/>
  <c r="P33" i="3"/>
  <c r="Q33" i="3"/>
  <c r="O34" i="3"/>
  <c r="P34" i="3"/>
  <c r="Q34" i="3"/>
  <c r="O35" i="3"/>
  <c r="P35" i="3"/>
  <c r="Q35" i="3"/>
  <c r="O36" i="3"/>
  <c r="P36" i="3"/>
  <c r="Q36" i="3"/>
  <c r="O37" i="3"/>
  <c r="P37" i="3"/>
  <c r="Q37" i="3"/>
  <c r="O38" i="3"/>
  <c r="P38" i="3"/>
  <c r="Q38" i="3"/>
  <c r="O39" i="3"/>
  <c r="P39" i="3"/>
  <c r="Q39" i="3"/>
  <c r="O40" i="3"/>
  <c r="P40" i="3"/>
  <c r="Q40" i="3"/>
  <c r="O41" i="3"/>
  <c r="P41" i="3"/>
  <c r="Q41" i="3"/>
  <c r="O42" i="3"/>
  <c r="P42" i="3"/>
  <c r="Q42" i="3"/>
  <c r="O43" i="3"/>
  <c r="P43" i="3"/>
  <c r="Q43" i="3"/>
  <c r="O44" i="3"/>
  <c r="P44" i="3"/>
  <c r="Q44" i="3"/>
  <c r="O45" i="3"/>
  <c r="P45" i="3"/>
  <c r="Q45" i="3"/>
  <c r="O46" i="3"/>
  <c r="P46" i="3"/>
  <c r="Q46" i="3"/>
  <c r="O47" i="3"/>
  <c r="P47" i="3"/>
  <c r="Q47" i="3"/>
  <c r="O48" i="3"/>
  <c r="P48" i="3"/>
  <c r="Q48" i="3"/>
  <c r="O49" i="3"/>
  <c r="P49" i="3"/>
  <c r="Q49" i="3"/>
  <c r="O50" i="3"/>
  <c r="P50" i="3"/>
  <c r="Q50" i="3"/>
  <c r="O51" i="3"/>
  <c r="P51" i="3"/>
  <c r="Q51" i="3"/>
  <c r="O52" i="3"/>
  <c r="P52" i="3"/>
  <c r="Q52" i="3"/>
  <c r="O53" i="3"/>
  <c r="P53" i="3"/>
  <c r="Q53" i="3"/>
  <c r="O54" i="3"/>
  <c r="P54" i="3"/>
  <c r="Q54" i="3"/>
  <c r="O55" i="3"/>
  <c r="P55" i="3"/>
  <c r="Q55" i="3"/>
  <c r="O56" i="3"/>
  <c r="P56" i="3"/>
  <c r="Q56" i="3"/>
  <c r="O57" i="3"/>
  <c r="P57" i="3"/>
  <c r="Q57" i="3"/>
  <c r="O58" i="3"/>
  <c r="P58" i="3"/>
  <c r="Q58" i="3"/>
  <c r="O59" i="3"/>
  <c r="P59" i="3"/>
  <c r="Q59" i="3"/>
  <c r="O60" i="3"/>
  <c r="P60" i="3"/>
  <c r="Q60" i="3"/>
  <c r="O61" i="3"/>
  <c r="P61" i="3"/>
  <c r="Q61" i="3"/>
  <c r="O62" i="3"/>
  <c r="P62" i="3"/>
  <c r="Q62" i="3"/>
  <c r="O63" i="3"/>
  <c r="P63" i="3"/>
  <c r="Q63" i="3"/>
  <c r="O25" i="3"/>
  <c r="P25" i="3"/>
  <c r="Q25" i="3"/>
  <c r="O8" i="3"/>
  <c r="P8" i="3"/>
  <c r="Q8" i="3"/>
  <c r="O9" i="3"/>
  <c r="P9" i="3"/>
  <c r="Q9" i="3"/>
  <c r="O10" i="3"/>
  <c r="P10" i="3"/>
  <c r="Q10" i="3"/>
  <c r="O11" i="3"/>
  <c r="P11" i="3"/>
  <c r="Q11" i="3"/>
  <c r="O12" i="3"/>
  <c r="P12" i="3"/>
  <c r="Q12" i="3"/>
  <c r="O13" i="3"/>
  <c r="P13" i="3"/>
  <c r="Q13" i="3"/>
  <c r="O14" i="3"/>
  <c r="P14" i="3"/>
  <c r="Q14" i="3"/>
  <c r="O15" i="3"/>
  <c r="P15" i="3"/>
  <c r="Q15" i="3"/>
  <c r="O16" i="3"/>
  <c r="P16" i="3"/>
  <c r="Q16" i="3"/>
  <c r="O17" i="3"/>
  <c r="P17" i="3"/>
  <c r="Q17" i="3"/>
  <c r="O18" i="3"/>
  <c r="P18" i="3"/>
  <c r="Q18" i="3"/>
  <c r="O19" i="3"/>
  <c r="P19" i="3"/>
  <c r="Q19" i="3"/>
  <c r="O20" i="3"/>
  <c r="P20" i="3"/>
  <c r="Q20" i="3"/>
  <c r="O21" i="3"/>
  <c r="P21" i="3"/>
  <c r="Q21" i="3"/>
  <c r="O22" i="3"/>
  <c r="P22" i="3"/>
  <c r="Q22" i="3"/>
  <c r="O23" i="3"/>
  <c r="P23" i="3"/>
  <c r="Q23" i="3"/>
  <c r="O24" i="3"/>
  <c r="P24" i="3"/>
  <c r="Q24" i="3"/>
  <c r="O6" i="3"/>
  <c r="P6" i="3"/>
  <c r="Q6" i="3"/>
  <c r="O7" i="3"/>
  <c r="P7" i="3"/>
  <c r="Q7" i="3"/>
  <c r="O5" i="3"/>
  <c r="P5" i="3"/>
  <c r="Q5" i="3"/>
  <c r="Q4" i="3"/>
  <c r="P4" i="3"/>
  <c r="O4" i="3"/>
  <c r="O3" i="3"/>
  <c r="P3" i="3"/>
  <c r="Q3" i="3"/>
  <c r="P2" i="3"/>
  <c r="Q2" i="3"/>
  <c r="O2" i="3"/>
  <c r="W9" i="1" l="1"/>
  <c r="W8" i="1"/>
  <c r="W7" i="1"/>
  <c r="W6" i="1"/>
  <c r="W5" i="1"/>
  <c r="W4" i="1"/>
  <c r="H13" i="2"/>
  <c r="H12" i="2"/>
</calcChain>
</file>

<file path=xl/sharedStrings.xml><?xml version="1.0" encoding="utf-8"?>
<sst xmlns="http://schemas.openxmlformats.org/spreadsheetml/2006/main" count="285" uniqueCount="145">
  <si>
    <t>Full Name of Student :</t>
  </si>
  <si>
    <t>Roll No. of Student :</t>
  </si>
  <si>
    <t xml:space="preserve">garad Anjali Nitin </t>
  </si>
  <si>
    <t>Walande Gauri Dayanand</t>
  </si>
  <si>
    <t>Bhande Gayatri damodar</t>
  </si>
  <si>
    <t>Munde gayatri parameshwar</t>
  </si>
  <si>
    <t>Radha samadhan Yadav</t>
  </si>
  <si>
    <t>Deshmane mansi siddheshwar</t>
  </si>
  <si>
    <t>Gawalgadade pooja Arvind</t>
  </si>
  <si>
    <t>Jain tanisha shailesh</t>
  </si>
  <si>
    <t>Maindarge siddhi Prasad</t>
  </si>
  <si>
    <t>Bhosle Vaishnavi Dayanand</t>
  </si>
  <si>
    <t>Attar Sania Vajir</t>
  </si>
  <si>
    <t>Nalawade sneha netaji</t>
  </si>
  <si>
    <t>Aadhe pankaj ram</t>
  </si>
  <si>
    <t xml:space="preserve">Budge vishakha venkat </t>
  </si>
  <si>
    <t>Pawar pratiksha venkat</t>
  </si>
  <si>
    <t>Waghmare Rau hanmant</t>
  </si>
  <si>
    <t>Shruti Dilip Mahajan</t>
  </si>
  <si>
    <t>Gayatri prashant chandane</t>
  </si>
  <si>
    <t>Joshi sravani srikanth</t>
  </si>
  <si>
    <t xml:space="preserve">Mane anushka balasaheb </t>
  </si>
  <si>
    <t>Mahesh Balaji Gadekar</t>
  </si>
  <si>
    <t>Swanandi U Deshmukh</t>
  </si>
  <si>
    <t>Sorphale Pooja Sadashiv</t>
  </si>
  <si>
    <t>Waghmare Abhishek somnath</t>
  </si>
  <si>
    <t>Kamble rohini rupesh</t>
  </si>
  <si>
    <t>Rochkari sanskriti sudhir</t>
  </si>
  <si>
    <t>Nimbalkar apoorva bhujang</t>
  </si>
  <si>
    <t>Kshirsagar Samarth Dattatray</t>
  </si>
  <si>
    <t>Masiha Silviya Santosh</t>
  </si>
  <si>
    <t>Kawade Priya Shankar</t>
  </si>
  <si>
    <t>Patil pranita  pravin</t>
  </si>
  <si>
    <t>Rohan Dnyandeo Gauali</t>
  </si>
  <si>
    <t>Vasudha Sandipan Gaikwad</t>
  </si>
  <si>
    <t>Sanket  Narendra Gore</t>
  </si>
  <si>
    <t>Hingane Sakshi salish</t>
  </si>
  <si>
    <t>Jadhav Shreyas Yadavrao</t>
  </si>
  <si>
    <t>Wakale Komal Santos</t>
  </si>
  <si>
    <t>Kale Pranita Namdev</t>
  </si>
  <si>
    <t>Kharke Mahesh Hanumant</t>
  </si>
  <si>
    <t>Parve Shriram Sudhir</t>
  </si>
  <si>
    <t>Kolnure Suraj Rajendra</t>
  </si>
  <si>
    <t>Kandle Aditya Vilas</t>
  </si>
  <si>
    <t>Barate Varsharani Dadasaheb</t>
  </si>
  <si>
    <t>Barate Aaditi Dadasaheb</t>
  </si>
  <si>
    <t>Thorave Sanika Ambadas</t>
  </si>
  <si>
    <t>Aakanksha kamles Kulkarni</t>
  </si>
  <si>
    <t>Gaikwad Gayatri suresh</t>
  </si>
  <si>
    <t>Sakshi Shamsundar Sarolkar</t>
  </si>
  <si>
    <t>Jagtap Sanket Narayan</t>
  </si>
  <si>
    <t>Dhappadhule Vaishnavi Sachin</t>
  </si>
  <si>
    <t>Waghmare Amar baban</t>
  </si>
  <si>
    <t>Mule Sneha Sanjivan</t>
  </si>
  <si>
    <t>Dhepe Vaishnavi Revannath</t>
  </si>
  <si>
    <t>Bhagade Gunmanjiri Purushottam</t>
  </si>
  <si>
    <t>Lagdive Shivam Nitin</t>
  </si>
  <si>
    <t>Zunjure Sarthak Balaji</t>
  </si>
  <si>
    <t>kamble Pranav Udhav</t>
  </si>
  <si>
    <t>Rathod Ujjwala Vinod</t>
  </si>
  <si>
    <t>Chavan Pooja Balasaheb</t>
  </si>
  <si>
    <t>Nahane Vivek Kakasaheb</t>
  </si>
  <si>
    <t>Somawanshi Madhav Shrirang</t>
  </si>
  <si>
    <t>Swami Kedar Rachayya</t>
  </si>
  <si>
    <t>Kale Aditya Suresh</t>
  </si>
  <si>
    <t>Jadhav Sanjyot Shyam</t>
  </si>
  <si>
    <t>Kalnod Shubham Ganpat</t>
  </si>
  <si>
    <t>Vishwajeet Umesh phulari</t>
  </si>
  <si>
    <t>tanisha shailesh Jain</t>
  </si>
  <si>
    <t>Column1</t>
  </si>
  <si>
    <t>UT2</t>
  </si>
  <si>
    <t>a</t>
  </si>
  <si>
    <t>b</t>
  </si>
  <si>
    <t>c</t>
  </si>
  <si>
    <t>d</t>
  </si>
  <si>
    <t>e</t>
  </si>
  <si>
    <t>5</t>
  </si>
  <si>
    <t>3</t>
  </si>
  <si>
    <t>52</t>
  </si>
  <si>
    <t>4</t>
  </si>
  <si>
    <t>32</t>
  </si>
  <si>
    <t>42</t>
  </si>
  <si>
    <t>43</t>
  </si>
  <si>
    <t>53</t>
  </si>
  <si>
    <t>33</t>
  </si>
  <si>
    <t>44</t>
  </si>
  <si>
    <t xml:space="preserve">Garad Anjali Nitin </t>
  </si>
  <si>
    <t xml:space="preserve">Walande Gauri Dayanand </t>
  </si>
  <si>
    <t xml:space="preserve">Sarthak Zunjure </t>
  </si>
  <si>
    <t xml:space="preserve">Bhande Gayatri Damodar </t>
  </si>
  <si>
    <t xml:space="preserve">Mundhe Gayatri Parmeshwar </t>
  </si>
  <si>
    <t xml:space="preserve">Radha Samadhan Yadav </t>
  </si>
  <si>
    <t xml:space="preserve">Deshmane Mansi Siddheshwar </t>
  </si>
  <si>
    <t xml:space="preserve">Gawalgadade pooja arvind </t>
  </si>
  <si>
    <t xml:space="preserve">Jain Tanisha Shailesh </t>
  </si>
  <si>
    <t xml:space="preserve">Maindarge Siddhi Prasad </t>
  </si>
  <si>
    <t xml:space="preserve">Bhosale vaishnavi dayanand </t>
  </si>
  <si>
    <t xml:space="preserve">Attar Saniya Vajir </t>
  </si>
  <si>
    <t>Nalwade Sneha Netaji</t>
  </si>
  <si>
    <t>Pankaj ram aadhe</t>
  </si>
  <si>
    <t>Budge vishakha venkat</t>
  </si>
  <si>
    <t xml:space="preserve">Pawar Pratiksha Vitthal </t>
  </si>
  <si>
    <t xml:space="preserve">Waghmare Rau Hanmant </t>
  </si>
  <si>
    <t>Gayatri Prashant Chandane</t>
  </si>
  <si>
    <t xml:space="preserve">Joshi shravani shrikant </t>
  </si>
  <si>
    <t xml:space="preserve">Mane Anushka Balasaheb </t>
  </si>
  <si>
    <t xml:space="preserve">Mahesh Balaji Gadekar </t>
  </si>
  <si>
    <t xml:space="preserve">Swanandi Deshmukh </t>
  </si>
  <si>
    <t xml:space="preserve">Lagdive Shivam Nitin </t>
  </si>
  <si>
    <t xml:space="preserve">Pooja Sadashiv Sarphale </t>
  </si>
  <si>
    <t xml:space="preserve">Abhishek Somnath Waghmare </t>
  </si>
  <si>
    <t xml:space="preserve">Kamble Rohini Rupesh </t>
  </si>
  <si>
    <t xml:space="preserve">Sanskruti Sudhir Rochkari </t>
  </si>
  <si>
    <t>Nimbalkar Apurva Bhujang</t>
  </si>
  <si>
    <t xml:space="preserve">Kshirsagar samarth Dattatray </t>
  </si>
  <si>
    <t>Masiha Silveya Santosh</t>
  </si>
  <si>
    <t xml:space="preserve">Patil Pranita Pravin </t>
  </si>
  <si>
    <t>Rohan dnyandeo gavali</t>
  </si>
  <si>
    <t>Vasudha sandipan Gaikwad</t>
  </si>
  <si>
    <t xml:space="preserve">Sanket Narendra Gore </t>
  </si>
  <si>
    <t xml:space="preserve">Hingane sakshi Satish </t>
  </si>
  <si>
    <t xml:space="preserve">Shreyas Yadavrao jadhav </t>
  </si>
  <si>
    <t xml:space="preserve">Komal Santosh Wakale </t>
  </si>
  <si>
    <t xml:space="preserve">Kale Pranita Namdev </t>
  </si>
  <si>
    <t>Mahesh Hanumant Kharke</t>
  </si>
  <si>
    <t>Shriram Parve</t>
  </si>
  <si>
    <t>Suraj Rajendra Kolnure</t>
  </si>
  <si>
    <t xml:space="preserve">Barate Varsharani Dadasaheb </t>
  </si>
  <si>
    <t xml:space="preserve">Barate Aaditi Dadasaheb </t>
  </si>
  <si>
    <t xml:space="preserve">Thorave Sanika Ambadas </t>
  </si>
  <si>
    <t xml:space="preserve">Aakanksha kamlesh Kulkarni </t>
  </si>
  <si>
    <t xml:space="preserve">Gaikwad Gayatri Suresh </t>
  </si>
  <si>
    <t xml:space="preserve">Sakshi Shamsundar sarolkar </t>
  </si>
  <si>
    <t>Sanket Narayan Jagtap</t>
  </si>
  <si>
    <t>Dhappadhule vaishnavi sachin</t>
  </si>
  <si>
    <t>Waghmare amar baban</t>
  </si>
  <si>
    <t xml:space="preserve">Dhepe Vaishnavi Revannath </t>
  </si>
  <si>
    <t>Gunmanjiri Purushottam Bagade</t>
  </si>
  <si>
    <t>Sneha Mule</t>
  </si>
  <si>
    <t>Bansode Vinayak Babruwan</t>
  </si>
  <si>
    <t>ISHWARI ASHOK HAWALE</t>
  </si>
  <si>
    <t xml:space="preserve">Jadhav sanjyot shyam </t>
  </si>
  <si>
    <t>Shubham ganpat kanlod</t>
  </si>
  <si>
    <t>VHOTTE SHRUTIKA VAIJNATH</t>
  </si>
  <si>
    <t>BANSODE VINAYAK BABRUWAN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</si>
</sst>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4"/>
      <color rgb="FF000000"/>
      <name val="Arial"/>
      <family val="2"/>
      <scheme val="minor"/>
    </font>
    <font>
      <sz val="12"/>
      <color theme="1"/>
      <name val="Calibri"/>
      <family val="2"/>
    </font>
    <font>
      <sz val="22"/>
      <color rgb="FF000000"/>
      <name val="Arial"/>
      <family val="2"/>
      <scheme val="minor"/>
    </font>
    <font>
      <sz val="8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1" fillId="5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6" borderId="6" xfId="0" applyFill="1" applyBorder="1" applyAlignment="1">
      <alignment horizontal="center" vertical="center" wrapText="1"/>
    </xf>
  </cellXfs>
  <cellStyles count="1">
    <cellStyle name="Normal" xfId="0" builtinId="0"/>
  </cellStyles>
  <dxfs count="33">
    <dxf>
      <font>
        <strike val="0"/>
        <outline val="0"/>
        <shadow val="0"/>
        <u val="none"/>
        <vertAlign val="baseline"/>
        <sz val="14"/>
        <name val="Arial"/>
        <family val="2"/>
      </font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Arial"/>
        <family val="2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Arial"/>
        <family val="2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Arial"/>
        <family val="2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Arial"/>
        <family val="2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name val="Arial"/>
        <family val="2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Arial"/>
        <family val="2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Arial"/>
        <family val="2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Arial"/>
        <family val="2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Arial"/>
        <family val="2"/>
      </font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1"/>
        <family val="2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1"/>
        <family val="2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name val="Arial"/>
        <family val="2"/>
      </font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Arial"/>
        <family val="2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Arial"/>
        <family val="2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Arial"/>
        <family val="2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Arial"/>
        <family val="2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Arial"/>
        <family val="2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Arial"/>
        <family val="2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Arial"/>
        <family val="2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Arial"/>
        <family val="2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29"/>
      <tableStyleElement type="headerRow" dxfId="32"/>
      <tableStyleElement type="firstRowStripe" dxfId="31"/>
      <tableStyleElement type="secondRowStripe" dxfId="3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L67" headerRowDxfId="27" headerRowBorderDxfId="28">
  <tableColumns count="12">
    <tableColumn id="5" xr3:uid="{00000000-0010-0000-0000-000005000000}" name="Roll No. of Student :" dataDxfId="17"/>
    <tableColumn id="3" xr3:uid="{00000000-0010-0000-0000-000003000000}" name="Full Name of Student :" dataDxfId="16"/>
    <tableColumn id="6" xr3:uid="{00000000-0010-0000-0000-000006000000}" name="5" dataDxfId="18"/>
    <tableColumn id="7" xr3:uid="{00000000-0010-0000-0000-000007000000}" name="3" dataDxfId="26"/>
    <tableColumn id="8" xr3:uid="{00000000-0010-0000-0000-000008000000}" name="52" dataDxfId="25"/>
    <tableColumn id="9" xr3:uid="{00000000-0010-0000-0000-000009000000}" name="4" dataDxfId="24"/>
    <tableColumn id="10" xr3:uid="{00000000-0010-0000-0000-00000A000000}" name="32" dataDxfId="23"/>
    <tableColumn id="15" xr3:uid="{00000000-0010-0000-0000-00000F000000}" name="42" dataDxfId="15"/>
    <tableColumn id="11" xr3:uid="{00000000-0010-0000-0000-00000B000000}" name="43" dataDxfId="22"/>
    <tableColumn id="12" xr3:uid="{00000000-0010-0000-0000-00000C000000}" name="53" dataDxfId="21"/>
    <tableColumn id="13" xr3:uid="{00000000-0010-0000-0000-00000D000000}" name="33" dataDxfId="20"/>
    <tableColumn id="14" xr3:uid="{00000000-0010-0000-0000-00000E000000}" name="44" dataDxfId="19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98088C-59FD-4B1B-AB7F-23C40717232F}" name="Form_Responses3" displayName="Form_Responses3" ref="A1:M63" headerRowDxfId="14" headerRowBorderDxfId="13">
  <tableColumns count="13">
    <tableColumn id="5" xr3:uid="{1ABE1E21-8D90-4E0B-A5BD-D9648937308B}" name="Roll No. of Student :" dataDxfId="12"/>
    <tableColumn id="3" xr3:uid="{00C4B96A-7BB3-4877-B7DA-7B9F0C67ABFA}" name="Full Name of Student :" dataDxfId="11"/>
    <tableColumn id="6" xr3:uid="{BCE3DEA1-2E8D-481E-88B5-7DD03A9E2229}" name="5" dataDxfId="10"/>
    <tableColumn id="7" xr3:uid="{1B1EB3A3-C96C-44B6-96DE-48AF9595A04B}" name="3" dataDxfId="9"/>
    <tableColumn id="8" xr3:uid="{BF83B46D-069E-419C-B5CD-EBEFDB215825}" name="52" dataDxfId="8"/>
    <tableColumn id="9" xr3:uid="{98FBC5EC-9B72-4AAC-ACF0-BB8AD9DB2352}" name="4" dataDxfId="7"/>
    <tableColumn id="10" xr3:uid="{9B527F96-AD24-458C-90A2-468DF8C3056E}" name="32" dataDxfId="6"/>
    <tableColumn id="15" xr3:uid="{206331B6-B410-433A-9729-516A84539697}" name="42" dataDxfId="5"/>
    <tableColumn id="11" xr3:uid="{3D266043-2B19-44AF-BA77-8B57D32769B7}" name="43" dataDxfId="4"/>
    <tableColumn id="12" xr3:uid="{8AA8DE35-F53A-4312-AAA4-CA517C2FEBA7}" name="53" dataDxfId="3"/>
    <tableColumn id="13" xr3:uid="{FF96336C-C7D4-4671-A3DC-B77C43952F35}" name="33" dataDxfId="2"/>
    <tableColumn id="14" xr3:uid="{FA9EC410-3969-48AD-81B2-F876A8070BDE}" name="44" dataDxfId="1"/>
    <tableColumn id="1" xr3:uid="{AB4E2EDD-FEAC-4CAE-98F6-EA1C0B501122}" name="Column1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W67"/>
  <sheetViews>
    <sheetView zoomScale="80" zoomScaleNormal="80" workbookViewId="0">
      <pane ySplit="1" topLeftCell="A2" activePane="bottomLeft" state="frozen"/>
      <selection pane="bottomLeft" activeCell="C1" sqref="C1"/>
    </sheetView>
  </sheetViews>
  <sheetFormatPr defaultColWidth="12.5703125" defaultRowHeight="15.75" customHeight="1" x14ac:dyDescent="0.2"/>
  <cols>
    <col min="1" max="1" width="15.42578125" customWidth="1"/>
    <col min="2" max="2" width="33" style="13" customWidth="1"/>
    <col min="4" max="12" width="10.85546875" style="11" customWidth="1"/>
    <col min="14" max="14" width="10.85546875" style="11" customWidth="1"/>
    <col min="15" max="17" width="18.85546875" customWidth="1"/>
    <col min="18" max="24" width="5.28515625" customWidth="1"/>
  </cols>
  <sheetData>
    <row r="1" spans="1:23" ht="96" customHeight="1" x14ac:dyDescent="0.2">
      <c r="A1" s="3" t="s">
        <v>1</v>
      </c>
      <c r="B1" s="2" t="s">
        <v>0</v>
      </c>
      <c r="C1" s="9" t="s">
        <v>76</v>
      </c>
      <c r="D1" s="9" t="s">
        <v>77</v>
      </c>
      <c r="E1" s="17" t="s">
        <v>78</v>
      </c>
      <c r="F1" s="6" t="s">
        <v>79</v>
      </c>
      <c r="G1" s="6" t="s">
        <v>80</v>
      </c>
      <c r="H1" s="6" t="s">
        <v>81</v>
      </c>
      <c r="I1" s="6" t="s">
        <v>82</v>
      </c>
      <c r="J1" s="6" t="s">
        <v>83</v>
      </c>
      <c r="K1" s="6" t="s">
        <v>84</v>
      </c>
      <c r="L1" s="9" t="s">
        <v>85</v>
      </c>
      <c r="N1"/>
    </row>
    <row r="2" spans="1:23" ht="22.5" customHeight="1" x14ac:dyDescent="0.2">
      <c r="A2" s="12">
        <v>1</v>
      </c>
      <c r="B2" s="4" t="s">
        <v>2</v>
      </c>
      <c r="C2" s="10">
        <v>-1</v>
      </c>
      <c r="D2" s="10">
        <v>2</v>
      </c>
      <c r="E2" s="10">
        <v>-1</v>
      </c>
      <c r="F2" s="10">
        <v>-1</v>
      </c>
      <c r="G2" s="10">
        <v>1</v>
      </c>
      <c r="H2" s="10">
        <v>1</v>
      </c>
      <c r="I2" s="10">
        <v>-1</v>
      </c>
      <c r="J2" s="10">
        <v>3</v>
      </c>
      <c r="K2" s="10">
        <v>3</v>
      </c>
      <c r="L2" s="10">
        <v>-1</v>
      </c>
      <c r="N2"/>
    </row>
    <row r="3" spans="1:23" ht="22.5" customHeight="1" x14ac:dyDescent="0.2">
      <c r="A3" s="12">
        <v>2</v>
      </c>
      <c r="B3" s="4" t="s">
        <v>3</v>
      </c>
      <c r="C3" s="10">
        <v>2</v>
      </c>
      <c r="D3" s="10">
        <v>2</v>
      </c>
      <c r="E3" s="10">
        <v>2</v>
      </c>
      <c r="F3" s="10">
        <v>2</v>
      </c>
      <c r="G3" s="10">
        <v>0</v>
      </c>
      <c r="H3" s="10">
        <v>1</v>
      </c>
      <c r="I3" s="10">
        <v>3</v>
      </c>
      <c r="J3" s="10">
        <v>4</v>
      </c>
      <c r="K3" s="10">
        <v>4</v>
      </c>
      <c r="L3" s="10">
        <v>3</v>
      </c>
      <c r="N3"/>
      <c r="Q3" s="14" t="s">
        <v>70</v>
      </c>
      <c r="R3" s="15"/>
      <c r="S3" s="15"/>
      <c r="T3" s="15"/>
      <c r="U3" s="15"/>
      <c r="V3" s="15"/>
      <c r="W3" s="15"/>
    </row>
    <row r="4" spans="1:23" ht="22.5" customHeight="1" x14ac:dyDescent="0.2">
      <c r="A4" s="12">
        <v>3</v>
      </c>
      <c r="B4" s="4" t="s">
        <v>4</v>
      </c>
      <c r="C4" s="10">
        <v>2</v>
      </c>
      <c r="D4" s="10">
        <v>2</v>
      </c>
      <c r="E4" s="10">
        <v>2</v>
      </c>
      <c r="F4" s="10">
        <v>2</v>
      </c>
      <c r="G4" s="10">
        <v>2</v>
      </c>
      <c r="H4" s="10">
        <v>2</v>
      </c>
      <c r="I4" s="10">
        <v>4</v>
      </c>
      <c r="J4" s="10">
        <v>2</v>
      </c>
      <c r="K4" s="10">
        <v>4</v>
      </c>
      <c r="L4" s="10">
        <v>4</v>
      </c>
      <c r="N4"/>
      <c r="Q4" s="5">
        <v>1</v>
      </c>
      <c r="R4" s="5" t="s">
        <v>71</v>
      </c>
      <c r="S4" s="5"/>
      <c r="T4" s="5"/>
      <c r="U4" s="5"/>
      <c r="V4" s="16"/>
      <c r="W4" s="8">
        <f>SUM(S4:V4)</f>
        <v>0</v>
      </c>
    </row>
    <row r="5" spans="1:23" ht="22.5" customHeight="1" x14ac:dyDescent="0.2">
      <c r="A5" s="12">
        <v>4</v>
      </c>
      <c r="B5" s="4" t="s">
        <v>5</v>
      </c>
      <c r="C5" s="10">
        <v>2</v>
      </c>
      <c r="D5" s="10">
        <v>2</v>
      </c>
      <c r="E5" s="10">
        <v>2</v>
      </c>
      <c r="F5" s="10">
        <v>2</v>
      </c>
      <c r="G5" s="10">
        <v>-1</v>
      </c>
      <c r="H5" s="10">
        <v>2</v>
      </c>
      <c r="I5" s="10">
        <v>3</v>
      </c>
      <c r="J5" s="10">
        <v>4</v>
      </c>
      <c r="K5" s="10">
        <v>3</v>
      </c>
      <c r="L5" s="10">
        <v>4</v>
      </c>
      <c r="N5"/>
      <c r="Q5" s="5">
        <v>2</v>
      </c>
      <c r="R5" s="5" t="s">
        <v>72</v>
      </c>
      <c r="S5" s="5"/>
      <c r="T5" s="5"/>
      <c r="U5" s="5"/>
      <c r="V5" s="16"/>
      <c r="W5" s="8">
        <f t="shared" ref="W5:W8" si="0">SUM(S5:V5)</f>
        <v>0</v>
      </c>
    </row>
    <row r="6" spans="1:23" ht="22.5" customHeight="1" x14ac:dyDescent="0.2">
      <c r="A6" s="12">
        <v>5</v>
      </c>
      <c r="B6" s="4" t="s">
        <v>6</v>
      </c>
      <c r="C6" s="10">
        <v>2</v>
      </c>
      <c r="D6" s="10">
        <v>1</v>
      </c>
      <c r="E6" s="10">
        <v>2</v>
      </c>
      <c r="F6" s="10">
        <v>2</v>
      </c>
      <c r="G6" s="10">
        <v>1</v>
      </c>
      <c r="H6" s="10">
        <v>2</v>
      </c>
      <c r="I6" s="10">
        <v>2</v>
      </c>
      <c r="J6" s="10">
        <v>2</v>
      </c>
      <c r="K6" s="10">
        <v>3</v>
      </c>
      <c r="L6" s="10">
        <v>0</v>
      </c>
      <c r="N6"/>
      <c r="Q6" s="5">
        <v>3</v>
      </c>
      <c r="R6" s="5" t="s">
        <v>73</v>
      </c>
      <c r="S6" s="5">
        <v>2</v>
      </c>
      <c r="T6" s="5">
        <v>2</v>
      </c>
      <c r="U6" s="5">
        <v>4</v>
      </c>
      <c r="V6" s="16"/>
      <c r="W6" s="8">
        <f t="shared" si="0"/>
        <v>8</v>
      </c>
    </row>
    <row r="7" spans="1:23" ht="22.5" customHeight="1" x14ac:dyDescent="0.2">
      <c r="A7" s="12">
        <v>6</v>
      </c>
      <c r="B7" s="4" t="s">
        <v>7</v>
      </c>
      <c r="C7" s="10">
        <v>2</v>
      </c>
      <c r="D7" s="10">
        <v>2</v>
      </c>
      <c r="E7" s="10">
        <v>2</v>
      </c>
      <c r="F7" s="10">
        <v>2</v>
      </c>
      <c r="G7" s="10">
        <v>-1</v>
      </c>
      <c r="H7" s="10">
        <v>2</v>
      </c>
      <c r="I7" s="10">
        <v>0</v>
      </c>
      <c r="J7" s="10">
        <v>4</v>
      </c>
      <c r="K7" s="10">
        <v>3</v>
      </c>
      <c r="L7" s="10">
        <v>3</v>
      </c>
      <c r="N7"/>
      <c r="Q7" s="5">
        <v>4</v>
      </c>
      <c r="R7" s="5" t="s">
        <v>74</v>
      </c>
      <c r="S7" s="5">
        <v>2</v>
      </c>
      <c r="T7" s="5">
        <v>2</v>
      </c>
      <c r="U7" s="5">
        <v>4</v>
      </c>
      <c r="V7" s="16">
        <v>4</v>
      </c>
      <c r="W7" s="8">
        <f t="shared" si="0"/>
        <v>12</v>
      </c>
    </row>
    <row r="8" spans="1:23" ht="22.5" customHeight="1" x14ac:dyDescent="0.2">
      <c r="A8" s="12">
        <v>7</v>
      </c>
      <c r="B8" s="4" t="s">
        <v>8</v>
      </c>
      <c r="C8" s="10">
        <v>0</v>
      </c>
      <c r="D8" s="10">
        <v>2</v>
      </c>
      <c r="E8" s="10">
        <v>2</v>
      </c>
      <c r="F8" s="10">
        <v>-1</v>
      </c>
      <c r="G8" s="10">
        <v>2</v>
      </c>
      <c r="H8" s="10">
        <v>1</v>
      </c>
      <c r="I8" s="10">
        <v>3</v>
      </c>
      <c r="J8" s="10">
        <v>2</v>
      </c>
      <c r="K8" s="10">
        <v>2</v>
      </c>
      <c r="L8" s="10">
        <v>2</v>
      </c>
      <c r="N8"/>
      <c r="Q8" s="5">
        <v>5</v>
      </c>
      <c r="R8" s="5" t="s">
        <v>75</v>
      </c>
      <c r="S8" s="5">
        <v>2</v>
      </c>
      <c r="T8" s="5">
        <v>2</v>
      </c>
      <c r="U8" s="5">
        <v>4</v>
      </c>
      <c r="V8" s="16"/>
      <c r="W8" s="8">
        <f t="shared" si="0"/>
        <v>8</v>
      </c>
    </row>
    <row r="9" spans="1:23" ht="22.5" customHeight="1" x14ac:dyDescent="0.2">
      <c r="A9" s="12">
        <v>8</v>
      </c>
      <c r="B9" s="4" t="s">
        <v>9</v>
      </c>
      <c r="C9" s="10">
        <v>1</v>
      </c>
      <c r="D9" s="10">
        <v>2</v>
      </c>
      <c r="E9" s="10">
        <v>0</v>
      </c>
      <c r="F9" s="10">
        <v>2</v>
      </c>
      <c r="G9" s="10">
        <v>0</v>
      </c>
      <c r="H9" s="10">
        <v>2</v>
      </c>
      <c r="I9" s="10">
        <v>3</v>
      </c>
      <c r="J9" s="10">
        <v>-1</v>
      </c>
      <c r="K9" s="10">
        <v>2</v>
      </c>
      <c r="L9" s="10">
        <v>3</v>
      </c>
      <c r="N9"/>
      <c r="W9" s="8">
        <f>SUM(W4:W8)</f>
        <v>28</v>
      </c>
    </row>
    <row r="10" spans="1:23" ht="22.5" customHeight="1" x14ac:dyDescent="0.2">
      <c r="A10" s="12">
        <v>9</v>
      </c>
      <c r="B10" s="4" t="s">
        <v>10</v>
      </c>
      <c r="C10" s="10">
        <v>2</v>
      </c>
      <c r="D10" s="10">
        <v>2</v>
      </c>
      <c r="E10" s="10">
        <v>-1</v>
      </c>
      <c r="F10" s="10">
        <v>2</v>
      </c>
      <c r="G10" s="10">
        <v>1</v>
      </c>
      <c r="H10" s="10">
        <v>2</v>
      </c>
      <c r="I10" s="10">
        <v>3</v>
      </c>
      <c r="J10" s="10">
        <v>4</v>
      </c>
      <c r="K10" s="10">
        <v>3</v>
      </c>
      <c r="L10" s="10">
        <v>0</v>
      </c>
      <c r="N10"/>
    </row>
    <row r="11" spans="1:23" ht="22.5" customHeight="1" x14ac:dyDescent="0.2">
      <c r="A11" s="12">
        <v>10</v>
      </c>
      <c r="B11" s="4" t="s">
        <v>11</v>
      </c>
      <c r="C11" s="10">
        <v>2</v>
      </c>
      <c r="D11" s="10">
        <v>2</v>
      </c>
      <c r="E11" s="10">
        <v>2</v>
      </c>
      <c r="F11" s="10">
        <v>2</v>
      </c>
      <c r="G11" s="10">
        <v>-1</v>
      </c>
      <c r="H11" s="10">
        <v>2</v>
      </c>
      <c r="I11" s="10">
        <v>4</v>
      </c>
      <c r="J11" s="10">
        <v>-1</v>
      </c>
      <c r="K11" s="10">
        <v>4</v>
      </c>
      <c r="L11" s="10">
        <v>4</v>
      </c>
      <c r="N11"/>
    </row>
    <row r="12" spans="1:23" ht="22.5" customHeight="1" x14ac:dyDescent="0.2">
      <c r="A12" s="12">
        <v>11</v>
      </c>
      <c r="B12" s="4" t="s">
        <v>12</v>
      </c>
      <c r="C12" s="10">
        <v>2</v>
      </c>
      <c r="D12" s="10">
        <v>-1</v>
      </c>
      <c r="E12" s="10">
        <v>2</v>
      </c>
      <c r="F12" s="10">
        <v>2</v>
      </c>
      <c r="G12" s="10">
        <v>-1</v>
      </c>
      <c r="H12" s="10">
        <v>2</v>
      </c>
      <c r="I12" s="10">
        <v>4</v>
      </c>
      <c r="J12" s="10">
        <v>0</v>
      </c>
      <c r="K12" s="10">
        <v>-1</v>
      </c>
      <c r="L12" s="10">
        <v>3</v>
      </c>
      <c r="N12"/>
    </row>
    <row r="13" spans="1:23" ht="22.5" customHeight="1" x14ac:dyDescent="0.2">
      <c r="A13" s="12">
        <v>12</v>
      </c>
      <c r="B13" s="4" t="s">
        <v>13</v>
      </c>
      <c r="C13" s="10">
        <v>2</v>
      </c>
      <c r="D13" s="10">
        <v>2</v>
      </c>
      <c r="E13" s="10">
        <v>2</v>
      </c>
      <c r="F13" s="10">
        <v>2</v>
      </c>
      <c r="G13" s="10">
        <v>-1</v>
      </c>
      <c r="H13" s="10">
        <v>2</v>
      </c>
      <c r="I13" s="10">
        <v>3</v>
      </c>
      <c r="J13" s="10">
        <v>4</v>
      </c>
      <c r="K13" s="10">
        <v>4</v>
      </c>
      <c r="L13" s="10">
        <v>4</v>
      </c>
      <c r="N13"/>
    </row>
    <row r="14" spans="1:23" ht="22.5" customHeight="1" x14ac:dyDescent="0.2">
      <c r="A14" s="12">
        <v>13</v>
      </c>
      <c r="B14" s="4" t="s">
        <v>14</v>
      </c>
      <c r="C14" s="10">
        <v>1</v>
      </c>
      <c r="D14" s="10">
        <v>2</v>
      </c>
      <c r="E14" s="10">
        <v>2</v>
      </c>
      <c r="F14" s="10">
        <v>2</v>
      </c>
      <c r="G14" s="10">
        <v>0</v>
      </c>
      <c r="H14" s="10">
        <v>2</v>
      </c>
      <c r="I14" s="10">
        <v>-1</v>
      </c>
      <c r="J14" s="10">
        <v>4</v>
      </c>
      <c r="K14" s="10">
        <v>4</v>
      </c>
      <c r="L14" s="10">
        <v>3</v>
      </c>
      <c r="N14"/>
    </row>
    <row r="15" spans="1:23" ht="22.5" customHeight="1" x14ac:dyDescent="0.2">
      <c r="A15" s="12">
        <v>14</v>
      </c>
      <c r="B15" s="4" t="s">
        <v>15</v>
      </c>
      <c r="C15" s="10">
        <v>2</v>
      </c>
      <c r="D15" s="10">
        <v>2</v>
      </c>
      <c r="E15" s="10">
        <v>2</v>
      </c>
      <c r="F15" s="10">
        <v>2</v>
      </c>
      <c r="G15" s="10">
        <v>2</v>
      </c>
      <c r="H15" s="10">
        <v>2</v>
      </c>
      <c r="I15" s="10">
        <v>3</v>
      </c>
      <c r="J15" s="10">
        <v>4</v>
      </c>
      <c r="K15" s="10">
        <v>4</v>
      </c>
      <c r="L15" s="10">
        <v>4</v>
      </c>
      <c r="N15"/>
    </row>
    <row r="16" spans="1:23" ht="22.5" customHeight="1" x14ac:dyDescent="0.2">
      <c r="A16" s="12">
        <v>15</v>
      </c>
      <c r="B16" s="4" t="s">
        <v>16</v>
      </c>
      <c r="C16" s="10">
        <v>2</v>
      </c>
      <c r="D16" s="10">
        <v>-1</v>
      </c>
      <c r="E16" s="10">
        <v>2</v>
      </c>
      <c r="F16" s="10">
        <v>2</v>
      </c>
      <c r="G16" s="10">
        <v>1</v>
      </c>
      <c r="H16" s="10">
        <v>2</v>
      </c>
      <c r="I16" s="10">
        <v>2</v>
      </c>
      <c r="J16" s="10">
        <v>0</v>
      </c>
      <c r="K16" s="10">
        <v>-1</v>
      </c>
      <c r="L16" s="10">
        <v>2</v>
      </c>
      <c r="N16"/>
    </row>
    <row r="17" spans="1:14" ht="22.5" customHeight="1" x14ac:dyDescent="0.2">
      <c r="A17" s="12">
        <v>16</v>
      </c>
      <c r="B17" s="4" t="s">
        <v>17</v>
      </c>
      <c r="C17" s="10">
        <v>2</v>
      </c>
      <c r="D17" s="10">
        <v>2</v>
      </c>
      <c r="E17" s="10">
        <v>2</v>
      </c>
      <c r="F17" s="10">
        <v>1</v>
      </c>
      <c r="G17" s="10">
        <v>0</v>
      </c>
      <c r="H17" s="10">
        <v>2</v>
      </c>
      <c r="I17" s="10">
        <v>1</v>
      </c>
      <c r="J17" s="10">
        <v>4</v>
      </c>
      <c r="K17" s="10">
        <v>2</v>
      </c>
      <c r="L17" s="10">
        <v>1</v>
      </c>
      <c r="N17"/>
    </row>
    <row r="18" spans="1:14" ht="22.5" customHeight="1" x14ac:dyDescent="0.2">
      <c r="A18" s="12">
        <v>17</v>
      </c>
      <c r="B18" s="4" t="s">
        <v>18</v>
      </c>
      <c r="C18" s="10">
        <v>2</v>
      </c>
      <c r="D18" s="10">
        <v>2</v>
      </c>
      <c r="E18" s="10">
        <v>-1</v>
      </c>
      <c r="F18" s="10">
        <v>2</v>
      </c>
      <c r="G18" s="10">
        <v>2</v>
      </c>
      <c r="H18" s="10">
        <v>0</v>
      </c>
      <c r="I18" s="10">
        <v>3</v>
      </c>
      <c r="J18" s="10">
        <v>4</v>
      </c>
      <c r="K18" s="10">
        <v>4</v>
      </c>
      <c r="L18" s="10">
        <v>4</v>
      </c>
      <c r="N18"/>
    </row>
    <row r="19" spans="1:14" ht="22.5" customHeight="1" x14ac:dyDescent="0.2">
      <c r="A19" s="12">
        <v>18</v>
      </c>
      <c r="B19" s="4" t="s">
        <v>19</v>
      </c>
      <c r="C19" s="10">
        <v>2</v>
      </c>
      <c r="D19" s="10">
        <v>2</v>
      </c>
      <c r="E19" s="10">
        <v>2</v>
      </c>
      <c r="F19" s="10">
        <v>2</v>
      </c>
      <c r="G19" s="10">
        <v>2</v>
      </c>
      <c r="H19" s="10">
        <v>0</v>
      </c>
      <c r="I19" s="10">
        <v>-1</v>
      </c>
      <c r="J19" s="10">
        <v>4</v>
      </c>
      <c r="K19" s="10">
        <v>1</v>
      </c>
      <c r="L19" s="10">
        <v>2</v>
      </c>
      <c r="N19"/>
    </row>
    <row r="20" spans="1:14" ht="22.5" customHeight="1" x14ac:dyDescent="0.2">
      <c r="A20" s="12">
        <v>19</v>
      </c>
      <c r="B20" s="4" t="s">
        <v>20</v>
      </c>
      <c r="C20" s="10">
        <v>2</v>
      </c>
      <c r="D20" s="10">
        <v>2</v>
      </c>
      <c r="E20" s="10">
        <v>2</v>
      </c>
      <c r="F20" s="10">
        <v>2</v>
      </c>
      <c r="G20" s="10">
        <v>2</v>
      </c>
      <c r="H20" s="10">
        <v>2</v>
      </c>
      <c r="I20" s="10">
        <v>3</v>
      </c>
      <c r="J20" s="10">
        <v>4</v>
      </c>
      <c r="K20" s="10">
        <v>4</v>
      </c>
      <c r="L20" s="10">
        <v>4</v>
      </c>
      <c r="N20"/>
    </row>
    <row r="21" spans="1:14" ht="22.5" customHeight="1" x14ac:dyDescent="0.2">
      <c r="A21" s="12">
        <v>20</v>
      </c>
      <c r="B21" s="4" t="s">
        <v>21</v>
      </c>
      <c r="C21" s="10">
        <v>2</v>
      </c>
      <c r="D21" s="10">
        <v>2</v>
      </c>
      <c r="E21" s="10">
        <v>2</v>
      </c>
      <c r="F21" s="10">
        <v>2</v>
      </c>
      <c r="G21" s="10">
        <v>0</v>
      </c>
      <c r="H21" s="10">
        <v>2</v>
      </c>
      <c r="I21" s="10">
        <v>4</v>
      </c>
      <c r="J21" s="10">
        <v>3</v>
      </c>
      <c r="K21" s="10">
        <v>4</v>
      </c>
      <c r="L21" s="10">
        <v>4</v>
      </c>
      <c r="N21"/>
    </row>
    <row r="22" spans="1:14" ht="22.5" customHeight="1" x14ac:dyDescent="0.2">
      <c r="A22" s="12">
        <v>21</v>
      </c>
      <c r="B22" s="4" t="s">
        <v>22</v>
      </c>
      <c r="C22" s="10">
        <v>2</v>
      </c>
      <c r="D22" s="10">
        <v>2</v>
      </c>
      <c r="E22" s="10">
        <v>2</v>
      </c>
      <c r="F22" s="10">
        <v>2</v>
      </c>
      <c r="G22" s="10">
        <v>1</v>
      </c>
      <c r="H22" s="10">
        <v>2</v>
      </c>
      <c r="I22" s="10">
        <v>3</v>
      </c>
      <c r="J22" s="10">
        <v>3</v>
      </c>
      <c r="K22" s="10">
        <v>4</v>
      </c>
      <c r="L22" s="10">
        <v>-1</v>
      </c>
      <c r="N22"/>
    </row>
    <row r="23" spans="1:14" ht="22.5" customHeight="1" x14ac:dyDescent="0.2">
      <c r="A23" s="12">
        <v>22</v>
      </c>
      <c r="B23" s="4" t="s">
        <v>23</v>
      </c>
      <c r="C23" s="10">
        <v>2</v>
      </c>
      <c r="D23" s="10">
        <v>2</v>
      </c>
      <c r="E23" s="10">
        <v>2</v>
      </c>
      <c r="F23" s="10">
        <v>2</v>
      </c>
      <c r="G23" s="10">
        <v>1</v>
      </c>
      <c r="H23" s="10">
        <v>2</v>
      </c>
      <c r="I23" s="10">
        <v>3</v>
      </c>
      <c r="J23" s="10">
        <v>4</v>
      </c>
      <c r="K23" s="10">
        <v>4</v>
      </c>
      <c r="L23" s="10">
        <v>4</v>
      </c>
      <c r="N23"/>
    </row>
    <row r="24" spans="1:14" ht="22.5" customHeight="1" x14ac:dyDescent="0.2">
      <c r="A24" s="12">
        <v>23</v>
      </c>
      <c r="B24" s="4" t="s">
        <v>24</v>
      </c>
      <c r="C24" s="10">
        <v>2</v>
      </c>
      <c r="D24" s="10">
        <v>2</v>
      </c>
      <c r="E24" s="10">
        <v>0</v>
      </c>
      <c r="F24" s="10">
        <v>0</v>
      </c>
      <c r="G24" s="10">
        <v>0</v>
      </c>
      <c r="H24" s="10">
        <v>2</v>
      </c>
      <c r="I24" s="10">
        <v>4</v>
      </c>
      <c r="J24" s="10">
        <v>-1</v>
      </c>
      <c r="K24" s="10">
        <v>4</v>
      </c>
      <c r="L24" s="10">
        <v>3</v>
      </c>
      <c r="N24"/>
    </row>
    <row r="25" spans="1:14" ht="22.5" customHeight="1" x14ac:dyDescent="0.2">
      <c r="A25" s="12">
        <v>24</v>
      </c>
      <c r="B25" s="4" t="s">
        <v>25</v>
      </c>
      <c r="C25" s="10">
        <v>2</v>
      </c>
      <c r="D25" s="10">
        <v>2</v>
      </c>
      <c r="E25" s="10">
        <v>2</v>
      </c>
      <c r="F25" s="10">
        <v>-1</v>
      </c>
      <c r="G25" s="10">
        <v>-1</v>
      </c>
      <c r="H25" s="10">
        <v>2</v>
      </c>
      <c r="I25" s="10">
        <v>4</v>
      </c>
      <c r="J25" s="10">
        <v>4</v>
      </c>
      <c r="K25" s="10">
        <v>4</v>
      </c>
      <c r="L25" s="10">
        <v>3</v>
      </c>
      <c r="N25"/>
    </row>
    <row r="26" spans="1:14" ht="22.5" customHeight="1" x14ac:dyDescent="0.2">
      <c r="A26" s="12">
        <v>25</v>
      </c>
      <c r="B26" s="4" t="s">
        <v>26</v>
      </c>
      <c r="C26" s="10">
        <v>2</v>
      </c>
      <c r="D26" s="10">
        <v>2</v>
      </c>
      <c r="E26" s="10">
        <v>2</v>
      </c>
      <c r="F26" s="10">
        <v>2</v>
      </c>
      <c r="G26" s="10">
        <v>2</v>
      </c>
      <c r="H26" s="10">
        <v>0</v>
      </c>
      <c r="I26" s="10">
        <v>3</v>
      </c>
      <c r="J26" s="10">
        <v>0</v>
      </c>
      <c r="K26" s="10">
        <v>3</v>
      </c>
      <c r="L26" s="10">
        <v>-1</v>
      </c>
      <c r="N26"/>
    </row>
    <row r="27" spans="1:14" ht="22.5" customHeight="1" x14ac:dyDescent="0.2">
      <c r="A27" s="12">
        <v>26</v>
      </c>
      <c r="B27" s="4" t="s">
        <v>27</v>
      </c>
      <c r="C27" s="10">
        <v>1</v>
      </c>
      <c r="D27" s="10">
        <v>1</v>
      </c>
      <c r="E27" s="10">
        <v>0</v>
      </c>
      <c r="F27" s="10">
        <v>-1</v>
      </c>
      <c r="G27" s="10">
        <v>-1</v>
      </c>
      <c r="H27" s="10">
        <v>1</v>
      </c>
      <c r="I27" s="10">
        <v>-1</v>
      </c>
      <c r="J27" s="10">
        <v>0</v>
      </c>
      <c r="K27" s="10">
        <v>3</v>
      </c>
      <c r="L27" s="10">
        <v>2</v>
      </c>
      <c r="N27"/>
    </row>
    <row r="28" spans="1:14" ht="22.5" customHeight="1" x14ac:dyDescent="0.2">
      <c r="A28" s="12">
        <v>27</v>
      </c>
      <c r="B28" s="4" t="s">
        <v>28</v>
      </c>
      <c r="C28" s="10">
        <v>2</v>
      </c>
      <c r="D28" s="10">
        <v>2</v>
      </c>
      <c r="E28" s="10">
        <v>2</v>
      </c>
      <c r="F28" s="10">
        <v>2</v>
      </c>
      <c r="G28" s="10">
        <v>1</v>
      </c>
      <c r="H28" s="10">
        <v>2</v>
      </c>
      <c r="I28" s="10">
        <v>4</v>
      </c>
      <c r="J28" s="10">
        <v>4</v>
      </c>
      <c r="K28" s="10">
        <v>4</v>
      </c>
      <c r="L28" s="10">
        <v>4</v>
      </c>
      <c r="N28"/>
    </row>
    <row r="29" spans="1:14" ht="22.5" customHeight="1" x14ac:dyDescent="0.2">
      <c r="A29" s="12">
        <v>28</v>
      </c>
      <c r="B29" s="4" t="s">
        <v>29</v>
      </c>
      <c r="C29" s="10">
        <v>2</v>
      </c>
      <c r="D29" s="10">
        <v>1</v>
      </c>
      <c r="E29" s="10">
        <v>-1</v>
      </c>
      <c r="F29" s="10">
        <v>2</v>
      </c>
      <c r="G29" s="10">
        <v>1</v>
      </c>
      <c r="H29" s="10">
        <v>2</v>
      </c>
      <c r="I29" s="10">
        <v>4</v>
      </c>
      <c r="J29" s="10">
        <v>4</v>
      </c>
      <c r="K29" s="10">
        <v>3</v>
      </c>
      <c r="L29" s="10">
        <v>3</v>
      </c>
      <c r="N29"/>
    </row>
    <row r="30" spans="1:14" ht="22.5" customHeight="1" x14ac:dyDescent="0.2">
      <c r="A30" s="12">
        <v>29</v>
      </c>
      <c r="B30" s="4" t="s">
        <v>30</v>
      </c>
      <c r="C30" s="10">
        <v>2</v>
      </c>
      <c r="D30" s="10">
        <v>2</v>
      </c>
      <c r="E30" s="10">
        <v>0</v>
      </c>
      <c r="F30" s="10">
        <v>2</v>
      </c>
      <c r="G30" s="10">
        <v>1</v>
      </c>
      <c r="H30" s="10">
        <v>2</v>
      </c>
      <c r="I30" s="10">
        <v>4</v>
      </c>
      <c r="J30" s="10">
        <v>3</v>
      </c>
      <c r="K30" s="10">
        <v>4</v>
      </c>
      <c r="L30" s="10">
        <v>4</v>
      </c>
      <c r="N30"/>
    </row>
    <row r="31" spans="1:14" ht="22.5" customHeight="1" x14ac:dyDescent="0.2">
      <c r="A31" s="12">
        <v>30</v>
      </c>
      <c r="B31" s="4" t="s">
        <v>31</v>
      </c>
      <c r="C31" s="10">
        <v>2</v>
      </c>
      <c r="D31" s="10">
        <v>2</v>
      </c>
      <c r="E31" s="10">
        <v>2</v>
      </c>
      <c r="F31" s="10">
        <v>2</v>
      </c>
      <c r="G31" s="10">
        <v>1</v>
      </c>
      <c r="H31" s="10">
        <v>2</v>
      </c>
      <c r="I31" s="10">
        <v>4</v>
      </c>
      <c r="J31" s="10">
        <v>4</v>
      </c>
      <c r="K31" s="10">
        <v>4</v>
      </c>
      <c r="L31" s="10">
        <v>-1</v>
      </c>
      <c r="N31"/>
    </row>
    <row r="32" spans="1:14" ht="22.5" customHeight="1" x14ac:dyDescent="0.2">
      <c r="A32" s="12">
        <v>31</v>
      </c>
      <c r="B32" s="4" t="s">
        <v>32</v>
      </c>
      <c r="C32" s="10">
        <v>2</v>
      </c>
      <c r="D32" s="10">
        <v>2</v>
      </c>
      <c r="E32" s="10">
        <v>2</v>
      </c>
      <c r="F32" s="10">
        <v>2</v>
      </c>
      <c r="G32" s="10">
        <v>0</v>
      </c>
      <c r="H32" s="10">
        <v>0</v>
      </c>
      <c r="I32" s="10">
        <v>4</v>
      </c>
      <c r="J32" s="10">
        <v>-1</v>
      </c>
      <c r="K32" s="10">
        <v>4</v>
      </c>
      <c r="L32" s="10">
        <v>4</v>
      </c>
      <c r="N32"/>
    </row>
    <row r="33" spans="1:14" ht="22.5" customHeight="1" x14ac:dyDescent="0.2">
      <c r="A33" s="12">
        <v>32</v>
      </c>
      <c r="B33" s="4" t="s">
        <v>33</v>
      </c>
      <c r="C33" s="10">
        <v>-1</v>
      </c>
      <c r="D33" s="10">
        <v>2</v>
      </c>
      <c r="E33" s="10">
        <v>0</v>
      </c>
      <c r="F33" s="10">
        <v>0</v>
      </c>
      <c r="G33" s="10">
        <v>-1</v>
      </c>
      <c r="H33" s="10">
        <v>1</v>
      </c>
      <c r="I33" s="10">
        <v>-1</v>
      </c>
      <c r="J33" s="10">
        <v>-1</v>
      </c>
      <c r="K33" s="10">
        <v>1</v>
      </c>
      <c r="L33" s="10">
        <v>-1</v>
      </c>
      <c r="N33"/>
    </row>
    <row r="34" spans="1:14" ht="22.5" customHeight="1" x14ac:dyDescent="0.2">
      <c r="A34" s="12">
        <v>33</v>
      </c>
      <c r="B34" s="4" t="s">
        <v>34</v>
      </c>
      <c r="C34" s="10">
        <v>2</v>
      </c>
      <c r="D34" s="10">
        <v>2</v>
      </c>
      <c r="E34" s="10">
        <v>2</v>
      </c>
      <c r="F34" s="10">
        <v>2</v>
      </c>
      <c r="G34" s="10">
        <v>0</v>
      </c>
      <c r="H34" s="10">
        <v>2</v>
      </c>
      <c r="I34" s="10">
        <v>3</v>
      </c>
      <c r="J34" s="10">
        <v>4</v>
      </c>
      <c r="K34" s="10">
        <v>3</v>
      </c>
      <c r="L34" s="10">
        <v>3</v>
      </c>
      <c r="N34"/>
    </row>
    <row r="35" spans="1:14" ht="22.5" customHeight="1" x14ac:dyDescent="0.2">
      <c r="A35" s="12">
        <v>34</v>
      </c>
      <c r="B35" s="4" t="s">
        <v>35</v>
      </c>
      <c r="C35" s="10">
        <v>2</v>
      </c>
      <c r="D35" s="10">
        <v>2</v>
      </c>
      <c r="E35" s="10">
        <v>-1</v>
      </c>
      <c r="F35" s="10">
        <v>2</v>
      </c>
      <c r="G35" s="10">
        <v>0</v>
      </c>
      <c r="H35" s="10">
        <v>1</v>
      </c>
      <c r="I35" s="10">
        <v>2</v>
      </c>
      <c r="J35" s="10">
        <v>-1</v>
      </c>
      <c r="K35" s="10">
        <v>-1</v>
      </c>
      <c r="L35" s="10">
        <v>-1</v>
      </c>
      <c r="N35"/>
    </row>
    <row r="36" spans="1:14" ht="22.5" customHeight="1" x14ac:dyDescent="0.2">
      <c r="A36" s="12">
        <v>35</v>
      </c>
      <c r="B36" s="4" t="s">
        <v>36</v>
      </c>
      <c r="C36" s="10">
        <v>2</v>
      </c>
      <c r="D36" s="10">
        <v>2</v>
      </c>
      <c r="E36" s="10">
        <v>2</v>
      </c>
      <c r="F36" s="10">
        <v>2</v>
      </c>
      <c r="G36" s="10">
        <v>-1</v>
      </c>
      <c r="H36" s="10">
        <v>2</v>
      </c>
      <c r="I36" s="10">
        <v>3</v>
      </c>
      <c r="J36" s="10">
        <v>3</v>
      </c>
      <c r="K36" s="10">
        <v>4</v>
      </c>
      <c r="L36" s="10">
        <v>4</v>
      </c>
      <c r="N36"/>
    </row>
    <row r="37" spans="1:14" ht="22.5" customHeight="1" x14ac:dyDescent="0.2">
      <c r="A37" s="12">
        <v>36</v>
      </c>
      <c r="B37" s="4" t="s">
        <v>37</v>
      </c>
      <c r="C37" s="10">
        <v>2</v>
      </c>
      <c r="D37" s="10">
        <v>2</v>
      </c>
      <c r="E37" s="10">
        <v>-1</v>
      </c>
      <c r="F37" s="10">
        <v>2</v>
      </c>
      <c r="G37" s="10">
        <v>0</v>
      </c>
      <c r="H37" s="10">
        <v>2</v>
      </c>
      <c r="I37" s="10">
        <v>-1</v>
      </c>
      <c r="J37" s="10">
        <v>3</v>
      </c>
      <c r="K37" s="10">
        <v>4</v>
      </c>
      <c r="L37" s="10">
        <v>-1</v>
      </c>
      <c r="N37"/>
    </row>
    <row r="38" spans="1:14" ht="22.5" customHeight="1" x14ac:dyDescent="0.2">
      <c r="A38" s="12">
        <v>37</v>
      </c>
      <c r="B38" s="4" t="s">
        <v>38</v>
      </c>
      <c r="C38" s="10">
        <v>2</v>
      </c>
      <c r="D38" s="10">
        <v>2</v>
      </c>
      <c r="E38" s="10">
        <v>-1</v>
      </c>
      <c r="F38" s="10">
        <v>2</v>
      </c>
      <c r="G38" s="10">
        <v>0</v>
      </c>
      <c r="H38" s="10">
        <v>0</v>
      </c>
      <c r="I38" s="10">
        <v>-1</v>
      </c>
      <c r="J38" s="10">
        <v>1</v>
      </c>
      <c r="K38" s="10">
        <v>3</v>
      </c>
      <c r="L38" s="10">
        <v>-1</v>
      </c>
      <c r="N38"/>
    </row>
    <row r="39" spans="1:14" ht="22.5" customHeight="1" x14ac:dyDescent="0.2">
      <c r="A39" s="12">
        <v>38</v>
      </c>
      <c r="B39" s="4" t="s">
        <v>39</v>
      </c>
      <c r="C39" s="10">
        <v>2</v>
      </c>
      <c r="D39" s="10">
        <v>2</v>
      </c>
      <c r="E39" s="10">
        <v>2</v>
      </c>
      <c r="F39" s="10">
        <v>2</v>
      </c>
      <c r="G39" s="10">
        <v>2</v>
      </c>
      <c r="H39" s="10">
        <v>-1</v>
      </c>
      <c r="I39" s="10">
        <v>4</v>
      </c>
      <c r="J39" s="10">
        <v>4</v>
      </c>
      <c r="K39" s="10">
        <v>3</v>
      </c>
      <c r="L39" s="10">
        <v>3</v>
      </c>
      <c r="N39"/>
    </row>
    <row r="40" spans="1:14" ht="22.5" customHeight="1" x14ac:dyDescent="0.2">
      <c r="A40" s="12">
        <v>39</v>
      </c>
      <c r="B40" s="4" t="s">
        <v>40</v>
      </c>
      <c r="C40" s="10">
        <v>1</v>
      </c>
      <c r="D40" s="10">
        <v>2</v>
      </c>
      <c r="E40" s="10">
        <v>2</v>
      </c>
      <c r="F40" s="10">
        <v>2</v>
      </c>
      <c r="G40" s="10">
        <v>0</v>
      </c>
      <c r="H40" s="10">
        <v>-1</v>
      </c>
      <c r="I40" s="10">
        <v>2</v>
      </c>
      <c r="J40" s="10">
        <v>0</v>
      </c>
      <c r="K40" s="10">
        <v>2</v>
      </c>
      <c r="L40" s="10">
        <v>2</v>
      </c>
      <c r="N40"/>
    </row>
    <row r="41" spans="1:14" ht="22.5" customHeight="1" x14ac:dyDescent="0.2">
      <c r="A41" s="12">
        <v>40</v>
      </c>
      <c r="B41" s="4" t="s">
        <v>41</v>
      </c>
      <c r="C41" s="10">
        <v>2</v>
      </c>
      <c r="D41" s="10">
        <v>2</v>
      </c>
      <c r="E41" s="10">
        <v>-1</v>
      </c>
      <c r="F41" s="10">
        <v>2</v>
      </c>
      <c r="G41" s="10">
        <v>0</v>
      </c>
      <c r="H41" s="10">
        <v>2</v>
      </c>
      <c r="I41" s="10">
        <v>3</v>
      </c>
      <c r="J41" s="10">
        <v>0</v>
      </c>
      <c r="K41" s="10">
        <v>3</v>
      </c>
      <c r="L41" s="10">
        <v>2</v>
      </c>
      <c r="N41"/>
    </row>
    <row r="42" spans="1:14" ht="22.5" customHeight="1" x14ac:dyDescent="0.2">
      <c r="A42" s="12">
        <v>41</v>
      </c>
      <c r="B42" s="4" t="s">
        <v>42</v>
      </c>
      <c r="C42" s="10">
        <v>1</v>
      </c>
      <c r="D42" s="10">
        <v>2</v>
      </c>
      <c r="E42" s="10">
        <v>0</v>
      </c>
      <c r="F42" s="10">
        <v>1</v>
      </c>
      <c r="G42" s="10">
        <v>-1</v>
      </c>
      <c r="H42" s="10">
        <v>1</v>
      </c>
      <c r="I42" s="10">
        <v>-1</v>
      </c>
      <c r="J42" s="10">
        <v>-1</v>
      </c>
      <c r="K42" s="10">
        <v>-1</v>
      </c>
      <c r="L42" s="10">
        <v>-1</v>
      </c>
      <c r="N42"/>
    </row>
    <row r="43" spans="1:14" ht="22.5" customHeight="1" x14ac:dyDescent="0.2">
      <c r="A43" s="12">
        <v>42</v>
      </c>
      <c r="B43" s="4" t="s">
        <v>43</v>
      </c>
      <c r="C43" s="10">
        <v>2</v>
      </c>
      <c r="D43" s="10">
        <v>2</v>
      </c>
      <c r="E43" s="10">
        <v>-1</v>
      </c>
      <c r="F43" s="10">
        <v>-1</v>
      </c>
      <c r="G43" s="10">
        <v>2</v>
      </c>
      <c r="H43" s="10">
        <v>2</v>
      </c>
      <c r="I43" s="10">
        <v>2</v>
      </c>
      <c r="J43" s="10">
        <v>3</v>
      </c>
      <c r="K43" s="10">
        <v>4</v>
      </c>
      <c r="L43" s="10">
        <v>2</v>
      </c>
      <c r="N43"/>
    </row>
    <row r="44" spans="1:14" ht="22.5" customHeight="1" x14ac:dyDescent="0.2">
      <c r="A44" s="12">
        <v>43</v>
      </c>
      <c r="B44" s="4" t="s">
        <v>44</v>
      </c>
      <c r="C44" s="10">
        <v>2</v>
      </c>
      <c r="D44" s="10">
        <v>2</v>
      </c>
      <c r="E44" s="10">
        <v>2</v>
      </c>
      <c r="F44" s="10">
        <v>2</v>
      </c>
      <c r="G44" s="10">
        <v>0</v>
      </c>
      <c r="H44" s="10">
        <v>1</v>
      </c>
      <c r="I44" s="10">
        <v>4</v>
      </c>
      <c r="J44" s="10">
        <v>4</v>
      </c>
      <c r="K44" s="10">
        <v>4</v>
      </c>
      <c r="L44" s="10">
        <v>3</v>
      </c>
      <c r="N44"/>
    </row>
    <row r="45" spans="1:14" ht="22.5" customHeight="1" x14ac:dyDescent="0.2">
      <c r="A45" s="12">
        <v>44</v>
      </c>
      <c r="B45" s="4" t="s">
        <v>45</v>
      </c>
      <c r="C45" s="10">
        <v>2</v>
      </c>
      <c r="D45" s="10">
        <v>2</v>
      </c>
      <c r="E45" s="10">
        <v>2</v>
      </c>
      <c r="F45" s="10">
        <v>2</v>
      </c>
      <c r="G45" s="10">
        <v>1</v>
      </c>
      <c r="H45" s="10">
        <v>2</v>
      </c>
      <c r="I45" s="10">
        <v>4</v>
      </c>
      <c r="J45" s="10">
        <v>4</v>
      </c>
      <c r="K45" s="10">
        <v>4</v>
      </c>
      <c r="L45" s="10">
        <v>4</v>
      </c>
      <c r="N45"/>
    </row>
    <row r="46" spans="1:14" ht="22.5" customHeight="1" x14ac:dyDescent="0.2">
      <c r="A46" s="12">
        <v>45</v>
      </c>
      <c r="B46" s="4" t="s">
        <v>46</v>
      </c>
      <c r="C46" s="10">
        <v>2</v>
      </c>
      <c r="D46" s="10">
        <v>2</v>
      </c>
      <c r="E46" s="10">
        <v>2</v>
      </c>
      <c r="F46" s="10">
        <v>2</v>
      </c>
      <c r="G46" s="10">
        <v>2</v>
      </c>
      <c r="H46" s="10">
        <v>-1</v>
      </c>
      <c r="I46" s="10">
        <v>4</v>
      </c>
      <c r="J46" s="10">
        <v>3</v>
      </c>
      <c r="K46" s="10">
        <v>3</v>
      </c>
      <c r="L46" s="10">
        <v>-1</v>
      </c>
      <c r="N46"/>
    </row>
    <row r="47" spans="1:14" ht="22.5" customHeight="1" x14ac:dyDescent="0.2">
      <c r="A47" s="12">
        <v>46</v>
      </c>
      <c r="B47" s="4" t="s">
        <v>47</v>
      </c>
      <c r="C47" s="10">
        <v>2</v>
      </c>
      <c r="D47" s="10">
        <v>2</v>
      </c>
      <c r="E47" s="10">
        <v>2</v>
      </c>
      <c r="F47" s="10">
        <v>1</v>
      </c>
      <c r="G47" s="10">
        <v>1</v>
      </c>
      <c r="H47" s="10">
        <v>2</v>
      </c>
      <c r="I47" s="10">
        <v>4</v>
      </c>
      <c r="J47" s="10">
        <v>0</v>
      </c>
      <c r="K47" s="10">
        <v>4</v>
      </c>
      <c r="L47" s="10">
        <v>4</v>
      </c>
      <c r="N47"/>
    </row>
    <row r="48" spans="1:14" ht="22.5" customHeight="1" x14ac:dyDescent="0.2">
      <c r="A48" s="12">
        <v>47</v>
      </c>
      <c r="B48" s="4" t="s">
        <v>48</v>
      </c>
      <c r="C48" s="10">
        <v>2</v>
      </c>
      <c r="D48" s="10">
        <v>2</v>
      </c>
      <c r="E48" s="10">
        <v>0</v>
      </c>
      <c r="F48" s="10">
        <v>2</v>
      </c>
      <c r="G48" s="10">
        <v>0</v>
      </c>
      <c r="H48" s="10">
        <v>0</v>
      </c>
      <c r="I48" s="10">
        <v>3</v>
      </c>
      <c r="J48" s="10">
        <v>0</v>
      </c>
      <c r="K48" s="10">
        <v>0</v>
      </c>
      <c r="L48" s="10">
        <v>3</v>
      </c>
      <c r="N48"/>
    </row>
    <row r="49" spans="1:14" ht="22.5" customHeight="1" x14ac:dyDescent="0.2">
      <c r="A49" s="12">
        <v>48</v>
      </c>
      <c r="B49" s="4" t="s">
        <v>49</v>
      </c>
      <c r="C49" s="10">
        <v>2</v>
      </c>
      <c r="D49" s="10">
        <v>2</v>
      </c>
      <c r="E49" s="10">
        <v>2</v>
      </c>
      <c r="F49" s="10">
        <v>2</v>
      </c>
      <c r="G49" s="10">
        <v>0</v>
      </c>
      <c r="H49" s="10">
        <v>2</v>
      </c>
      <c r="I49" s="10">
        <v>-1</v>
      </c>
      <c r="J49" s="10">
        <v>4</v>
      </c>
      <c r="K49" s="10">
        <v>4</v>
      </c>
      <c r="L49" s="10">
        <v>4</v>
      </c>
      <c r="N49"/>
    </row>
    <row r="50" spans="1:14" ht="22.5" customHeight="1" x14ac:dyDescent="0.2">
      <c r="A50" s="12">
        <v>49</v>
      </c>
      <c r="B50" s="4" t="s">
        <v>50</v>
      </c>
      <c r="C50" s="10">
        <v>2</v>
      </c>
      <c r="D50" s="10">
        <v>2</v>
      </c>
      <c r="E50" s="10">
        <v>2</v>
      </c>
      <c r="F50" s="10">
        <v>2</v>
      </c>
      <c r="G50" s="10">
        <v>1</v>
      </c>
      <c r="H50" s="10">
        <v>2</v>
      </c>
      <c r="I50" s="10">
        <v>-1</v>
      </c>
      <c r="J50" s="10">
        <v>4</v>
      </c>
      <c r="K50" s="10">
        <v>4</v>
      </c>
      <c r="L50" s="10">
        <v>-1</v>
      </c>
      <c r="N50"/>
    </row>
    <row r="51" spans="1:14" ht="22.5" customHeight="1" x14ac:dyDescent="0.2">
      <c r="A51" s="12">
        <v>50</v>
      </c>
      <c r="B51" s="4" t="s">
        <v>51</v>
      </c>
      <c r="C51" s="10">
        <v>2</v>
      </c>
      <c r="D51" s="10">
        <v>2</v>
      </c>
      <c r="E51" s="10">
        <v>-1</v>
      </c>
      <c r="F51" s="10">
        <v>2</v>
      </c>
      <c r="G51" s="10">
        <v>-1</v>
      </c>
      <c r="H51" s="10">
        <v>1</v>
      </c>
      <c r="I51" s="10">
        <v>2</v>
      </c>
      <c r="J51" s="10">
        <v>2</v>
      </c>
      <c r="K51" s="10">
        <v>2</v>
      </c>
      <c r="L51" s="10">
        <v>1</v>
      </c>
      <c r="N51"/>
    </row>
    <row r="52" spans="1:14" ht="22.5" customHeight="1" x14ac:dyDescent="0.2">
      <c r="A52" s="12">
        <v>51</v>
      </c>
      <c r="B52" s="4" t="s">
        <v>52</v>
      </c>
      <c r="C52" s="10">
        <v>2</v>
      </c>
      <c r="D52" s="10">
        <v>2</v>
      </c>
      <c r="E52" s="10">
        <v>0</v>
      </c>
      <c r="F52" s="10">
        <v>2</v>
      </c>
      <c r="G52" s="10">
        <v>0</v>
      </c>
      <c r="H52" s="10">
        <v>2</v>
      </c>
      <c r="I52" s="10">
        <v>0</v>
      </c>
      <c r="J52" s="10">
        <v>2</v>
      </c>
      <c r="K52" s="10">
        <v>2</v>
      </c>
      <c r="L52" s="10">
        <v>1</v>
      </c>
      <c r="N52"/>
    </row>
    <row r="53" spans="1:14" ht="22.5" customHeight="1" x14ac:dyDescent="0.2">
      <c r="A53" s="12">
        <v>51</v>
      </c>
      <c r="B53" s="4" t="s">
        <v>53</v>
      </c>
      <c r="C53" s="10">
        <v>1</v>
      </c>
      <c r="D53" s="10">
        <v>2</v>
      </c>
      <c r="E53" s="10">
        <v>2</v>
      </c>
      <c r="F53" s="10">
        <v>2</v>
      </c>
      <c r="G53" s="10">
        <v>1</v>
      </c>
      <c r="H53" s="10">
        <v>2</v>
      </c>
      <c r="I53" s="10">
        <v>0</v>
      </c>
      <c r="J53" s="10">
        <v>4</v>
      </c>
      <c r="K53" s="10">
        <v>4</v>
      </c>
      <c r="L53" s="10">
        <v>4</v>
      </c>
      <c r="N53"/>
    </row>
    <row r="54" spans="1:14" ht="22.5" customHeight="1" x14ac:dyDescent="0.2">
      <c r="A54" s="12">
        <v>52</v>
      </c>
      <c r="B54" s="4" t="s">
        <v>54</v>
      </c>
      <c r="C54" s="10">
        <v>2</v>
      </c>
      <c r="D54" s="10">
        <v>2</v>
      </c>
      <c r="E54" s="10">
        <v>2</v>
      </c>
      <c r="F54" s="10">
        <v>2</v>
      </c>
      <c r="G54" s="10">
        <v>2</v>
      </c>
      <c r="H54" s="10">
        <v>2</v>
      </c>
      <c r="I54" s="10">
        <v>4</v>
      </c>
      <c r="J54" s="10">
        <v>4</v>
      </c>
      <c r="K54" s="10">
        <v>4</v>
      </c>
      <c r="L54" s="10">
        <v>4</v>
      </c>
      <c r="N54"/>
    </row>
    <row r="55" spans="1:14" ht="22.5" customHeight="1" x14ac:dyDescent="0.2">
      <c r="A55" s="12">
        <v>53</v>
      </c>
      <c r="B55" s="4" t="s">
        <v>55</v>
      </c>
      <c r="C55" s="10">
        <v>2</v>
      </c>
      <c r="D55" s="10">
        <v>2</v>
      </c>
      <c r="E55" s="10">
        <v>2</v>
      </c>
      <c r="F55" s="10">
        <v>2</v>
      </c>
      <c r="G55" s="10">
        <v>1</v>
      </c>
      <c r="H55" s="10">
        <v>2</v>
      </c>
      <c r="I55" s="10">
        <v>4</v>
      </c>
      <c r="J55" s="10">
        <v>0</v>
      </c>
      <c r="K55" s="10">
        <v>4</v>
      </c>
      <c r="L55" s="10">
        <v>-1</v>
      </c>
      <c r="N55"/>
    </row>
    <row r="56" spans="1:14" ht="22.5" customHeight="1" x14ac:dyDescent="0.2">
      <c r="A56" s="12">
        <v>55</v>
      </c>
      <c r="B56" s="4" t="s">
        <v>56</v>
      </c>
      <c r="C56" s="10">
        <v>2</v>
      </c>
      <c r="D56" s="10">
        <v>2</v>
      </c>
      <c r="E56" s="10">
        <v>2</v>
      </c>
      <c r="F56" s="10">
        <v>0</v>
      </c>
      <c r="G56" s="10">
        <v>-1</v>
      </c>
      <c r="H56" s="10">
        <v>2</v>
      </c>
      <c r="I56" s="10">
        <v>-1</v>
      </c>
      <c r="J56" s="10">
        <v>4</v>
      </c>
      <c r="K56" s="10">
        <v>3</v>
      </c>
      <c r="L56" s="10">
        <v>4</v>
      </c>
      <c r="N56"/>
    </row>
    <row r="57" spans="1:14" ht="22.5" customHeight="1" x14ac:dyDescent="0.2">
      <c r="A57" s="12">
        <v>56</v>
      </c>
      <c r="B57" s="4" t="s">
        <v>57</v>
      </c>
      <c r="C57" s="10">
        <v>2</v>
      </c>
      <c r="D57" s="10">
        <v>-1</v>
      </c>
      <c r="E57" s="10">
        <v>2</v>
      </c>
      <c r="F57" s="10">
        <v>2</v>
      </c>
      <c r="G57" s="10">
        <v>1</v>
      </c>
      <c r="H57" s="10">
        <v>2</v>
      </c>
      <c r="I57" s="10">
        <v>4</v>
      </c>
      <c r="J57" s="10">
        <v>4</v>
      </c>
      <c r="K57" s="10">
        <v>3</v>
      </c>
      <c r="L57" s="10">
        <v>4</v>
      </c>
      <c r="N57"/>
    </row>
    <row r="58" spans="1:14" ht="22.5" customHeight="1" x14ac:dyDescent="0.2">
      <c r="A58" s="12">
        <v>57</v>
      </c>
      <c r="B58" s="4" t="s">
        <v>58</v>
      </c>
      <c r="C58" s="10">
        <v>1</v>
      </c>
      <c r="D58" s="10">
        <v>-1</v>
      </c>
      <c r="E58" s="10">
        <v>-1</v>
      </c>
      <c r="F58" s="10">
        <v>-1</v>
      </c>
      <c r="G58" s="10">
        <v>-1</v>
      </c>
      <c r="H58" s="10">
        <v>1</v>
      </c>
      <c r="I58" s="10">
        <v>-1</v>
      </c>
      <c r="J58" s="10">
        <v>-1</v>
      </c>
      <c r="K58" s="10">
        <v>-1</v>
      </c>
      <c r="L58" s="10">
        <v>-1</v>
      </c>
      <c r="N58"/>
    </row>
    <row r="59" spans="1:14" ht="22.5" customHeight="1" x14ac:dyDescent="0.2">
      <c r="A59" s="12">
        <v>58</v>
      </c>
      <c r="B59" s="4" t="s">
        <v>59</v>
      </c>
      <c r="C59" s="10">
        <v>1</v>
      </c>
      <c r="D59" s="10">
        <v>1</v>
      </c>
      <c r="E59" s="10">
        <v>1</v>
      </c>
      <c r="F59" s="10">
        <v>0</v>
      </c>
      <c r="G59" s="10">
        <v>-1</v>
      </c>
      <c r="H59" s="10">
        <v>1</v>
      </c>
      <c r="I59" s="10">
        <v>-1</v>
      </c>
      <c r="J59" s="10">
        <v>-1</v>
      </c>
      <c r="K59" s="10">
        <v>-1</v>
      </c>
      <c r="L59" s="10">
        <v>2</v>
      </c>
      <c r="N59"/>
    </row>
    <row r="60" spans="1:14" ht="22.5" customHeight="1" x14ac:dyDescent="0.2">
      <c r="A60" s="12">
        <v>59</v>
      </c>
      <c r="B60" s="4" t="s">
        <v>60</v>
      </c>
      <c r="C60" s="10">
        <v>0</v>
      </c>
      <c r="D60" s="10">
        <v>2</v>
      </c>
      <c r="E60" s="10">
        <v>1</v>
      </c>
      <c r="F60" s="10">
        <v>2</v>
      </c>
      <c r="G60" s="10">
        <v>1</v>
      </c>
      <c r="H60" s="10">
        <v>2</v>
      </c>
      <c r="I60" s="10">
        <v>-1</v>
      </c>
      <c r="J60" s="10">
        <v>-1</v>
      </c>
      <c r="K60" s="10">
        <v>-1</v>
      </c>
      <c r="L60" s="10">
        <v>1</v>
      </c>
      <c r="N60"/>
    </row>
    <row r="61" spans="1:14" ht="22.5" customHeight="1" x14ac:dyDescent="0.2">
      <c r="A61" s="12">
        <v>60</v>
      </c>
      <c r="B61" s="4" t="s">
        <v>61</v>
      </c>
      <c r="C61" s="10">
        <v>2</v>
      </c>
      <c r="D61" s="10">
        <v>2</v>
      </c>
      <c r="E61" s="10">
        <v>-1</v>
      </c>
      <c r="F61" s="10">
        <v>2</v>
      </c>
      <c r="G61" s="10">
        <v>-1</v>
      </c>
      <c r="H61" s="10">
        <v>1</v>
      </c>
      <c r="I61" s="10">
        <v>-1</v>
      </c>
      <c r="J61" s="10">
        <v>-1</v>
      </c>
      <c r="K61" s="10">
        <v>-1</v>
      </c>
      <c r="L61" s="10">
        <v>-1</v>
      </c>
      <c r="N61"/>
    </row>
    <row r="62" spans="1:14" ht="22.5" customHeight="1" x14ac:dyDescent="0.2">
      <c r="A62" s="12">
        <v>61</v>
      </c>
      <c r="B62" s="4" t="s">
        <v>62</v>
      </c>
      <c r="C62" s="10">
        <v>1</v>
      </c>
      <c r="D62" s="10">
        <v>2</v>
      </c>
      <c r="E62" s="10">
        <v>2</v>
      </c>
      <c r="F62" s="10">
        <v>1</v>
      </c>
      <c r="G62" s="10">
        <v>-1</v>
      </c>
      <c r="H62" s="10">
        <v>1</v>
      </c>
      <c r="I62" s="10">
        <v>-1</v>
      </c>
      <c r="J62" s="10">
        <v>-1</v>
      </c>
      <c r="K62" s="10">
        <v>-1</v>
      </c>
      <c r="L62" s="10">
        <v>-1</v>
      </c>
      <c r="N62"/>
    </row>
    <row r="63" spans="1:14" ht="22.5" customHeight="1" x14ac:dyDescent="0.2">
      <c r="A63" s="12">
        <v>62</v>
      </c>
      <c r="B63" s="4" t="s">
        <v>63</v>
      </c>
      <c r="C63" s="10">
        <v>2</v>
      </c>
      <c r="D63" s="10">
        <v>2</v>
      </c>
      <c r="E63" s="10">
        <v>-1</v>
      </c>
      <c r="F63" s="10">
        <v>1</v>
      </c>
      <c r="G63" s="10">
        <v>-1</v>
      </c>
      <c r="H63" s="10">
        <v>1</v>
      </c>
      <c r="I63" s="10">
        <v>-1</v>
      </c>
      <c r="J63" s="10">
        <v>-1</v>
      </c>
      <c r="K63" s="10">
        <v>-1</v>
      </c>
      <c r="L63" s="10">
        <v>-1</v>
      </c>
      <c r="N63"/>
    </row>
    <row r="64" spans="1:14" ht="22.5" customHeight="1" x14ac:dyDescent="0.2">
      <c r="A64" s="12">
        <v>63</v>
      </c>
      <c r="B64" s="4" t="s">
        <v>64</v>
      </c>
      <c r="C64" s="10">
        <v>2</v>
      </c>
      <c r="D64" s="10">
        <v>-1</v>
      </c>
      <c r="E64" s="10">
        <v>-1</v>
      </c>
      <c r="F64" s="10">
        <v>0</v>
      </c>
      <c r="G64" s="10">
        <v>-1</v>
      </c>
      <c r="H64" s="10">
        <v>1</v>
      </c>
      <c r="I64" s="10">
        <v>-1</v>
      </c>
      <c r="J64" s="10">
        <v>-1</v>
      </c>
      <c r="K64" s="10">
        <v>-1</v>
      </c>
      <c r="L64" s="10">
        <v>-1</v>
      </c>
      <c r="N64"/>
    </row>
    <row r="65" spans="1:14" ht="22.5" customHeight="1" x14ac:dyDescent="0.2">
      <c r="A65" s="12">
        <v>66</v>
      </c>
      <c r="B65" s="4" t="s">
        <v>65</v>
      </c>
      <c r="C65" s="10">
        <v>2</v>
      </c>
      <c r="D65" s="10">
        <v>2</v>
      </c>
      <c r="E65" s="10">
        <v>-1</v>
      </c>
      <c r="F65" s="10">
        <v>2</v>
      </c>
      <c r="G65" s="10">
        <v>0</v>
      </c>
      <c r="H65" s="10">
        <v>1</v>
      </c>
      <c r="I65" s="10">
        <v>3</v>
      </c>
      <c r="J65" s="10">
        <v>1</v>
      </c>
      <c r="K65" s="10">
        <v>-1</v>
      </c>
      <c r="L65" s="10">
        <v>3</v>
      </c>
      <c r="N65"/>
    </row>
    <row r="66" spans="1:14" ht="22.5" customHeight="1" x14ac:dyDescent="0.2">
      <c r="A66" s="12">
        <v>67</v>
      </c>
      <c r="B66" s="4" t="s">
        <v>66</v>
      </c>
      <c r="C66" s="10">
        <v>2</v>
      </c>
      <c r="D66" s="10">
        <v>2</v>
      </c>
      <c r="E66" s="10">
        <v>-1</v>
      </c>
      <c r="F66" s="10">
        <v>2</v>
      </c>
      <c r="G66" s="10">
        <v>1</v>
      </c>
      <c r="H66" s="10">
        <v>2</v>
      </c>
      <c r="I66" s="10">
        <v>-1</v>
      </c>
      <c r="J66" s="10">
        <v>4</v>
      </c>
      <c r="K66" s="10">
        <v>2</v>
      </c>
      <c r="L66" s="10">
        <v>-1</v>
      </c>
      <c r="N66"/>
    </row>
    <row r="67" spans="1:14" ht="22.5" customHeight="1" x14ac:dyDescent="0.2">
      <c r="A67" s="12">
        <v>68</v>
      </c>
      <c r="B67" s="4" t="s">
        <v>67</v>
      </c>
      <c r="C67" s="10">
        <v>-1</v>
      </c>
      <c r="D67" s="10">
        <v>2</v>
      </c>
      <c r="E67" s="10">
        <v>2</v>
      </c>
      <c r="F67" s="10">
        <v>1</v>
      </c>
      <c r="G67" s="10">
        <v>-1</v>
      </c>
      <c r="H67" s="10">
        <v>2</v>
      </c>
      <c r="I67" s="10">
        <v>0</v>
      </c>
      <c r="J67" s="10">
        <v>4</v>
      </c>
      <c r="K67" s="10">
        <v>-1</v>
      </c>
      <c r="L67" s="10">
        <v>-1</v>
      </c>
      <c r="N67"/>
    </row>
  </sheetData>
  <mergeCells count="1">
    <mergeCell ref="Q3:W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D12:H13"/>
  <sheetViews>
    <sheetView workbookViewId="0"/>
  </sheetViews>
  <sheetFormatPr defaultColWidth="12.5703125" defaultRowHeight="15.75" customHeight="1" x14ac:dyDescent="0.2"/>
  <cols>
    <col min="4" max="4" width="16.42578125" customWidth="1"/>
    <col min="6" max="6" width="16.85546875" customWidth="1"/>
  </cols>
  <sheetData>
    <row r="12" spans="4:8" x14ac:dyDescent="0.2">
      <c r="D12" s="1" t="s">
        <v>9</v>
      </c>
      <c r="F12" s="1" t="s">
        <v>68</v>
      </c>
      <c r="H12" s="1" t="str">
        <f ca="1">IFERROR(__xludf.DUMMYFUNCTION("ARRAYFORMULA(IF(AND(ISBLANK(D12), ISBLANK(F12)), """", IF(JOIN("" "", SORT(TRANSPOSE(SPLIT(LOWER(D12), "" "")))) = JOIN("" "", SORT(TRANSPOSE(SPLIT(LOWER(F12), "" "")))), ""Match"", ""Different"")))"),"Match")</f>
        <v>Match</v>
      </c>
    </row>
    <row r="13" spans="4:8" x14ac:dyDescent="0.2">
      <c r="H13" s="1" t="str">
        <f ca="1">IFERROR(__xludf.DUMMYFUNCTION("IF(OR(ISBLANK(D12), ISBLANK(F12)), """", IF(REDUCE(TRUE, SPLIT(LOWER(TRIM(D12)), "" ""), LAMBDA(acc, word, AND(acc, ISNUMBER(SEARCH(IF(LEN(word)=1, "" ""&amp;word, word), "" ""&amp;LOWER(TRIM(F12))))))) * REDUCE(TRUE, SPLIT(LOWER(TRIM(F12)), "" ""), LAMBDA(acc, w"&amp;"ord, AND(acc, ISNUMBER(SEARCH(IF(LEN(word)=1, "" ""&amp;word, word), "" ""&amp;LOWER(TRIM(D12))))))), ""Match"", ""Different""))"),"Match")</f>
        <v>Match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C8AA0-4868-40C3-AA27-4D29AF688FE6}">
  <sheetPr codeName="Sheet3">
    <outlinePr summaryBelow="0" summaryRight="0"/>
  </sheetPr>
  <dimension ref="A1:AC63"/>
  <sheetViews>
    <sheetView tabSelected="1" zoomScale="70" zoomScaleNormal="70" workbookViewId="0">
      <pane ySplit="1" topLeftCell="A2" activePane="bottomLeft" state="frozen"/>
      <selection pane="bottomLeft" activeCell="T3" sqref="T3:AC3"/>
    </sheetView>
  </sheetViews>
  <sheetFormatPr defaultColWidth="12.5703125" defaultRowHeight="15.75" customHeight="1" x14ac:dyDescent="0.2"/>
  <cols>
    <col min="1" max="1" width="15.42578125" customWidth="1"/>
    <col min="2" max="2" width="33" style="13" customWidth="1"/>
    <col min="4" max="12" width="10.85546875" style="11" customWidth="1"/>
    <col min="14" max="14" width="34.42578125" bestFit="1" customWidth="1"/>
    <col min="15" max="15" width="15.28515625" customWidth="1"/>
  </cols>
  <sheetData>
    <row r="1" spans="1:29" ht="96" customHeight="1" x14ac:dyDescent="0.2">
      <c r="A1" s="3" t="s">
        <v>1</v>
      </c>
      <c r="B1" s="2" t="s">
        <v>0</v>
      </c>
      <c r="C1" s="9" t="s">
        <v>76</v>
      </c>
      <c r="D1" s="9" t="s">
        <v>77</v>
      </c>
      <c r="E1" s="17" t="s">
        <v>78</v>
      </c>
      <c r="F1" s="6" t="s">
        <v>79</v>
      </c>
      <c r="G1" s="6" t="s">
        <v>80</v>
      </c>
      <c r="H1" s="6" t="s">
        <v>81</v>
      </c>
      <c r="I1" s="6" t="s">
        <v>82</v>
      </c>
      <c r="J1" s="6" t="s">
        <v>83</v>
      </c>
      <c r="K1" s="6" t="s">
        <v>84</v>
      </c>
      <c r="L1" s="9" t="s">
        <v>85</v>
      </c>
      <c r="M1" s="30" t="s">
        <v>69</v>
      </c>
      <c r="N1" s="7"/>
      <c r="O1" s="7">
        <v>3</v>
      </c>
      <c r="P1" s="7">
        <v>4</v>
      </c>
      <c r="Q1" s="7">
        <v>5</v>
      </c>
      <c r="R1" s="7"/>
      <c r="T1" s="22">
        <v>5</v>
      </c>
      <c r="U1" s="22">
        <v>3</v>
      </c>
      <c r="V1" s="22">
        <v>5</v>
      </c>
      <c r="W1" s="22">
        <v>4</v>
      </c>
      <c r="X1" s="22">
        <v>3</v>
      </c>
      <c r="Y1" s="22">
        <v>4</v>
      </c>
      <c r="Z1" s="22">
        <v>4</v>
      </c>
      <c r="AA1" s="22">
        <v>5</v>
      </c>
      <c r="AB1" s="22">
        <v>3</v>
      </c>
      <c r="AC1" s="22">
        <v>4</v>
      </c>
    </row>
    <row r="2" spans="1:29" ht="22.5" customHeight="1" x14ac:dyDescent="0.2">
      <c r="A2" s="12">
        <v>1</v>
      </c>
      <c r="B2" s="4" t="s">
        <v>2</v>
      </c>
      <c r="C2" s="10">
        <v>0</v>
      </c>
      <c r="D2" s="10">
        <v>2</v>
      </c>
      <c r="E2" s="10">
        <v>0</v>
      </c>
      <c r="F2" s="10">
        <v>0</v>
      </c>
      <c r="G2" s="10">
        <v>1</v>
      </c>
      <c r="H2" s="10">
        <v>1</v>
      </c>
      <c r="I2" s="10">
        <v>0</v>
      </c>
      <c r="J2" s="10">
        <v>3</v>
      </c>
      <c r="K2" s="10">
        <v>3</v>
      </c>
      <c r="L2" s="10">
        <v>0</v>
      </c>
      <c r="M2" s="29"/>
      <c r="N2" s="7" t="s">
        <v>86</v>
      </c>
      <c r="O2" s="7">
        <f>SUM(D2,G2,K2)</f>
        <v>6</v>
      </c>
      <c r="P2" s="7">
        <f>SUM(F2,H2,I2,L2)</f>
        <v>1</v>
      </c>
      <c r="Q2" s="7">
        <f>SUM(C2,E2,J2)</f>
        <v>3</v>
      </c>
      <c r="R2" s="7"/>
      <c r="T2" s="23">
        <v>0</v>
      </c>
      <c r="U2" s="23">
        <v>2</v>
      </c>
      <c r="V2" s="23">
        <v>0</v>
      </c>
      <c r="W2" s="23">
        <v>0</v>
      </c>
      <c r="X2" s="23">
        <v>1</v>
      </c>
      <c r="Y2" s="23">
        <v>1</v>
      </c>
      <c r="Z2" s="23">
        <v>0</v>
      </c>
      <c r="AA2" s="23">
        <v>3</v>
      </c>
      <c r="AB2" s="23">
        <v>3</v>
      </c>
      <c r="AC2" s="23">
        <v>0</v>
      </c>
    </row>
    <row r="3" spans="1:29" ht="22.5" customHeight="1" x14ac:dyDescent="0.2">
      <c r="A3" s="12">
        <v>2</v>
      </c>
      <c r="B3" s="4" t="s">
        <v>3</v>
      </c>
      <c r="C3" s="10">
        <v>2</v>
      </c>
      <c r="D3" s="10">
        <v>2</v>
      </c>
      <c r="E3" s="10">
        <v>2</v>
      </c>
      <c r="F3" s="10">
        <v>2</v>
      </c>
      <c r="G3" s="10">
        <v>0</v>
      </c>
      <c r="H3" s="10">
        <v>1</v>
      </c>
      <c r="I3" s="10">
        <v>3</v>
      </c>
      <c r="J3" s="10">
        <v>4</v>
      </c>
      <c r="K3" s="10">
        <v>4</v>
      </c>
      <c r="L3" s="10">
        <v>3</v>
      </c>
      <c r="M3" s="11"/>
      <c r="N3" s="7" t="s">
        <v>87</v>
      </c>
      <c r="O3" s="7">
        <f>SUM(D3,G3,K3)</f>
        <v>6</v>
      </c>
      <c r="P3" s="7">
        <f>SUM(F3,H3,I3,L3)</f>
        <v>9</v>
      </c>
      <c r="Q3" s="7">
        <f>SUM(C3,E3,J3)</f>
        <v>8</v>
      </c>
      <c r="R3" s="7"/>
      <c r="T3" s="21">
        <v>2</v>
      </c>
      <c r="U3" s="21">
        <v>2</v>
      </c>
      <c r="V3" s="21">
        <v>2</v>
      </c>
      <c r="W3" s="21">
        <v>2</v>
      </c>
      <c r="X3" s="21">
        <v>0</v>
      </c>
      <c r="Y3" s="21">
        <v>1</v>
      </c>
      <c r="Z3" s="21">
        <v>3</v>
      </c>
      <c r="AA3" s="21">
        <v>4</v>
      </c>
      <c r="AB3" s="21">
        <v>4</v>
      </c>
      <c r="AC3" s="21">
        <v>3</v>
      </c>
    </row>
    <row r="4" spans="1:29" ht="22.5" customHeight="1" x14ac:dyDescent="0.2">
      <c r="A4" s="12">
        <v>3</v>
      </c>
      <c r="B4" s="4" t="s">
        <v>4</v>
      </c>
      <c r="C4" s="10">
        <v>2</v>
      </c>
      <c r="D4" s="10">
        <v>2</v>
      </c>
      <c r="E4" s="10">
        <v>2</v>
      </c>
      <c r="F4" s="10">
        <v>2</v>
      </c>
      <c r="G4" s="10">
        <v>2</v>
      </c>
      <c r="H4" s="10">
        <v>2</v>
      </c>
      <c r="I4" s="10">
        <v>4</v>
      </c>
      <c r="J4" s="10">
        <v>2</v>
      </c>
      <c r="K4" s="10">
        <v>4</v>
      </c>
      <c r="L4" s="10">
        <v>4</v>
      </c>
      <c r="M4" s="11"/>
      <c r="N4" s="7" t="s">
        <v>88</v>
      </c>
      <c r="O4" s="7">
        <f>SUM(U4,X4,AB4)</f>
        <v>4</v>
      </c>
      <c r="P4" s="7">
        <f>SUM(W4,Y4,Z4,AC4)</f>
        <v>12</v>
      </c>
      <c r="Q4" s="7">
        <f>SUM(T4,V4,AA4)</f>
        <v>8</v>
      </c>
      <c r="R4" s="7"/>
      <c r="T4" s="21">
        <v>2</v>
      </c>
      <c r="U4" s="21">
        <v>0</v>
      </c>
      <c r="V4" s="21">
        <v>2</v>
      </c>
      <c r="W4" s="21">
        <v>2</v>
      </c>
      <c r="X4" s="21">
        <v>1</v>
      </c>
      <c r="Y4" s="21">
        <v>2</v>
      </c>
      <c r="Z4" s="21">
        <v>4</v>
      </c>
      <c r="AA4" s="21">
        <v>4</v>
      </c>
      <c r="AB4" s="21">
        <v>3</v>
      </c>
      <c r="AC4" s="21">
        <v>4</v>
      </c>
    </row>
    <row r="5" spans="1:29" ht="22.5" customHeight="1" x14ac:dyDescent="0.2">
      <c r="A5" s="12">
        <v>4</v>
      </c>
      <c r="B5" s="4" t="s">
        <v>5</v>
      </c>
      <c r="C5" s="10">
        <v>2</v>
      </c>
      <c r="D5" s="10">
        <v>2</v>
      </c>
      <c r="E5" s="10">
        <v>2</v>
      </c>
      <c r="F5" s="10">
        <v>2</v>
      </c>
      <c r="G5" s="10">
        <v>0</v>
      </c>
      <c r="H5" s="10">
        <v>2</v>
      </c>
      <c r="I5" s="10">
        <v>3</v>
      </c>
      <c r="J5" s="10">
        <v>4</v>
      </c>
      <c r="K5" s="10">
        <v>3</v>
      </c>
      <c r="L5" s="10">
        <v>4</v>
      </c>
      <c r="M5" s="29"/>
      <c r="N5" s="7" t="s">
        <v>89</v>
      </c>
      <c r="O5" s="7">
        <f>SUM(U5,X5,AB5)</f>
        <v>8</v>
      </c>
      <c r="P5" s="7">
        <f>SUM(W5,Y5,Z5,AC5)</f>
        <v>12</v>
      </c>
      <c r="Q5" s="7">
        <f>SUM(T5,V5,AA5)</f>
        <v>6</v>
      </c>
      <c r="R5" s="7"/>
      <c r="T5" s="23">
        <v>2</v>
      </c>
      <c r="U5" s="23">
        <v>2</v>
      </c>
      <c r="V5" s="23">
        <v>2</v>
      </c>
      <c r="W5" s="23">
        <v>2</v>
      </c>
      <c r="X5" s="23">
        <v>2</v>
      </c>
      <c r="Y5" s="23">
        <v>2</v>
      </c>
      <c r="Z5" s="23">
        <v>4</v>
      </c>
      <c r="AA5" s="23">
        <v>2</v>
      </c>
      <c r="AB5" s="23">
        <v>4</v>
      </c>
      <c r="AC5" s="23">
        <v>4</v>
      </c>
    </row>
    <row r="6" spans="1:29" ht="22.5" customHeight="1" x14ac:dyDescent="0.2">
      <c r="A6" s="12">
        <v>5</v>
      </c>
      <c r="B6" s="4" t="s">
        <v>6</v>
      </c>
      <c r="C6" s="10">
        <v>2</v>
      </c>
      <c r="D6" s="10">
        <v>1</v>
      </c>
      <c r="E6" s="10">
        <v>2</v>
      </c>
      <c r="F6" s="10">
        <v>2</v>
      </c>
      <c r="G6" s="10">
        <v>1</v>
      </c>
      <c r="H6" s="10">
        <v>2</v>
      </c>
      <c r="I6" s="10">
        <v>2</v>
      </c>
      <c r="J6" s="10">
        <v>2</v>
      </c>
      <c r="K6" s="10">
        <v>3</v>
      </c>
      <c r="L6" s="10">
        <v>0</v>
      </c>
      <c r="M6" s="11"/>
      <c r="N6" s="7" t="s">
        <v>90</v>
      </c>
      <c r="O6" s="7">
        <f t="shared" ref="O6:O7" si="0">SUM(U6,X6,AB6)</f>
        <v>5</v>
      </c>
      <c r="P6" s="7">
        <f t="shared" ref="P6:P7" si="1">SUM(W6,Y6,Z6,AC6)</f>
        <v>11</v>
      </c>
      <c r="Q6" s="7">
        <f t="shared" ref="Q6:Q7" si="2">SUM(T6,V6,AA6)</f>
        <v>8</v>
      </c>
      <c r="R6" s="7"/>
      <c r="T6" s="21">
        <v>2</v>
      </c>
      <c r="U6" s="21">
        <v>2</v>
      </c>
      <c r="V6" s="21">
        <v>2</v>
      </c>
      <c r="W6" s="21">
        <v>2</v>
      </c>
      <c r="X6" s="21">
        <v>0</v>
      </c>
      <c r="Y6" s="21">
        <v>2</v>
      </c>
      <c r="Z6" s="21">
        <v>3</v>
      </c>
      <c r="AA6" s="21">
        <v>4</v>
      </c>
      <c r="AB6" s="21">
        <v>3</v>
      </c>
      <c r="AC6" s="21">
        <v>4</v>
      </c>
    </row>
    <row r="7" spans="1:29" ht="22.5" customHeight="1" x14ac:dyDescent="0.2">
      <c r="A7" s="12">
        <v>6</v>
      </c>
      <c r="B7" s="4" t="s">
        <v>7</v>
      </c>
      <c r="C7" s="10">
        <v>2</v>
      </c>
      <c r="D7" s="10">
        <v>2</v>
      </c>
      <c r="E7" s="10">
        <v>2</v>
      </c>
      <c r="F7" s="10">
        <v>2</v>
      </c>
      <c r="G7" s="10">
        <v>0</v>
      </c>
      <c r="H7" s="10">
        <v>2</v>
      </c>
      <c r="I7" s="10">
        <v>0</v>
      </c>
      <c r="J7" s="10">
        <v>4</v>
      </c>
      <c r="K7" s="10">
        <v>3</v>
      </c>
      <c r="L7" s="10">
        <v>3</v>
      </c>
      <c r="M7" s="11"/>
      <c r="N7" s="7" t="s">
        <v>91</v>
      </c>
      <c r="O7" s="7">
        <f t="shared" si="0"/>
        <v>5</v>
      </c>
      <c r="P7" s="7">
        <f t="shared" si="1"/>
        <v>6</v>
      </c>
      <c r="Q7" s="7">
        <f t="shared" si="2"/>
        <v>6</v>
      </c>
      <c r="R7" s="7"/>
      <c r="T7" s="23">
        <v>2</v>
      </c>
      <c r="U7" s="23">
        <v>1</v>
      </c>
      <c r="V7" s="23">
        <v>2</v>
      </c>
      <c r="W7" s="23">
        <v>2</v>
      </c>
      <c r="X7" s="23">
        <v>1</v>
      </c>
      <c r="Y7" s="23">
        <v>2</v>
      </c>
      <c r="Z7" s="23">
        <v>2</v>
      </c>
      <c r="AA7" s="23">
        <v>2</v>
      </c>
      <c r="AB7" s="23">
        <v>3</v>
      </c>
      <c r="AC7" s="23">
        <v>0</v>
      </c>
    </row>
    <row r="8" spans="1:29" ht="22.5" customHeight="1" x14ac:dyDescent="0.2">
      <c r="A8" s="12">
        <v>7</v>
      </c>
      <c r="B8" s="4" t="s">
        <v>8</v>
      </c>
      <c r="C8" s="10">
        <v>0</v>
      </c>
      <c r="D8" s="10">
        <v>2</v>
      </c>
      <c r="E8" s="10">
        <v>2</v>
      </c>
      <c r="F8" s="10">
        <v>0</v>
      </c>
      <c r="G8" s="10">
        <v>2</v>
      </c>
      <c r="H8" s="10">
        <v>1</v>
      </c>
      <c r="I8" s="10">
        <v>3</v>
      </c>
      <c r="J8" s="10">
        <v>2</v>
      </c>
      <c r="K8" s="10">
        <v>2</v>
      </c>
      <c r="L8" s="10">
        <v>2</v>
      </c>
      <c r="M8" s="29"/>
      <c r="N8" s="7" t="s">
        <v>92</v>
      </c>
      <c r="O8" s="7">
        <f>SUM(U8,X8,AB8)</f>
        <v>5</v>
      </c>
      <c r="P8" s="7">
        <f>SUM(W8,Y8,Z8,AC8)</f>
        <v>7</v>
      </c>
      <c r="Q8" s="7">
        <f>SUM(T8,V8,AA8)</f>
        <v>8</v>
      </c>
      <c r="R8" s="7"/>
      <c r="T8" s="21">
        <v>2</v>
      </c>
      <c r="U8" s="21">
        <v>2</v>
      </c>
      <c r="V8" s="21">
        <v>2</v>
      </c>
      <c r="W8" s="21">
        <v>2</v>
      </c>
      <c r="X8" s="21">
        <v>0</v>
      </c>
      <c r="Y8" s="21">
        <v>2</v>
      </c>
      <c r="Z8" s="21">
        <v>0</v>
      </c>
      <c r="AA8" s="21">
        <v>4</v>
      </c>
      <c r="AB8" s="21">
        <v>3</v>
      </c>
      <c r="AC8" s="21">
        <v>3</v>
      </c>
    </row>
    <row r="9" spans="1:29" ht="22.5" customHeight="1" x14ac:dyDescent="0.2">
      <c r="A9" s="12">
        <v>8</v>
      </c>
      <c r="B9" s="4" t="s">
        <v>9</v>
      </c>
      <c r="C9" s="10">
        <v>1</v>
      </c>
      <c r="D9" s="10">
        <v>2</v>
      </c>
      <c r="E9" s="10">
        <v>0</v>
      </c>
      <c r="F9" s="10">
        <v>2</v>
      </c>
      <c r="G9" s="10">
        <v>0</v>
      </c>
      <c r="H9" s="10">
        <v>2</v>
      </c>
      <c r="I9" s="10">
        <v>3</v>
      </c>
      <c r="J9" s="10">
        <v>0</v>
      </c>
      <c r="K9" s="10">
        <v>2</v>
      </c>
      <c r="L9" s="10">
        <v>3</v>
      </c>
      <c r="M9" s="11"/>
      <c r="N9" s="7" t="s">
        <v>93</v>
      </c>
      <c r="O9" s="7">
        <f>SUM(U9,X9,AB9)</f>
        <v>6</v>
      </c>
      <c r="P9" s="7">
        <f>SUM(W9,Y9,Z9,AC9)</f>
        <v>6</v>
      </c>
      <c r="Q9" s="7">
        <f>SUM(T9,V9,AA9)</f>
        <v>4</v>
      </c>
      <c r="R9" s="7"/>
      <c r="T9" s="23">
        <v>0</v>
      </c>
      <c r="U9" s="23">
        <v>2</v>
      </c>
      <c r="V9" s="23">
        <v>2</v>
      </c>
      <c r="W9" s="23">
        <v>0</v>
      </c>
      <c r="X9" s="23">
        <v>2</v>
      </c>
      <c r="Y9" s="23">
        <v>1</v>
      </c>
      <c r="Z9" s="23">
        <v>3</v>
      </c>
      <c r="AA9" s="23">
        <v>2</v>
      </c>
      <c r="AB9" s="23">
        <v>2</v>
      </c>
      <c r="AC9" s="23">
        <v>2</v>
      </c>
    </row>
    <row r="10" spans="1:29" ht="22.5" customHeight="1" x14ac:dyDescent="0.2">
      <c r="A10" s="12">
        <v>9</v>
      </c>
      <c r="B10" s="4" t="s">
        <v>10</v>
      </c>
      <c r="C10" s="10">
        <v>2</v>
      </c>
      <c r="D10" s="10">
        <v>2</v>
      </c>
      <c r="E10" s="10">
        <v>0</v>
      </c>
      <c r="F10" s="10">
        <v>2</v>
      </c>
      <c r="G10" s="10">
        <v>1</v>
      </c>
      <c r="H10" s="10">
        <v>2</v>
      </c>
      <c r="I10" s="10">
        <v>3</v>
      </c>
      <c r="J10" s="10">
        <v>4</v>
      </c>
      <c r="K10" s="10">
        <v>3</v>
      </c>
      <c r="L10" s="10">
        <v>0</v>
      </c>
      <c r="M10" s="11"/>
      <c r="N10" s="7" t="s">
        <v>94</v>
      </c>
      <c r="O10" s="7">
        <f>SUM(U10,X10,AB10)</f>
        <v>4</v>
      </c>
      <c r="P10" s="7">
        <f>SUM(W10,Y10,Z10,AC10)</f>
        <v>10</v>
      </c>
      <c r="Q10" s="7">
        <f>SUM(T10,V10,AA10)</f>
        <v>1</v>
      </c>
      <c r="R10" s="7"/>
      <c r="T10" s="21">
        <v>1</v>
      </c>
      <c r="U10" s="21">
        <v>2</v>
      </c>
      <c r="V10" s="21">
        <v>0</v>
      </c>
      <c r="W10" s="21">
        <v>2</v>
      </c>
      <c r="X10" s="21">
        <v>0</v>
      </c>
      <c r="Y10" s="21">
        <v>2</v>
      </c>
      <c r="Z10" s="21">
        <v>3</v>
      </c>
      <c r="AA10" s="21">
        <v>0</v>
      </c>
      <c r="AB10" s="21">
        <v>2</v>
      </c>
      <c r="AC10" s="21">
        <v>3</v>
      </c>
    </row>
    <row r="11" spans="1:29" ht="22.5" customHeight="1" x14ac:dyDescent="0.2">
      <c r="A11" s="12">
        <v>10</v>
      </c>
      <c r="B11" s="4" t="s">
        <v>11</v>
      </c>
      <c r="C11" s="10">
        <v>2</v>
      </c>
      <c r="D11" s="10">
        <v>2</v>
      </c>
      <c r="E11" s="10">
        <v>2</v>
      </c>
      <c r="F11" s="10">
        <v>2</v>
      </c>
      <c r="G11" s="10">
        <v>0</v>
      </c>
      <c r="H11" s="10">
        <v>2</v>
      </c>
      <c r="I11" s="10">
        <v>4</v>
      </c>
      <c r="J11" s="10">
        <v>0</v>
      </c>
      <c r="K11" s="10">
        <v>4</v>
      </c>
      <c r="L11" s="10">
        <v>4</v>
      </c>
      <c r="M11" s="29"/>
      <c r="N11" s="7" t="s">
        <v>95</v>
      </c>
      <c r="O11" s="7">
        <f>SUM(U11,X11,AB11)</f>
        <v>6</v>
      </c>
      <c r="P11" s="7">
        <f>SUM(W11,Y11,Z11,AC11)</f>
        <v>7</v>
      </c>
      <c r="Q11" s="7">
        <f>SUM(T11,V11,AA11)</f>
        <v>6</v>
      </c>
      <c r="R11" s="7"/>
      <c r="T11" s="23">
        <v>2</v>
      </c>
      <c r="U11" s="23">
        <v>2</v>
      </c>
      <c r="V11" s="23">
        <v>0</v>
      </c>
      <c r="W11" s="23">
        <v>2</v>
      </c>
      <c r="X11" s="23">
        <v>1</v>
      </c>
      <c r="Y11" s="23">
        <v>2</v>
      </c>
      <c r="Z11" s="23">
        <v>3</v>
      </c>
      <c r="AA11" s="23">
        <v>4</v>
      </c>
      <c r="AB11" s="23">
        <v>3</v>
      </c>
      <c r="AC11" s="23">
        <v>0</v>
      </c>
    </row>
    <row r="12" spans="1:29" ht="22.5" customHeight="1" x14ac:dyDescent="0.2">
      <c r="A12" s="12">
        <v>11</v>
      </c>
      <c r="B12" s="4" t="s">
        <v>12</v>
      </c>
      <c r="C12" s="10">
        <v>2</v>
      </c>
      <c r="D12" s="10">
        <v>0</v>
      </c>
      <c r="E12" s="10">
        <v>2</v>
      </c>
      <c r="F12" s="10">
        <v>2</v>
      </c>
      <c r="G12" s="10">
        <v>0</v>
      </c>
      <c r="H12" s="10">
        <v>2</v>
      </c>
      <c r="I12" s="10">
        <v>4</v>
      </c>
      <c r="J12" s="10">
        <v>0</v>
      </c>
      <c r="K12" s="10">
        <v>0</v>
      </c>
      <c r="L12" s="10">
        <v>3</v>
      </c>
      <c r="M12" s="11"/>
      <c r="N12" s="7" t="s">
        <v>96</v>
      </c>
      <c r="O12" s="7">
        <f>SUM(U12,X12,AB12)</f>
        <v>6</v>
      </c>
      <c r="P12" s="7">
        <f>SUM(W12,Y12,Z12,AC12)</f>
        <v>12</v>
      </c>
      <c r="Q12" s="7">
        <f>SUM(T12,V12,AA12)</f>
        <v>4</v>
      </c>
      <c r="R12" s="7"/>
      <c r="T12" s="21">
        <v>2</v>
      </c>
      <c r="U12" s="21">
        <v>2</v>
      </c>
      <c r="V12" s="21">
        <v>2</v>
      </c>
      <c r="W12" s="21">
        <v>2</v>
      </c>
      <c r="X12" s="21">
        <v>0</v>
      </c>
      <c r="Y12" s="21">
        <v>2</v>
      </c>
      <c r="Z12" s="21">
        <v>4</v>
      </c>
      <c r="AA12" s="21">
        <v>0</v>
      </c>
      <c r="AB12" s="21">
        <v>4</v>
      </c>
      <c r="AC12" s="21">
        <v>4</v>
      </c>
    </row>
    <row r="13" spans="1:29" ht="22.5" customHeight="1" x14ac:dyDescent="0.2">
      <c r="A13" s="12">
        <v>12</v>
      </c>
      <c r="B13" s="4" t="s">
        <v>13</v>
      </c>
      <c r="C13" s="10">
        <v>2</v>
      </c>
      <c r="D13" s="10">
        <v>2</v>
      </c>
      <c r="E13" s="10">
        <v>2</v>
      </c>
      <c r="F13" s="10">
        <v>2</v>
      </c>
      <c r="G13" s="10">
        <v>0</v>
      </c>
      <c r="H13" s="10">
        <v>2</v>
      </c>
      <c r="I13" s="10">
        <v>3</v>
      </c>
      <c r="J13" s="10">
        <v>4</v>
      </c>
      <c r="K13" s="10">
        <v>4</v>
      </c>
      <c r="L13" s="10">
        <v>4</v>
      </c>
      <c r="M13" s="11"/>
      <c r="N13" s="7" t="s">
        <v>97</v>
      </c>
      <c r="O13" s="7">
        <f>SUM(U13,X13,AB13)</f>
        <v>0</v>
      </c>
      <c r="P13" s="7">
        <f>SUM(W13,Y13,Z13,AC13)</f>
        <v>11</v>
      </c>
      <c r="Q13" s="7">
        <f>SUM(T13,V13,AA13)</f>
        <v>4</v>
      </c>
      <c r="R13" s="7"/>
      <c r="T13" s="23">
        <v>2</v>
      </c>
      <c r="U13" s="23">
        <v>0</v>
      </c>
      <c r="V13" s="23">
        <v>2</v>
      </c>
      <c r="W13" s="23">
        <v>2</v>
      </c>
      <c r="X13" s="23">
        <v>0</v>
      </c>
      <c r="Y13" s="23">
        <v>2</v>
      </c>
      <c r="Z13" s="23">
        <v>4</v>
      </c>
      <c r="AA13" s="23">
        <v>0</v>
      </c>
      <c r="AB13" s="23">
        <v>0</v>
      </c>
      <c r="AC13" s="23">
        <v>3</v>
      </c>
    </row>
    <row r="14" spans="1:29" ht="22.5" customHeight="1" x14ac:dyDescent="0.2">
      <c r="A14" s="12">
        <v>13</v>
      </c>
      <c r="B14" s="4" t="s">
        <v>14</v>
      </c>
      <c r="C14" s="10">
        <v>1</v>
      </c>
      <c r="D14" s="10">
        <v>2</v>
      </c>
      <c r="E14" s="10">
        <v>2</v>
      </c>
      <c r="F14" s="10">
        <v>2</v>
      </c>
      <c r="G14" s="10">
        <v>0</v>
      </c>
      <c r="H14" s="10">
        <v>2</v>
      </c>
      <c r="I14" s="10">
        <v>0</v>
      </c>
      <c r="J14" s="10">
        <v>4</v>
      </c>
      <c r="K14" s="10">
        <v>4</v>
      </c>
      <c r="L14" s="10">
        <v>3</v>
      </c>
      <c r="M14" s="29"/>
      <c r="N14" s="7" t="s">
        <v>98</v>
      </c>
      <c r="O14" s="7">
        <f>SUM(U14,X14,AB14)</f>
        <v>6</v>
      </c>
      <c r="P14" s="7">
        <f>SUM(W14,Y14,Z14,AC14)</f>
        <v>11</v>
      </c>
      <c r="Q14" s="7">
        <f>SUM(T14,V14,AA14)</f>
        <v>8</v>
      </c>
      <c r="R14" s="7"/>
      <c r="T14" s="21">
        <v>2</v>
      </c>
      <c r="U14" s="21">
        <v>2</v>
      </c>
      <c r="V14" s="21">
        <v>2</v>
      </c>
      <c r="W14" s="21">
        <v>2</v>
      </c>
      <c r="X14" s="21">
        <v>0</v>
      </c>
      <c r="Y14" s="21">
        <v>2</v>
      </c>
      <c r="Z14" s="21">
        <v>3</v>
      </c>
      <c r="AA14" s="21">
        <v>4</v>
      </c>
      <c r="AB14" s="21">
        <v>4</v>
      </c>
      <c r="AC14" s="21">
        <v>4</v>
      </c>
    </row>
    <row r="15" spans="1:29" ht="22.5" customHeight="1" x14ac:dyDescent="0.2">
      <c r="A15" s="12">
        <v>14</v>
      </c>
      <c r="B15" s="4" t="s">
        <v>15</v>
      </c>
      <c r="C15" s="10">
        <v>2</v>
      </c>
      <c r="D15" s="10">
        <v>2</v>
      </c>
      <c r="E15" s="10">
        <v>2</v>
      </c>
      <c r="F15" s="10">
        <v>2</v>
      </c>
      <c r="G15" s="10">
        <v>2</v>
      </c>
      <c r="H15" s="10">
        <v>2</v>
      </c>
      <c r="I15" s="10">
        <v>3</v>
      </c>
      <c r="J15" s="10">
        <v>4</v>
      </c>
      <c r="K15" s="10">
        <v>4</v>
      </c>
      <c r="L15" s="10">
        <v>4</v>
      </c>
      <c r="M15" s="11"/>
      <c r="N15" s="7" t="s">
        <v>99</v>
      </c>
      <c r="O15" s="7">
        <f>SUM(U15,X15,AB15)</f>
        <v>6</v>
      </c>
      <c r="P15" s="7">
        <f>SUM(W15,Y15,Z15,AC15)</f>
        <v>7</v>
      </c>
      <c r="Q15" s="7">
        <f>SUM(T15,V15,AA15)</f>
        <v>7</v>
      </c>
      <c r="R15" s="7"/>
      <c r="T15" s="23">
        <v>1</v>
      </c>
      <c r="U15" s="23">
        <v>2</v>
      </c>
      <c r="V15" s="23">
        <v>2</v>
      </c>
      <c r="W15" s="23">
        <v>2</v>
      </c>
      <c r="X15" s="23">
        <v>0</v>
      </c>
      <c r="Y15" s="23">
        <v>2</v>
      </c>
      <c r="Z15" s="23">
        <v>0</v>
      </c>
      <c r="AA15" s="23">
        <v>4</v>
      </c>
      <c r="AB15" s="23">
        <v>4</v>
      </c>
      <c r="AC15" s="23">
        <v>3</v>
      </c>
    </row>
    <row r="16" spans="1:29" ht="22.5" customHeight="1" x14ac:dyDescent="0.2">
      <c r="A16" s="12">
        <v>15</v>
      </c>
      <c r="B16" s="4" t="s">
        <v>16</v>
      </c>
      <c r="C16" s="10">
        <v>2</v>
      </c>
      <c r="D16" s="10">
        <v>0</v>
      </c>
      <c r="E16" s="10">
        <v>2</v>
      </c>
      <c r="F16" s="10">
        <v>2</v>
      </c>
      <c r="G16" s="10">
        <v>1</v>
      </c>
      <c r="H16" s="10">
        <v>2</v>
      </c>
      <c r="I16" s="10">
        <v>2</v>
      </c>
      <c r="J16" s="10">
        <v>0</v>
      </c>
      <c r="K16" s="10">
        <v>0</v>
      </c>
      <c r="L16" s="10">
        <v>2</v>
      </c>
      <c r="M16" s="11"/>
      <c r="N16" s="7" t="s">
        <v>100</v>
      </c>
      <c r="O16" s="7">
        <f>SUM(U16,X16,AB16)</f>
        <v>8</v>
      </c>
      <c r="P16" s="7">
        <f>SUM(W16,Y16,Z16,AC16)</f>
        <v>11</v>
      </c>
      <c r="Q16" s="7">
        <f>SUM(T16,V16,AA16)</f>
        <v>8</v>
      </c>
      <c r="R16" s="7"/>
      <c r="T16" s="21">
        <v>2</v>
      </c>
      <c r="U16" s="21">
        <v>2</v>
      </c>
      <c r="V16" s="21">
        <v>2</v>
      </c>
      <c r="W16" s="21">
        <v>2</v>
      </c>
      <c r="X16" s="21">
        <v>2</v>
      </c>
      <c r="Y16" s="21">
        <v>2</v>
      </c>
      <c r="Z16" s="21">
        <v>3</v>
      </c>
      <c r="AA16" s="21">
        <v>4</v>
      </c>
      <c r="AB16" s="21">
        <v>4</v>
      </c>
      <c r="AC16" s="21">
        <v>4</v>
      </c>
    </row>
    <row r="17" spans="1:29" ht="22.5" customHeight="1" x14ac:dyDescent="0.2">
      <c r="A17" s="12">
        <v>16</v>
      </c>
      <c r="B17" s="4" t="s">
        <v>17</v>
      </c>
      <c r="C17" s="10">
        <v>2</v>
      </c>
      <c r="D17" s="10">
        <v>2</v>
      </c>
      <c r="E17" s="10">
        <v>2</v>
      </c>
      <c r="F17" s="10">
        <v>1</v>
      </c>
      <c r="G17" s="10">
        <v>0</v>
      </c>
      <c r="H17" s="10">
        <v>2</v>
      </c>
      <c r="I17" s="10">
        <v>1</v>
      </c>
      <c r="J17" s="10">
        <v>4</v>
      </c>
      <c r="K17" s="10">
        <v>2</v>
      </c>
      <c r="L17" s="10">
        <v>1</v>
      </c>
      <c r="M17" s="29"/>
      <c r="N17" s="7" t="s">
        <v>101</v>
      </c>
      <c r="O17" s="7">
        <f>SUM(U17,X17,AB17)</f>
        <v>1</v>
      </c>
      <c r="P17" s="7">
        <f>SUM(W17,Y17,Z17,AC17)</f>
        <v>8</v>
      </c>
      <c r="Q17" s="7">
        <f>SUM(T17,V17,AA17)</f>
        <v>4</v>
      </c>
      <c r="R17" s="7"/>
      <c r="T17" s="23">
        <v>2</v>
      </c>
      <c r="U17" s="23">
        <v>0</v>
      </c>
      <c r="V17" s="23">
        <v>2</v>
      </c>
      <c r="W17" s="23">
        <v>2</v>
      </c>
      <c r="X17" s="23">
        <v>1</v>
      </c>
      <c r="Y17" s="23">
        <v>2</v>
      </c>
      <c r="Z17" s="23">
        <v>2</v>
      </c>
      <c r="AA17" s="23">
        <v>0</v>
      </c>
      <c r="AB17" s="23">
        <v>0</v>
      </c>
      <c r="AC17" s="23">
        <v>2</v>
      </c>
    </row>
    <row r="18" spans="1:29" ht="22.5" customHeight="1" x14ac:dyDescent="0.2">
      <c r="A18" s="12">
        <v>17</v>
      </c>
      <c r="B18" s="4" t="s">
        <v>18</v>
      </c>
      <c r="C18" s="10">
        <v>2</v>
      </c>
      <c r="D18" s="10">
        <v>2</v>
      </c>
      <c r="E18" s="10">
        <v>0</v>
      </c>
      <c r="F18" s="10">
        <v>2</v>
      </c>
      <c r="G18" s="10">
        <v>2</v>
      </c>
      <c r="H18" s="10">
        <v>0</v>
      </c>
      <c r="I18" s="10">
        <v>3</v>
      </c>
      <c r="J18" s="10">
        <v>4</v>
      </c>
      <c r="K18" s="10">
        <v>4</v>
      </c>
      <c r="L18" s="10">
        <v>4</v>
      </c>
      <c r="M18" s="11"/>
      <c r="N18" s="7" t="s">
        <v>102</v>
      </c>
      <c r="O18" s="7">
        <f>SUM(U18,X18,AB18)</f>
        <v>4</v>
      </c>
      <c r="P18" s="7">
        <f>SUM(W18,Y18,Z18,AC18)</f>
        <v>5</v>
      </c>
      <c r="Q18" s="7">
        <f>SUM(T18,V18,AA18)</f>
        <v>8</v>
      </c>
      <c r="R18" s="7"/>
      <c r="T18" s="21">
        <v>2</v>
      </c>
      <c r="U18" s="21">
        <v>2</v>
      </c>
      <c r="V18" s="21">
        <v>2</v>
      </c>
      <c r="W18" s="21">
        <v>1</v>
      </c>
      <c r="X18" s="21">
        <v>0</v>
      </c>
      <c r="Y18" s="21">
        <v>2</v>
      </c>
      <c r="Z18" s="21">
        <v>1</v>
      </c>
      <c r="AA18" s="21">
        <v>4</v>
      </c>
      <c r="AB18" s="21">
        <v>2</v>
      </c>
      <c r="AC18" s="21">
        <v>1</v>
      </c>
    </row>
    <row r="19" spans="1:29" ht="22.5" customHeight="1" x14ac:dyDescent="0.2">
      <c r="A19" s="12">
        <v>18</v>
      </c>
      <c r="B19" s="4" t="s">
        <v>19</v>
      </c>
      <c r="C19" s="10">
        <v>2</v>
      </c>
      <c r="D19" s="10">
        <v>2</v>
      </c>
      <c r="E19" s="10">
        <v>2</v>
      </c>
      <c r="F19" s="10">
        <v>2</v>
      </c>
      <c r="G19" s="10">
        <v>2</v>
      </c>
      <c r="H19" s="10">
        <v>0</v>
      </c>
      <c r="I19" s="10">
        <v>0</v>
      </c>
      <c r="J19" s="10">
        <v>4</v>
      </c>
      <c r="K19" s="10">
        <v>1</v>
      </c>
      <c r="L19" s="10">
        <v>2</v>
      </c>
      <c r="M19" s="11"/>
      <c r="N19" s="7" t="s">
        <v>18</v>
      </c>
      <c r="O19" s="7">
        <f>SUM(U19,X19,AB19)</f>
        <v>8</v>
      </c>
      <c r="P19" s="7">
        <f>SUM(W19,Y19,Z19,AC19)</f>
        <v>9</v>
      </c>
      <c r="Q19" s="7">
        <f>SUM(T19,V19,AA19)</f>
        <v>6</v>
      </c>
      <c r="R19" s="7"/>
      <c r="T19" s="23">
        <v>2</v>
      </c>
      <c r="U19" s="23">
        <v>2</v>
      </c>
      <c r="V19" s="23">
        <v>0</v>
      </c>
      <c r="W19" s="23">
        <v>2</v>
      </c>
      <c r="X19" s="23">
        <v>2</v>
      </c>
      <c r="Y19" s="23">
        <v>0</v>
      </c>
      <c r="Z19" s="23">
        <v>3</v>
      </c>
      <c r="AA19" s="23">
        <v>4</v>
      </c>
      <c r="AB19" s="23">
        <v>4</v>
      </c>
      <c r="AC19" s="23">
        <v>4</v>
      </c>
    </row>
    <row r="20" spans="1:29" ht="22.5" customHeight="1" x14ac:dyDescent="0.2">
      <c r="A20" s="12">
        <v>19</v>
      </c>
      <c r="B20" s="4" t="s">
        <v>20</v>
      </c>
      <c r="C20" s="10">
        <v>2</v>
      </c>
      <c r="D20" s="10">
        <v>2</v>
      </c>
      <c r="E20" s="10">
        <v>2</v>
      </c>
      <c r="F20" s="10">
        <v>2</v>
      </c>
      <c r="G20" s="10">
        <v>2</v>
      </c>
      <c r="H20" s="10">
        <v>2</v>
      </c>
      <c r="I20" s="10">
        <v>3</v>
      </c>
      <c r="J20" s="10">
        <v>4</v>
      </c>
      <c r="K20" s="10">
        <v>4</v>
      </c>
      <c r="L20" s="10">
        <v>4</v>
      </c>
      <c r="M20" s="29"/>
      <c r="N20" s="7" t="s">
        <v>103</v>
      </c>
      <c r="O20" s="7">
        <f>SUM(U20,X20,AB20)</f>
        <v>5</v>
      </c>
      <c r="P20" s="7">
        <f>SUM(W20,Y20,Z20,AC20)</f>
        <v>4</v>
      </c>
      <c r="Q20" s="7">
        <f>SUM(T20,V20,AA20)</f>
        <v>8</v>
      </c>
      <c r="R20" s="7"/>
      <c r="T20" s="21">
        <v>2</v>
      </c>
      <c r="U20" s="21">
        <v>2</v>
      </c>
      <c r="V20" s="21">
        <v>2</v>
      </c>
      <c r="W20" s="21">
        <v>2</v>
      </c>
      <c r="X20" s="21">
        <v>2</v>
      </c>
      <c r="Y20" s="21">
        <v>0</v>
      </c>
      <c r="Z20" s="21">
        <v>0</v>
      </c>
      <c r="AA20" s="21">
        <v>4</v>
      </c>
      <c r="AB20" s="21">
        <v>1</v>
      </c>
      <c r="AC20" s="21">
        <v>2</v>
      </c>
    </row>
    <row r="21" spans="1:29" ht="22.5" customHeight="1" x14ac:dyDescent="0.2">
      <c r="A21" s="12">
        <v>20</v>
      </c>
      <c r="B21" s="4" t="s">
        <v>21</v>
      </c>
      <c r="C21" s="10">
        <v>2</v>
      </c>
      <c r="D21" s="10">
        <v>2</v>
      </c>
      <c r="E21" s="10">
        <v>2</v>
      </c>
      <c r="F21" s="10">
        <v>2</v>
      </c>
      <c r="G21" s="10">
        <v>0</v>
      </c>
      <c r="H21" s="10">
        <v>2</v>
      </c>
      <c r="I21" s="10">
        <v>4</v>
      </c>
      <c r="J21" s="10">
        <v>3</v>
      </c>
      <c r="K21" s="10">
        <v>4</v>
      </c>
      <c r="L21" s="10">
        <v>4</v>
      </c>
      <c r="M21" s="11"/>
      <c r="N21" s="7" t="s">
        <v>104</v>
      </c>
      <c r="O21" s="7">
        <f>SUM(U21,X21,AB21)</f>
        <v>8</v>
      </c>
      <c r="P21" s="7">
        <f>SUM(W21,Y21,Z21,AC21)</f>
        <v>11</v>
      </c>
      <c r="Q21" s="7">
        <f>SUM(T21,V21,AA21)</f>
        <v>8</v>
      </c>
      <c r="R21" s="7"/>
      <c r="T21" s="23">
        <v>2</v>
      </c>
      <c r="U21" s="23">
        <v>2</v>
      </c>
      <c r="V21" s="23">
        <v>2</v>
      </c>
      <c r="W21" s="23">
        <v>2</v>
      </c>
      <c r="X21" s="23">
        <v>2</v>
      </c>
      <c r="Y21" s="23">
        <v>2</v>
      </c>
      <c r="Z21" s="23">
        <v>3</v>
      </c>
      <c r="AA21" s="23">
        <v>4</v>
      </c>
      <c r="AB21" s="23">
        <v>4</v>
      </c>
      <c r="AC21" s="23">
        <v>4</v>
      </c>
    </row>
    <row r="22" spans="1:29" ht="22.5" customHeight="1" x14ac:dyDescent="0.2">
      <c r="A22" s="12">
        <v>21</v>
      </c>
      <c r="B22" s="4" t="s">
        <v>22</v>
      </c>
      <c r="C22" s="10">
        <v>2</v>
      </c>
      <c r="D22" s="10">
        <v>2</v>
      </c>
      <c r="E22" s="10">
        <v>2</v>
      </c>
      <c r="F22" s="10">
        <v>2</v>
      </c>
      <c r="G22" s="10">
        <v>1</v>
      </c>
      <c r="H22" s="10">
        <v>2</v>
      </c>
      <c r="I22" s="10">
        <v>3</v>
      </c>
      <c r="J22" s="10">
        <v>3</v>
      </c>
      <c r="K22" s="10">
        <v>4</v>
      </c>
      <c r="L22" s="10">
        <v>0</v>
      </c>
      <c r="M22" s="11"/>
      <c r="N22" s="7" t="s">
        <v>105</v>
      </c>
      <c r="O22" s="7">
        <f>SUM(U22,X22,AB22)</f>
        <v>6</v>
      </c>
      <c r="P22" s="7">
        <f>SUM(W22,Y22,Z22,AC22)</f>
        <v>12</v>
      </c>
      <c r="Q22" s="7">
        <f>SUM(T22,V22,AA22)</f>
        <v>7</v>
      </c>
      <c r="R22" s="7"/>
      <c r="T22" s="21">
        <v>2</v>
      </c>
      <c r="U22" s="21">
        <v>2</v>
      </c>
      <c r="V22" s="21">
        <v>2</v>
      </c>
      <c r="W22" s="21">
        <v>2</v>
      </c>
      <c r="X22" s="21">
        <v>0</v>
      </c>
      <c r="Y22" s="21">
        <v>2</v>
      </c>
      <c r="Z22" s="21">
        <v>4</v>
      </c>
      <c r="AA22" s="21">
        <v>3</v>
      </c>
      <c r="AB22" s="21">
        <v>4</v>
      </c>
      <c r="AC22" s="21">
        <v>4</v>
      </c>
    </row>
    <row r="23" spans="1:29" ht="22.5" customHeight="1" x14ac:dyDescent="0.2">
      <c r="A23" s="12">
        <v>22</v>
      </c>
      <c r="B23" s="4" t="s">
        <v>23</v>
      </c>
      <c r="C23" s="10">
        <v>2</v>
      </c>
      <c r="D23" s="10">
        <v>2</v>
      </c>
      <c r="E23" s="10">
        <v>2</v>
      </c>
      <c r="F23" s="10">
        <v>2</v>
      </c>
      <c r="G23" s="10">
        <v>1</v>
      </c>
      <c r="H23" s="10">
        <v>2</v>
      </c>
      <c r="I23" s="10">
        <v>3</v>
      </c>
      <c r="J23" s="10">
        <v>4</v>
      </c>
      <c r="K23" s="10">
        <v>4</v>
      </c>
      <c r="L23" s="10">
        <v>4</v>
      </c>
      <c r="M23" s="29"/>
      <c r="N23" s="7" t="s">
        <v>106</v>
      </c>
      <c r="O23" s="7">
        <f>SUM(U23,X23,AB23)</f>
        <v>7</v>
      </c>
      <c r="P23" s="7">
        <f>SUM(W23,Y23,Z23,AC23)</f>
        <v>7</v>
      </c>
      <c r="Q23" s="7">
        <f>SUM(T23,V23,AA23)</f>
        <v>7</v>
      </c>
      <c r="R23" s="7"/>
      <c r="T23" s="23">
        <v>2</v>
      </c>
      <c r="U23" s="23">
        <v>2</v>
      </c>
      <c r="V23" s="23">
        <v>2</v>
      </c>
      <c r="W23" s="23">
        <v>2</v>
      </c>
      <c r="X23" s="23">
        <v>1</v>
      </c>
      <c r="Y23" s="23">
        <v>2</v>
      </c>
      <c r="Z23" s="23">
        <v>3</v>
      </c>
      <c r="AA23" s="23">
        <v>3</v>
      </c>
      <c r="AB23" s="23">
        <v>4</v>
      </c>
      <c r="AC23" s="23">
        <v>0</v>
      </c>
    </row>
    <row r="24" spans="1:29" ht="22.5" customHeight="1" x14ac:dyDescent="0.2">
      <c r="A24" s="12">
        <v>23</v>
      </c>
      <c r="B24" s="4" t="s">
        <v>24</v>
      </c>
      <c r="C24" s="10">
        <v>2</v>
      </c>
      <c r="D24" s="10">
        <v>2</v>
      </c>
      <c r="E24" s="10">
        <v>0</v>
      </c>
      <c r="F24" s="10">
        <v>0</v>
      </c>
      <c r="G24" s="10">
        <v>0</v>
      </c>
      <c r="H24" s="10">
        <v>2</v>
      </c>
      <c r="I24" s="10">
        <v>4</v>
      </c>
      <c r="J24" s="10">
        <v>0</v>
      </c>
      <c r="K24" s="10">
        <v>4</v>
      </c>
      <c r="L24" s="10">
        <v>3</v>
      </c>
      <c r="M24" s="11"/>
      <c r="N24" s="24" t="s">
        <v>107</v>
      </c>
      <c r="O24" s="7">
        <f>SUM(U24,X24,AB24)</f>
        <v>7</v>
      </c>
      <c r="P24" s="7">
        <f>SUM(W24,Y24,Z24,AC24)</f>
        <v>11</v>
      </c>
      <c r="Q24" s="7">
        <f>SUM(T24,V24,AA24)</f>
        <v>8</v>
      </c>
      <c r="R24" s="7"/>
      <c r="T24" s="21">
        <v>2</v>
      </c>
      <c r="U24" s="21">
        <v>2</v>
      </c>
      <c r="V24" s="21">
        <v>2</v>
      </c>
      <c r="W24" s="21">
        <v>2</v>
      </c>
      <c r="X24" s="21">
        <v>1</v>
      </c>
      <c r="Y24" s="21">
        <v>2</v>
      </c>
      <c r="Z24" s="21">
        <v>3</v>
      </c>
      <c r="AA24" s="21">
        <v>4</v>
      </c>
      <c r="AB24" s="21">
        <v>4</v>
      </c>
      <c r="AC24" s="21">
        <v>4</v>
      </c>
    </row>
    <row r="25" spans="1:29" ht="22.5" customHeight="1" x14ac:dyDescent="0.2">
      <c r="A25" s="12">
        <v>24</v>
      </c>
      <c r="B25" s="4" t="s">
        <v>25</v>
      </c>
      <c r="C25" s="10">
        <v>2</v>
      </c>
      <c r="D25" s="10">
        <v>2</v>
      </c>
      <c r="E25" s="10">
        <v>2</v>
      </c>
      <c r="F25" s="10">
        <v>0</v>
      </c>
      <c r="G25" s="10">
        <v>0</v>
      </c>
      <c r="H25" s="10">
        <v>2</v>
      </c>
      <c r="I25" s="10">
        <v>4</v>
      </c>
      <c r="J25" s="10">
        <v>4</v>
      </c>
      <c r="K25" s="10">
        <v>4</v>
      </c>
      <c r="L25" s="10">
        <v>3</v>
      </c>
      <c r="M25" s="11"/>
      <c r="N25" s="7" t="s">
        <v>108</v>
      </c>
      <c r="O25" s="7">
        <f t="shared" ref="O25" si="3">SUM(U25,X25,AB25)</f>
        <v>5</v>
      </c>
      <c r="P25" s="7">
        <f t="shared" ref="P25" si="4">SUM(W25,Y25,Z25,AC25)</f>
        <v>6</v>
      </c>
      <c r="Q25" s="7">
        <f t="shared" ref="Q25" si="5">SUM(T25,V25,AA25)</f>
        <v>8</v>
      </c>
      <c r="R25" s="7"/>
      <c r="T25" s="23">
        <v>2</v>
      </c>
      <c r="U25" s="23">
        <v>2</v>
      </c>
      <c r="V25" s="23">
        <v>2</v>
      </c>
      <c r="W25" s="23">
        <v>0</v>
      </c>
      <c r="X25" s="23">
        <v>0</v>
      </c>
      <c r="Y25" s="23">
        <v>2</v>
      </c>
      <c r="Z25" s="23">
        <v>0</v>
      </c>
      <c r="AA25" s="23">
        <v>4</v>
      </c>
      <c r="AB25" s="23">
        <v>3</v>
      </c>
      <c r="AC25" s="23">
        <v>4</v>
      </c>
    </row>
    <row r="26" spans="1:29" ht="22.5" customHeight="1" x14ac:dyDescent="0.2">
      <c r="A26" s="12">
        <v>25</v>
      </c>
      <c r="B26" s="4" t="s">
        <v>26</v>
      </c>
      <c r="C26" s="10">
        <v>2</v>
      </c>
      <c r="D26" s="10">
        <v>2</v>
      </c>
      <c r="E26" s="10">
        <v>2</v>
      </c>
      <c r="F26" s="10">
        <v>2</v>
      </c>
      <c r="G26" s="10">
        <v>2</v>
      </c>
      <c r="H26" s="10">
        <v>0</v>
      </c>
      <c r="I26" s="10">
        <v>3</v>
      </c>
      <c r="J26" s="10">
        <v>0</v>
      </c>
      <c r="K26" s="10">
        <v>3</v>
      </c>
      <c r="L26" s="10">
        <v>0</v>
      </c>
      <c r="M26" s="29"/>
      <c r="N26" s="7" t="s">
        <v>109</v>
      </c>
      <c r="O26" s="7">
        <f t="shared" ref="O26:O63" si="6">SUM(U26,X26,AB26)</f>
        <v>6</v>
      </c>
      <c r="P26" s="7">
        <f t="shared" ref="P26:P63" si="7">SUM(W26,Y26,Z26,AC26)</f>
        <v>9</v>
      </c>
      <c r="Q26" s="7">
        <f t="shared" ref="Q26:Q63" si="8">SUM(T26,V26,AA26)</f>
        <v>2</v>
      </c>
      <c r="R26" s="7"/>
      <c r="T26" s="23">
        <v>2</v>
      </c>
      <c r="U26" s="23">
        <v>2</v>
      </c>
      <c r="V26" s="23">
        <v>0</v>
      </c>
      <c r="W26" s="23">
        <v>0</v>
      </c>
      <c r="X26" s="23">
        <v>0</v>
      </c>
      <c r="Y26" s="23">
        <v>2</v>
      </c>
      <c r="Z26" s="23">
        <v>4</v>
      </c>
      <c r="AA26" s="23">
        <v>0</v>
      </c>
      <c r="AB26" s="23">
        <v>4</v>
      </c>
      <c r="AC26" s="23">
        <v>3</v>
      </c>
    </row>
    <row r="27" spans="1:29" ht="22.5" customHeight="1" x14ac:dyDescent="0.2">
      <c r="A27" s="12">
        <v>26</v>
      </c>
      <c r="B27" s="4" t="s">
        <v>27</v>
      </c>
      <c r="C27" s="10">
        <v>1</v>
      </c>
      <c r="D27" s="10">
        <v>1</v>
      </c>
      <c r="E27" s="10">
        <v>0</v>
      </c>
      <c r="F27" s="10">
        <v>0</v>
      </c>
      <c r="G27" s="10">
        <v>0</v>
      </c>
      <c r="H27" s="10">
        <v>1</v>
      </c>
      <c r="I27" s="10">
        <v>0</v>
      </c>
      <c r="J27" s="10">
        <v>0</v>
      </c>
      <c r="K27" s="10">
        <v>3</v>
      </c>
      <c r="L27" s="10">
        <v>2</v>
      </c>
      <c r="M27" s="11"/>
      <c r="N27" s="7" t="s">
        <v>110</v>
      </c>
      <c r="O27" s="7">
        <f t="shared" si="6"/>
        <v>6</v>
      </c>
      <c r="P27" s="7">
        <f t="shared" si="7"/>
        <v>9</v>
      </c>
      <c r="Q27" s="7">
        <f t="shared" si="8"/>
        <v>8</v>
      </c>
      <c r="R27" s="7"/>
      <c r="T27" s="21">
        <v>2</v>
      </c>
      <c r="U27" s="21">
        <v>2</v>
      </c>
      <c r="V27" s="21">
        <v>2</v>
      </c>
      <c r="W27" s="21">
        <v>0</v>
      </c>
      <c r="X27" s="21">
        <v>0</v>
      </c>
      <c r="Y27" s="21">
        <v>2</v>
      </c>
      <c r="Z27" s="21">
        <v>4</v>
      </c>
      <c r="AA27" s="21">
        <v>4</v>
      </c>
      <c r="AB27" s="21">
        <v>4</v>
      </c>
      <c r="AC27" s="21">
        <v>3</v>
      </c>
    </row>
    <row r="28" spans="1:29" ht="22.5" customHeight="1" x14ac:dyDescent="0.2">
      <c r="A28" s="12">
        <v>27</v>
      </c>
      <c r="B28" s="4" t="s">
        <v>28</v>
      </c>
      <c r="C28" s="10">
        <v>2</v>
      </c>
      <c r="D28" s="10">
        <v>2</v>
      </c>
      <c r="E28" s="10">
        <v>2</v>
      </c>
      <c r="F28" s="10">
        <v>2</v>
      </c>
      <c r="G28" s="10">
        <v>1</v>
      </c>
      <c r="H28" s="10">
        <v>2</v>
      </c>
      <c r="I28" s="10">
        <v>4</v>
      </c>
      <c r="J28" s="10">
        <v>4</v>
      </c>
      <c r="K28" s="10">
        <v>4</v>
      </c>
      <c r="L28" s="10">
        <v>4</v>
      </c>
      <c r="M28" s="11"/>
      <c r="N28" s="7" t="s">
        <v>111</v>
      </c>
      <c r="O28" s="7">
        <f t="shared" si="6"/>
        <v>7</v>
      </c>
      <c r="P28" s="7">
        <f t="shared" si="7"/>
        <v>5</v>
      </c>
      <c r="Q28" s="7">
        <f t="shared" si="8"/>
        <v>4</v>
      </c>
      <c r="R28" s="7"/>
      <c r="T28" s="23">
        <v>2</v>
      </c>
      <c r="U28" s="23">
        <v>2</v>
      </c>
      <c r="V28" s="23">
        <v>2</v>
      </c>
      <c r="W28" s="23">
        <v>2</v>
      </c>
      <c r="X28" s="23">
        <v>2</v>
      </c>
      <c r="Y28" s="23">
        <v>0</v>
      </c>
      <c r="Z28" s="23">
        <v>3</v>
      </c>
      <c r="AA28" s="23">
        <v>0</v>
      </c>
      <c r="AB28" s="23">
        <v>3</v>
      </c>
      <c r="AC28" s="23">
        <v>0</v>
      </c>
    </row>
    <row r="29" spans="1:29" ht="22.5" customHeight="1" x14ac:dyDescent="0.2">
      <c r="A29" s="12">
        <v>28</v>
      </c>
      <c r="B29" s="4" t="s">
        <v>29</v>
      </c>
      <c r="C29" s="10">
        <v>2</v>
      </c>
      <c r="D29" s="10">
        <v>1</v>
      </c>
      <c r="E29" s="10">
        <v>0</v>
      </c>
      <c r="F29" s="10">
        <v>2</v>
      </c>
      <c r="G29" s="10">
        <v>1</v>
      </c>
      <c r="H29" s="10">
        <v>2</v>
      </c>
      <c r="I29" s="10">
        <v>4</v>
      </c>
      <c r="J29" s="10">
        <v>4</v>
      </c>
      <c r="K29" s="10">
        <v>3</v>
      </c>
      <c r="L29" s="10">
        <v>3</v>
      </c>
      <c r="M29" s="29"/>
      <c r="N29" s="7" t="s">
        <v>112</v>
      </c>
      <c r="O29" s="7">
        <f t="shared" si="6"/>
        <v>4</v>
      </c>
      <c r="P29" s="7">
        <f t="shared" si="7"/>
        <v>3</v>
      </c>
      <c r="Q29" s="7">
        <f t="shared" si="8"/>
        <v>1</v>
      </c>
      <c r="R29" s="7"/>
      <c r="T29" s="21">
        <v>1</v>
      </c>
      <c r="U29" s="21">
        <v>1</v>
      </c>
      <c r="V29" s="21">
        <v>0</v>
      </c>
      <c r="W29" s="21">
        <v>0</v>
      </c>
      <c r="X29" s="21">
        <v>0</v>
      </c>
      <c r="Y29" s="21">
        <v>1</v>
      </c>
      <c r="Z29" s="21">
        <v>0</v>
      </c>
      <c r="AA29" s="21">
        <v>0</v>
      </c>
      <c r="AB29" s="21">
        <v>3</v>
      </c>
      <c r="AC29" s="21">
        <v>2</v>
      </c>
    </row>
    <row r="30" spans="1:29" ht="22.5" customHeight="1" x14ac:dyDescent="0.2">
      <c r="A30" s="12">
        <v>29</v>
      </c>
      <c r="B30" s="4" t="s">
        <v>30</v>
      </c>
      <c r="C30" s="10">
        <v>2</v>
      </c>
      <c r="D30" s="10">
        <v>2</v>
      </c>
      <c r="E30" s="10">
        <v>0</v>
      </c>
      <c r="F30" s="10">
        <v>2</v>
      </c>
      <c r="G30" s="10">
        <v>1</v>
      </c>
      <c r="H30" s="10">
        <v>2</v>
      </c>
      <c r="I30" s="10">
        <v>4</v>
      </c>
      <c r="J30" s="10">
        <v>3</v>
      </c>
      <c r="K30" s="10">
        <v>4</v>
      </c>
      <c r="L30" s="10">
        <v>4</v>
      </c>
      <c r="M30" s="11"/>
      <c r="N30" s="7" t="s">
        <v>113</v>
      </c>
      <c r="O30" s="7">
        <f t="shared" si="6"/>
        <v>7</v>
      </c>
      <c r="P30" s="7">
        <f t="shared" si="7"/>
        <v>12</v>
      </c>
      <c r="Q30" s="7">
        <f t="shared" si="8"/>
        <v>8</v>
      </c>
      <c r="R30" s="7"/>
      <c r="T30" s="23">
        <v>2</v>
      </c>
      <c r="U30" s="23">
        <v>2</v>
      </c>
      <c r="V30" s="23">
        <v>2</v>
      </c>
      <c r="W30" s="23">
        <v>2</v>
      </c>
      <c r="X30" s="23">
        <v>1</v>
      </c>
      <c r="Y30" s="23">
        <v>2</v>
      </c>
      <c r="Z30" s="23">
        <v>4</v>
      </c>
      <c r="AA30" s="23">
        <v>4</v>
      </c>
      <c r="AB30" s="23">
        <v>4</v>
      </c>
      <c r="AC30" s="23">
        <v>4</v>
      </c>
    </row>
    <row r="31" spans="1:29" ht="22.5" customHeight="1" x14ac:dyDescent="0.2">
      <c r="A31" s="12">
        <v>30</v>
      </c>
      <c r="B31" s="4" t="s">
        <v>31</v>
      </c>
      <c r="C31" s="10">
        <v>2</v>
      </c>
      <c r="D31" s="10">
        <v>2</v>
      </c>
      <c r="E31" s="10">
        <v>2</v>
      </c>
      <c r="F31" s="10">
        <v>2</v>
      </c>
      <c r="G31" s="10">
        <v>1</v>
      </c>
      <c r="H31" s="10">
        <v>2</v>
      </c>
      <c r="I31" s="10">
        <v>4</v>
      </c>
      <c r="J31" s="10">
        <v>4</v>
      </c>
      <c r="K31" s="10">
        <v>4</v>
      </c>
      <c r="L31" s="10">
        <v>0</v>
      </c>
      <c r="M31" s="11"/>
      <c r="N31" s="7" t="s">
        <v>114</v>
      </c>
      <c r="O31" s="7">
        <f t="shared" si="6"/>
        <v>5</v>
      </c>
      <c r="P31" s="7">
        <f t="shared" si="7"/>
        <v>11</v>
      </c>
      <c r="Q31" s="7">
        <f t="shared" si="8"/>
        <v>6</v>
      </c>
      <c r="R31" s="7"/>
      <c r="T31" s="21">
        <v>2</v>
      </c>
      <c r="U31" s="21">
        <v>1</v>
      </c>
      <c r="V31" s="21">
        <v>0</v>
      </c>
      <c r="W31" s="21">
        <v>2</v>
      </c>
      <c r="X31" s="21">
        <v>1</v>
      </c>
      <c r="Y31" s="21">
        <v>2</v>
      </c>
      <c r="Z31" s="21">
        <v>4</v>
      </c>
      <c r="AA31" s="21">
        <v>4</v>
      </c>
      <c r="AB31" s="21">
        <v>3</v>
      </c>
      <c r="AC31" s="21">
        <v>3</v>
      </c>
    </row>
    <row r="32" spans="1:29" ht="22.5" customHeight="1" x14ac:dyDescent="0.2">
      <c r="A32" s="12">
        <v>31</v>
      </c>
      <c r="B32" s="4" t="s">
        <v>32</v>
      </c>
      <c r="C32" s="10">
        <v>2</v>
      </c>
      <c r="D32" s="10">
        <v>2</v>
      </c>
      <c r="E32" s="10">
        <v>2</v>
      </c>
      <c r="F32" s="10">
        <v>2</v>
      </c>
      <c r="G32" s="10">
        <v>0</v>
      </c>
      <c r="H32" s="10">
        <v>0</v>
      </c>
      <c r="I32" s="10">
        <v>4</v>
      </c>
      <c r="J32" s="10">
        <v>0</v>
      </c>
      <c r="K32" s="10">
        <v>4</v>
      </c>
      <c r="L32" s="10">
        <v>4</v>
      </c>
      <c r="M32" s="29"/>
      <c r="N32" s="7" t="s">
        <v>115</v>
      </c>
      <c r="O32" s="7">
        <f t="shared" si="6"/>
        <v>7</v>
      </c>
      <c r="P32" s="7">
        <f t="shared" si="7"/>
        <v>12</v>
      </c>
      <c r="Q32" s="7">
        <f t="shared" si="8"/>
        <v>5</v>
      </c>
      <c r="R32" s="7"/>
      <c r="T32" s="23">
        <v>2</v>
      </c>
      <c r="U32" s="23">
        <v>2</v>
      </c>
      <c r="V32" s="23">
        <v>0</v>
      </c>
      <c r="W32" s="23">
        <v>2</v>
      </c>
      <c r="X32" s="23">
        <v>1</v>
      </c>
      <c r="Y32" s="23">
        <v>2</v>
      </c>
      <c r="Z32" s="23">
        <v>4</v>
      </c>
      <c r="AA32" s="23">
        <v>3</v>
      </c>
      <c r="AB32" s="23">
        <v>4</v>
      </c>
      <c r="AC32" s="23">
        <v>4</v>
      </c>
    </row>
    <row r="33" spans="1:29" ht="22.5" customHeight="1" x14ac:dyDescent="0.2">
      <c r="A33" s="12">
        <v>32</v>
      </c>
      <c r="B33" s="4" t="s">
        <v>33</v>
      </c>
      <c r="C33" s="10">
        <v>0</v>
      </c>
      <c r="D33" s="10">
        <v>2</v>
      </c>
      <c r="E33" s="10">
        <v>0</v>
      </c>
      <c r="F33" s="10">
        <v>0</v>
      </c>
      <c r="G33" s="10">
        <v>0</v>
      </c>
      <c r="H33" s="10">
        <v>1</v>
      </c>
      <c r="I33" s="10">
        <v>0</v>
      </c>
      <c r="J33" s="10">
        <v>0</v>
      </c>
      <c r="K33" s="10">
        <v>1</v>
      </c>
      <c r="L33" s="10">
        <v>0</v>
      </c>
      <c r="M33" s="11"/>
      <c r="N33" s="7" t="s">
        <v>31</v>
      </c>
      <c r="O33" s="7">
        <f t="shared" si="6"/>
        <v>7</v>
      </c>
      <c r="P33" s="7">
        <f t="shared" si="7"/>
        <v>8</v>
      </c>
      <c r="Q33" s="7">
        <f t="shared" si="8"/>
        <v>8</v>
      </c>
      <c r="R33" s="7"/>
      <c r="T33" s="21">
        <v>2</v>
      </c>
      <c r="U33" s="21">
        <v>2</v>
      </c>
      <c r="V33" s="21">
        <v>2</v>
      </c>
      <c r="W33" s="21">
        <v>2</v>
      </c>
      <c r="X33" s="21">
        <v>1</v>
      </c>
      <c r="Y33" s="21">
        <v>2</v>
      </c>
      <c r="Z33" s="21">
        <v>4</v>
      </c>
      <c r="AA33" s="21">
        <v>4</v>
      </c>
      <c r="AB33" s="21">
        <v>4</v>
      </c>
      <c r="AC33" s="21">
        <v>0</v>
      </c>
    </row>
    <row r="34" spans="1:29" ht="22.5" customHeight="1" x14ac:dyDescent="0.2">
      <c r="A34" s="12">
        <v>33</v>
      </c>
      <c r="B34" s="4" t="s">
        <v>34</v>
      </c>
      <c r="C34" s="10">
        <v>2</v>
      </c>
      <c r="D34" s="10">
        <v>2</v>
      </c>
      <c r="E34" s="10">
        <v>2</v>
      </c>
      <c r="F34" s="10">
        <v>2</v>
      </c>
      <c r="G34" s="10">
        <v>0</v>
      </c>
      <c r="H34" s="10">
        <v>2</v>
      </c>
      <c r="I34" s="10">
        <v>3</v>
      </c>
      <c r="J34" s="10">
        <v>4</v>
      </c>
      <c r="K34" s="10">
        <v>3</v>
      </c>
      <c r="L34" s="10">
        <v>3</v>
      </c>
      <c r="M34" s="11"/>
      <c r="N34" s="7" t="s">
        <v>116</v>
      </c>
      <c r="O34" s="7">
        <f t="shared" si="6"/>
        <v>6</v>
      </c>
      <c r="P34" s="7">
        <f t="shared" si="7"/>
        <v>10</v>
      </c>
      <c r="Q34" s="7">
        <f t="shared" si="8"/>
        <v>4</v>
      </c>
      <c r="R34" s="7"/>
      <c r="T34" s="23">
        <v>2</v>
      </c>
      <c r="U34" s="23">
        <v>2</v>
      </c>
      <c r="V34" s="23">
        <v>2</v>
      </c>
      <c r="W34" s="23">
        <v>2</v>
      </c>
      <c r="X34" s="23">
        <v>0</v>
      </c>
      <c r="Y34" s="23">
        <v>0</v>
      </c>
      <c r="Z34" s="23">
        <v>4</v>
      </c>
      <c r="AA34" s="23">
        <v>0</v>
      </c>
      <c r="AB34" s="23">
        <v>4</v>
      </c>
      <c r="AC34" s="23">
        <v>4</v>
      </c>
    </row>
    <row r="35" spans="1:29" ht="22.5" customHeight="1" x14ac:dyDescent="0.2">
      <c r="A35" s="12">
        <v>34</v>
      </c>
      <c r="B35" s="4" t="s">
        <v>35</v>
      </c>
      <c r="C35" s="10">
        <v>2</v>
      </c>
      <c r="D35" s="10">
        <v>2</v>
      </c>
      <c r="E35" s="10">
        <v>0</v>
      </c>
      <c r="F35" s="10">
        <v>2</v>
      </c>
      <c r="G35" s="10">
        <v>0</v>
      </c>
      <c r="H35" s="10">
        <v>1</v>
      </c>
      <c r="I35" s="10">
        <v>2</v>
      </c>
      <c r="J35" s="10">
        <v>0</v>
      </c>
      <c r="K35" s="10">
        <v>0</v>
      </c>
      <c r="L35" s="10">
        <v>0</v>
      </c>
      <c r="M35" s="29"/>
      <c r="N35" s="7" t="s">
        <v>117</v>
      </c>
      <c r="O35" s="7">
        <f t="shared" si="6"/>
        <v>3</v>
      </c>
      <c r="P35" s="7">
        <f t="shared" si="7"/>
        <v>1</v>
      </c>
      <c r="Q35" s="7">
        <f t="shared" si="8"/>
        <v>0</v>
      </c>
      <c r="R35" s="7"/>
      <c r="T35" s="21">
        <v>0</v>
      </c>
      <c r="U35" s="21">
        <v>2</v>
      </c>
      <c r="V35" s="21">
        <v>0</v>
      </c>
      <c r="W35" s="21">
        <v>0</v>
      </c>
      <c r="X35" s="21">
        <v>0</v>
      </c>
      <c r="Y35" s="21">
        <v>1</v>
      </c>
      <c r="Z35" s="21">
        <v>0</v>
      </c>
      <c r="AA35" s="21">
        <v>0</v>
      </c>
      <c r="AB35" s="21">
        <v>1</v>
      </c>
      <c r="AC35" s="21">
        <v>0</v>
      </c>
    </row>
    <row r="36" spans="1:29" ht="22.5" customHeight="1" x14ac:dyDescent="0.2">
      <c r="A36" s="12">
        <v>35</v>
      </c>
      <c r="B36" s="4" t="s">
        <v>36</v>
      </c>
      <c r="C36" s="10">
        <v>2</v>
      </c>
      <c r="D36" s="10">
        <v>2</v>
      </c>
      <c r="E36" s="10">
        <v>2</v>
      </c>
      <c r="F36" s="10">
        <v>2</v>
      </c>
      <c r="G36" s="10">
        <v>0</v>
      </c>
      <c r="H36" s="10">
        <v>2</v>
      </c>
      <c r="I36" s="10">
        <v>3</v>
      </c>
      <c r="J36" s="10">
        <v>3</v>
      </c>
      <c r="K36" s="10">
        <v>4</v>
      </c>
      <c r="L36" s="10">
        <v>4</v>
      </c>
      <c r="M36" s="11"/>
      <c r="N36" s="7" t="s">
        <v>118</v>
      </c>
      <c r="O36" s="7">
        <f t="shared" si="6"/>
        <v>5</v>
      </c>
      <c r="P36" s="7">
        <f t="shared" si="7"/>
        <v>10</v>
      </c>
      <c r="Q36" s="7">
        <f t="shared" si="8"/>
        <v>8</v>
      </c>
      <c r="R36" s="7"/>
      <c r="T36" s="23">
        <v>2</v>
      </c>
      <c r="U36" s="23">
        <v>2</v>
      </c>
      <c r="V36" s="23">
        <v>2</v>
      </c>
      <c r="W36" s="23">
        <v>2</v>
      </c>
      <c r="X36" s="23">
        <v>0</v>
      </c>
      <c r="Y36" s="23">
        <v>2</v>
      </c>
      <c r="Z36" s="23">
        <v>3</v>
      </c>
      <c r="AA36" s="23">
        <v>4</v>
      </c>
      <c r="AB36" s="23">
        <v>3</v>
      </c>
      <c r="AC36" s="23">
        <v>3</v>
      </c>
    </row>
    <row r="37" spans="1:29" ht="22.5" customHeight="1" x14ac:dyDescent="0.2">
      <c r="A37" s="12">
        <v>36</v>
      </c>
      <c r="B37" s="4" t="s">
        <v>37</v>
      </c>
      <c r="C37" s="10">
        <v>2</v>
      </c>
      <c r="D37" s="10">
        <v>2</v>
      </c>
      <c r="E37" s="10">
        <v>0</v>
      </c>
      <c r="F37" s="10">
        <v>2</v>
      </c>
      <c r="G37" s="10">
        <v>0</v>
      </c>
      <c r="H37" s="10">
        <v>2</v>
      </c>
      <c r="I37" s="10">
        <v>0</v>
      </c>
      <c r="J37" s="10">
        <v>3</v>
      </c>
      <c r="K37" s="10">
        <v>4</v>
      </c>
      <c r="L37" s="10">
        <v>0</v>
      </c>
      <c r="M37" s="11"/>
      <c r="N37" s="7" t="s">
        <v>119</v>
      </c>
      <c r="O37" s="7">
        <f t="shared" si="6"/>
        <v>2</v>
      </c>
      <c r="P37" s="7">
        <f t="shared" si="7"/>
        <v>5</v>
      </c>
      <c r="Q37" s="7">
        <f t="shared" si="8"/>
        <v>2</v>
      </c>
      <c r="R37" s="7"/>
      <c r="T37" s="21">
        <v>2</v>
      </c>
      <c r="U37" s="21">
        <v>2</v>
      </c>
      <c r="V37" s="21">
        <v>0</v>
      </c>
      <c r="W37" s="21">
        <v>2</v>
      </c>
      <c r="X37" s="21">
        <v>0</v>
      </c>
      <c r="Y37" s="21">
        <v>1</v>
      </c>
      <c r="Z37" s="21">
        <v>2</v>
      </c>
      <c r="AA37" s="21">
        <v>0</v>
      </c>
      <c r="AB37" s="21">
        <v>0</v>
      </c>
      <c r="AC37" s="21">
        <v>0</v>
      </c>
    </row>
    <row r="38" spans="1:29" ht="22.5" customHeight="1" x14ac:dyDescent="0.2">
      <c r="A38" s="12">
        <v>37</v>
      </c>
      <c r="B38" s="4" t="s">
        <v>38</v>
      </c>
      <c r="C38" s="10">
        <v>2</v>
      </c>
      <c r="D38" s="10">
        <v>2</v>
      </c>
      <c r="E38" s="10">
        <v>0</v>
      </c>
      <c r="F38" s="10">
        <v>2</v>
      </c>
      <c r="G38" s="10">
        <v>0</v>
      </c>
      <c r="H38" s="10">
        <v>0</v>
      </c>
      <c r="I38" s="10">
        <v>0</v>
      </c>
      <c r="J38" s="10">
        <v>1</v>
      </c>
      <c r="K38" s="10">
        <v>3</v>
      </c>
      <c r="L38" s="10">
        <v>0</v>
      </c>
      <c r="M38" s="29"/>
      <c r="N38" s="7" t="s">
        <v>120</v>
      </c>
      <c r="O38" s="7">
        <f t="shared" si="6"/>
        <v>6</v>
      </c>
      <c r="P38" s="7">
        <f t="shared" si="7"/>
        <v>11</v>
      </c>
      <c r="Q38" s="7">
        <f t="shared" si="8"/>
        <v>7</v>
      </c>
      <c r="R38" s="7"/>
      <c r="T38" s="23">
        <v>2</v>
      </c>
      <c r="U38" s="23">
        <v>2</v>
      </c>
      <c r="V38" s="23">
        <v>2</v>
      </c>
      <c r="W38" s="23">
        <v>2</v>
      </c>
      <c r="X38" s="23">
        <v>0</v>
      </c>
      <c r="Y38" s="23">
        <v>2</v>
      </c>
      <c r="Z38" s="23">
        <v>3</v>
      </c>
      <c r="AA38" s="23">
        <v>3</v>
      </c>
      <c r="AB38" s="23">
        <v>4</v>
      </c>
      <c r="AC38" s="23">
        <v>4</v>
      </c>
    </row>
    <row r="39" spans="1:29" ht="22.5" customHeight="1" x14ac:dyDescent="0.2">
      <c r="A39" s="12">
        <v>38</v>
      </c>
      <c r="B39" s="4" t="s">
        <v>39</v>
      </c>
      <c r="C39" s="10">
        <v>2</v>
      </c>
      <c r="D39" s="10">
        <v>2</v>
      </c>
      <c r="E39" s="10">
        <v>2</v>
      </c>
      <c r="F39" s="10">
        <v>2</v>
      </c>
      <c r="G39" s="10">
        <v>2</v>
      </c>
      <c r="H39" s="10">
        <v>0</v>
      </c>
      <c r="I39" s="10">
        <v>4</v>
      </c>
      <c r="J39" s="10">
        <v>4</v>
      </c>
      <c r="K39" s="10">
        <v>3</v>
      </c>
      <c r="L39" s="10">
        <v>3</v>
      </c>
      <c r="M39" s="11"/>
      <c r="N39" s="7" t="s">
        <v>121</v>
      </c>
      <c r="O39" s="7">
        <f t="shared" si="6"/>
        <v>6</v>
      </c>
      <c r="P39" s="7">
        <f t="shared" si="7"/>
        <v>4</v>
      </c>
      <c r="Q39" s="7">
        <f t="shared" si="8"/>
        <v>5</v>
      </c>
      <c r="R39" s="7"/>
      <c r="T39" s="21">
        <v>2</v>
      </c>
      <c r="U39" s="21">
        <v>2</v>
      </c>
      <c r="V39" s="21">
        <v>0</v>
      </c>
      <c r="W39" s="21">
        <v>2</v>
      </c>
      <c r="X39" s="21">
        <v>0</v>
      </c>
      <c r="Y39" s="21">
        <v>2</v>
      </c>
      <c r="Z39" s="21">
        <v>0</v>
      </c>
      <c r="AA39" s="21">
        <v>3</v>
      </c>
      <c r="AB39" s="21">
        <v>4</v>
      </c>
      <c r="AC39" s="21">
        <v>0</v>
      </c>
    </row>
    <row r="40" spans="1:29" ht="22.5" customHeight="1" x14ac:dyDescent="0.2">
      <c r="A40" s="12">
        <v>39</v>
      </c>
      <c r="B40" s="4" t="s">
        <v>40</v>
      </c>
      <c r="C40" s="10">
        <v>1</v>
      </c>
      <c r="D40" s="10">
        <v>2</v>
      </c>
      <c r="E40" s="10">
        <v>2</v>
      </c>
      <c r="F40" s="10">
        <v>2</v>
      </c>
      <c r="G40" s="10">
        <v>0</v>
      </c>
      <c r="H40" s="10">
        <v>0</v>
      </c>
      <c r="I40" s="10">
        <v>2</v>
      </c>
      <c r="J40" s="10">
        <v>0</v>
      </c>
      <c r="K40" s="10">
        <v>2</v>
      </c>
      <c r="L40" s="10">
        <v>2</v>
      </c>
      <c r="M40" s="11"/>
      <c r="N40" s="24" t="s">
        <v>122</v>
      </c>
      <c r="O40" s="7">
        <f t="shared" si="6"/>
        <v>5</v>
      </c>
      <c r="P40" s="7">
        <f t="shared" si="7"/>
        <v>2</v>
      </c>
      <c r="Q40" s="7">
        <f t="shared" si="8"/>
        <v>3</v>
      </c>
      <c r="R40" s="7"/>
      <c r="T40" s="23">
        <v>2</v>
      </c>
      <c r="U40" s="23">
        <v>2</v>
      </c>
      <c r="V40" s="23">
        <v>0</v>
      </c>
      <c r="W40" s="23">
        <v>2</v>
      </c>
      <c r="X40" s="23">
        <v>0</v>
      </c>
      <c r="Y40" s="23">
        <v>0</v>
      </c>
      <c r="Z40" s="23">
        <v>0</v>
      </c>
      <c r="AA40" s="23">
        <v>1</v>
      </c>
      <c r="AB40" s="23">
        <v>3</v>
      </c>
      <c r="AC40" s="23">
        <v>0</v>
      </c>
    </row>
    <row r="41" spans="1:29" ht="22.5" customHeight="1" x14ac:dyDescent="0.2">
      <c r="A41" s="12">
        <v>40</v>
      </c>
      <c r="B41" s="4" t="s">
        <v>41</v>
      </c>
      <c r="C41" s="10">
        <v>2</v>
      </c>
      <c r="D41" s="10">
        <v>2</v>
      </c>
      <c r="E41" s="10">
        <v>0</v>
      </c>
      <c r="F41" s="10">
        <v>2</v>
      </c>
      <c r="G41" s="10">
        <v>0</v>
      </c>
      <c r="H41" s="10">
        <v>2</v>
      </c>
      <c r="I41" s="10">
        <v>3</v>
      </c>
      <c r="J41" s="10">
        <v>0</v>
      </c>
      <c r="K41" s="10">
        <v>3</v>
      </c>
      <c r="L41" s="10">
        <v>2</v>
      </c>
      <c r="M41" s="29"/>
      <c r="N41" s="7" t="s">
        <v>123</v>
      </c>
      <c r="O41" s="7">
        <f t="shared" si="6"/>
        <v>7</v>
      </c>
      <c r="P41" s="7">
        <f t="shared" si="7"/>
        <v>9</v>
      </c>
      <c r="Q41" s="7">
        <f t="shared" si="8"/>
        <v>8</v>
      </c>
      <c r="R41" s="7"/>
      <c r="T41" s="21">
        <v>2</v>
      </c>
      <c r="U41" s="21">
        <v>2</v>
      </c>
      <c r="V41" s="21">
        <v>2</v>
      </c>
      <c r="W41" s="21">
        <v>2</v>
      </c>
      <c r="X41" s="21">
        <v>2</v>
      </c>
      <c r="Y41" s="21">
        <v>0</v>
      </c>
      <c r="Z41" s="21">
        <v>4</v>
      </c>
      <c r="AA41" s="21">
        <v>4</v>
      </c>
      <c r="AB41" s="21">
        <v>3</v>
      </c>
      <c r="AC41" s="21">
        <v>3</v>
      </c>
    </row>
    <row r="42" spans="1:29" ht="22.5" customHeight="1" x14ac:dyDescent="0.2">
      <c r="A42" s="12">
        <v>41</v>
      </c>
      <c r="B42" s="4" t="s">
        <v>42</v>
      </c>
      <c r="C42" s="10">
        <v>1</v>
      </c>
      <c r="D42" s="10">
        <v>2</v>
      </c>
      <c r="E42" s="10">
        <v>0</v>
      </c>
      <c r="F42" s="10">
        <v>1</v>
      </c>
      <c r="G42" s="10">
        <v>0</v>
      </c>
      <c r="H42" s="10">
        <v>1</v>
      </c>
      <c r="I42" s="10">
        <v>0</v>
      </c>
      <c r="J42" s="10">
        <v>0</v>
      </c>
      <c r="K42" s="10">
        <v>0</v>
      </c>
      <c r="L42" s="10">
        <v>0</v>
      </c>
      <c r="M42" s="11"/>
      <c r="N42" s="7" t="s">
        <v>124</v>
      </c>
      <c r="O42" s="7">
        <f t="shared" si="6"/>
        <v>4</v>
      </c>
      <c r="P42" s="7">
        <f t="shared" si="7"/>
        <v>6</v>
      </c>
      <c r="Q42" s="7">
        <f t="shared" si="8"/>
        <v>3</v>
      </c>
      <c r="R42" s="7"/>
      <c r="T42" s="23">
        <v>1</v>
      </c>
      <c r="U42" s="23">
        <v>2</v>
      </c>
      <c r="V42" s="23">
        <v>2</v>
      </c>
      <c r="W42" s="23">
        <v>2</v>
      </c>
      <c r="X42" s="23">
        <v>0</v>
      </c>
      <c r="Y42" s="23">
        <v>0</v>
      </c>
      <c r="Z42" s="23">
        <v>2</v>
      </c>
      <c r="AA42" s="23">
        <v>0</v>
      </c>
      <c r="AB42" s="23">
        <v>2</v>
      </c>
      <c r="AC42" s="23">
        <v>2</v>
      </c>
    </row>
    <row r="43" spans="1:29" ht="22.5" customHeight="1" x14ac:dyDescent="0.2">
      <c r="A43" s="12">
        <v>42</v>
      </c>
      <c r="B43" s="4" t="s">
        <v>43</v>
      </c>
      <c r="C43" s="10">
        <v>2</v>
      </c>
      <c r="D43" s="10">
        <v>2</v>
      </c>
      <c r="E43" s="10">
        <v>0</v>
      </c>
      <c r="F43" s="10">
        <v>0</v>
      </c>
      <c r="G43" s="10">
        <v>2</v>
      </c>
      <c r="H43" s="10">
        <v>2</v>
      </c>
      <c r="I43" s="10">
        <v>2</v>
      </c>
      <c r="J43" s="10">
        <v>3</v>
      </c>
      <c r="K43" s="10">
        <v>4</v>
      </c>
      <c r="L43" s="10">
        <v>2</v>
      </c>
      <c r="M43" s="11"/>
      <c r="N43" s="7" t="s">
        <v>125</v>
      </c>
      <c r="O43" s="7">
        <f t="shared" si="6"/>
        <v>5</v>
      </c>
      <c r="P43" s="7">
        <f t="shared" si="7"/>
        <v>9</v>
      </c>
      <c r="Q43" s="7">
        <f t="shared" si="8"/>
        <v>2</v>
      </c>
      <c r="R43" s="7"/>
      <c r="T43" s="21">
        <v>2</v>
      </c>
      <c r="U43" s="21">
        <v>2</v>
      </c>
      <c r="V43" s="21">
        <v>0</v>
      </c>
      <c r="W43" s="21">
        <v>2</v>
      </c>
      <c r="X43" s="21">
        <v>0</v>
      </c>
      <c r="Y43" s="21">
        <v>2</v>
      </c>
      <c r="Z43" s="21">
        <v>3</v>
      </c>
      <c r="AA43" s="21">
        <v>0</v>
      </c>
      <c r="AB43" s="21">
        <v>3</v>
      </c>
      <c r="AC43" s="21">
        <v>2</v>
      </c>
    </row>
    <row r="44" spans="1:29" ht="22.5" customHeight="1" x14ac:dyDescent="0.2">
      <c r="A44" s="12">
        <v>43</v>
      </c>
      <c r="B44" s="4" t="s">
        <v>44</v>
      </c>
      <c r="C44" s="10">
        <v>2</v>
      </c>
      <c r="D44" s="10">
        <v>2</v>
      </c>
      <c r="E44" s="10">
        <v>2</v>
      </c>
      <c r="F44" s="10">
        <v>2</v>
      </c>
      <c r="G44" s="10">
        <v>0</v>
      </c>
      <c r="H44" s="10">
        <v>1</v>
      </c>
      <c r="I44" s="10">
        <v>4</v>
      </c>
      <c r="J44" s="10">
        <v>4</v>
      </c>
      <c r="K44" s="10">
        <v>4</v>
      </c>
      <c r="L44" s="10">
        <v>3</v>
      </c>
      <c r="M44" s="29"/>
      <c r="N44" s="7" t="s">
        <v>126</v>
      </c>
      <c r="O44" s="7">
        <f t="shared" si="6"/>
        <v>2</v>
      </c>
      <c r="P44" s="7">
        <f t="shared" si="7"/>
        <v>2</v>
      </c>
      <c r="Q44" s="7">
        <f t="shared" si="8"/>
        <v>1</v>
      </c>
      <c r="R44" s="7"/>
      <c r="T44" s="23">
        <v>1</v>
      </c>
      <c r="U44" s="23">
        <v>2</v>
      </c>
      <c r="V44" s="23">
        <v>0</v>
      </c>
      <c r="W44" s="23">
        <v>1</v>
      </c>
      <c r="X44" s="23">
        <v>0</v>
      </c>
      <c r="Y44" s="23">
        <v>1</v>
      </c>
      <c r="Z44" s="23">
        <v>0</v>
      </c>
      <c r="AA44" s="23">
        <v>0</v>
      </c>
      <c r="AB44" s="23">
        <v>0</v>
      </c>
      <c r="AC44" s="23">
        <v>0</v>
      </c>
    </row>
    <row r="45" spans="1:29" ht="22.5" customHeight="1" x14ac:dyDescent="0.2">
      <c r="A45" s="12">
        <v>44</v>
      </c>
      <c r="B45" s="4" t="s">
        <v>45</v>
      </c>
      <c r="C45" s="10">
        <v>2</v>
      </c>
      <c r="D45" s="10">
        <v>2</v>
      </c>
      <c r="E45" s="10">
        <v>2</v>
      </c>
      <c r="F45" s="10">
        <v>2</v>
      </c>
      <c r="G45" s="10">
        <v>1</v>
      </c>
      <c r="H45" s="10">
        <v>2</v>
      </c>
      <c r="I45" s="10">
        <v>4</v>
      </c>
      <c r="J45" s="10">
        <v>4</v>
      </c>
      <c r="K45" s="10">
        <v>4</v>
      </c>
      <c r="L45" s="10">
        <v>4</v>
      </c>
      <c r="M45" s="11"/>
      <c r="N45" s="7" t="s">
        <v>43</v>
      </c>
      <c r="O45" s="7">
        <f t="shared" si="6"/>
        <v>8</v>
      </c>
      <c r="P45" s="7">
        <f t="shared" si="7"/>
        <v>6</v>
      </c>
      <c r="Q45" s="7">
        <f t="shared" si="8"/>
        <v>5</v>
      </c>
      <c r="R45" s="7"/>
      <c r="T45" s="21">
        <v>2</v>
      </c>
      <c r="U45" s="21">
        <v>2</v>
      </c>
      <c r="V45" s="21">
        <v>0</v>
      </c>
      <c r="W45" s="21">
        <v>0</v>
      </c>
      <c r="X45" s="21">
        <v>2</v>
      </c>
      <c r="Y45" s="21">
        <v>2</v>
      </c>
      <c r="Z45" s="21">
        <v>2</v>
      </c>
      <c r="AA45" s="21">
        <v>3</v>
      </c>
      <c r="AB45" s="21">
        <v>4</v>
      </c>
      <c r="AC45" s="21">
        <v>2</v>
      </c>
    </row>
    <row r="46" spans="1:29" ht="22.5" customHeight="1" x14ac:dyDescent="0.2">
      <c r="A46" s="12">
        <v>45</v>
      </c>
      <c r="B46" s="4" t="s">
        <v>46</v>
      </c>
      <c r="C46" s="10">
        <v>2</v>
      </c>
      <c r="D46" s="10">
        <v>2</v>
      </c>
      <c r="E46" s="10">
        <v>2</v>
      </c>
      <c r="F46" s="10">
        <v>2</v>
      </c>
      <c r="G46" s="10">
        <v>2</v>
      </c>
      <c r="H46" s="10">
        <v>0</v>
      </c>
      <c r="I46" s="10">
        <v>4</v>
      </c>
      <c r="J46" s="10">
        <v>3</v>
      </c>
      <c r="K46" s="10">
        <v>3</v>
      </c>
      <c r="L46" s="10">
        <v>0</v>
      </c>
      <c r="M46" s="11"/>
      <c r="N46" s="7" t="s">
        <v>127</v>
      </c>
      <c r="O46" s="7">
        <f t="shared" si="6"/>
        <v>6</v>
      </c>
      <c r="P46" s="7">
        <f t="shared" si="7"/>
        <v>10</v>
      </c>
      <c r="Q46" s="7">
        <f t="shared" si="8"/>
        <v>8</v>
      </c>
      <c r="R46" s="7"/>
      <c r="T46" s="23">
        <v>2</v>
      </c>
      <c r="U46" s="23">
        <v>2</v>
      </c>
      <c r="V46" s="23">
        <v>2</v>
      </c>
      <c r="W46" s="23">
        <v>2</v>
      </c>
      <c r="X46" s="23">
        <v>0</v>
      </c>
      <c r="Y46" s="23">
        <v>1</v>
      </c>
      <c r="Z46" s="23">
        <v>4</v>
      </c>
      <c r="AA46" s="23">
        <v>4</v>
      </c>
      <c r="AB46" s="23">
        <v>4</v>
      </c>
      <c r="AC46" s="23">
        <v>3</v>
      </c>
    </row>
    <row r="47" spans="1:29" ht="22.5" customHeight="1" x14ac:dyDescent="0.2">
      <c r="A47" s="12">
        <v>46</v>
      </c>
      <c r="B47" s="4" t="s">
        <v>47</v>
      </c>
      <c r="C47" s="10">
        <v>2</v>
      </c>
      <c r="D47" s="10">
        <v>2</v>
      </c>
      <c r="E47" s="10">
        <v>2</v>
      </c>
      <c r="F47" s="10">
        <v>1</v>
      </c>
      <c r="G47" s="10">
        <v>1</v>
      </c>
      <c r="H47" s="10">
        <v>2</v>
      </c>
      <c r="I47" s="10">
        <v>4</v>
      </c>
      <c r="J47" s="10">
        <v>0</v>
      </c>
      <c r="K47" s="10">
        <v>4</v>
      </c>
      <c r="L47" s="10">
        <v>4</v>
      </c>
      <c r="M47" s="29"/>
      <c r="N47" s="7" t="s">
        <v>128</v>
      </c>
      <c r="O47" s="7">
        <f t="shared" si="6"/>
        <v>7</v>
      </c>
      <c r="P47" s="7">
        <f t="shared" si="7"/>
        <v>12</v>
      </c>
      <c r="Q47" s="7">
        <f t="shared" si="8"/>
        <v>8</v>
      </c>
      <c r="R47" s="7"/>
      <c r="T47" s="21">
        <v>2</v>
      </c>
      <c r="U47" s="21">
        <v>2</v>
      </c>
      <c r="V47" s="21">
        <v>2</v>
      </c>
      <c r="W47" s="21">
        <v>2</v>
      </c>
      <c r="X47" s="21">
        <v>1</v>
      </c>
      <c r="Y47" s="21">
        <v>2</v>
      </c>
      <c r="Z47" s="21">
        <v>4</v>
      </c>
      <c r="AA47" s="21">
        <v>4</v>
      </c>
      <c r="AB47" s="21">
        <v>4</v>
      </c>
      <c r="AC47" s="21">
        <v>4</v>
      </c>
    </row>
    <row r="48" spans="1:29" ht="22.5" customHeight="1" x14ac:dyDescent="0.2">
      <c r="A48" s="12">
        <v>47</v>
      </c>
      <c r="B48" s="4" t="s">
        <v>48</v>
      </c>
      <c r="C48" s="10">
        <v>2</v>
      </c>
      <c r="D48" s="10">
        <v>2</v>
      </c>
      <c r="E48" s="10">
        <v>0</v>
      </c>
      <c r="F48" s="10">
        <v>2</v>
      </c>
      <c r="G48" s="10">
        <v>0</v>
      </c>
      <c r="H48" s="10">
        <v>0</v>
      </c>
      <c r="I48" s="10">
        <v>3</v>
      </c>
      <c r="J48" s="10">
        <v>0</v>
      </c>
      <c r="K48" s="10">
        <v>0</v>
      </c>
      <c r="L48" s="10">
        <v>3</v>
      </c>
      <c r="M48" s="11"/>
      <c r="N48" s="7" t="s">
        <v>129</v>
      </c>
      <c r="O48" s="7">
        <f t="shared" si="6"/>
        <v>7</v>
      </c>
      <c r="P48" s="7">
        <f t="shared" si="7"/>
        <v>6</v>
      </c>
      <c r="Q48" s="7">
        <f t="shared" si="8"/>
        <v>7</v>
      </c>
      <c r="R48" s="7"/>
      <c r="T48" s="23">
        <v>2</v>
      </c>
      <c r="U48" s="23">
        <v>2</v>
      </c>
      <c r="V48" s="23">
        <v>2</v>
      </c>
      <c r="W48" s="23">
        <v>2</v>
      </c>
      <c r="X48" s="23">
        <v>2</v>
      </c>
      <c r="Y48" s="23">
        <v>0</v>
      </c>
      <c r="Z48" s="23">
        <v>4</v>
      </c>
      <c r="AA48" s="23">
        <v>3</v>
      </c>
      <c r="AB48" s="23">
        <v>3</v>
      </c>
      <c r="AC48" s="23">
        <v>0</v>
      </c>
    </row>
    <row r="49" spans="1:29" ht="22.5" customHeight="1" x14ac:dyDescent="0.2">
      <c r="A49" s="12">
        <v>48</v>
      </c>
      <c r="B49" s="4" t="s">
        <v>49</v>
      </c>
      <c r="C49" s="10">
        <v>2</v>
      </c>
      <c r="D49" s="10">
        <v>2</v>
      </c>
      <c r="E49" s="10">
        <v>2</v>
      </c>
      <c r="F49" s="10">
        <v>2</v>
      </c>
      <c r="G49" s="10">
        <v>0</v>
      </c>
      <c r="H49" s="10">
        <v>2</v>
      </c>
      <c r="I49" s="10">
        <v>0</v>
      </c>
      <c r="J49" s="10">
        <v>4</v>
      </c>
      <c r="K49" s="10">
        <v>4</v>
      </c>
      <c r="L49" s="10">
        <v>4</v>
      </c>
      <c r="M49" s="11"/>
      <c r="N49" s="7" t="s">
        <v>130</v>
      </c>
      <c r="O49" s="7">
        <f t="shared" si="6"/>
        <v>7</v>
      </c>
      <c r="P49" s="7">
        <f t="shared" si="7"/>
        <v>11</v>
      </c>
      <c r="Q49" s="7">
        <f t="shared" si="8"/>
        <v>4</v>
      </c>
      <c r="R49" s="7"/>
      <c r="T49" s="21">
        <v>2</v>
      </c>
      <c r="U49" s="21">
        <v>2</v>
      </c>
      <c r="V49" s="21">
        <v>2</v>
      </c>
      <c r="W49" s="21">
        <v>1</v>
      </c>
      <c r="X49" s="21">
        <v>1</v>
      </c>
      <c r="Y49" s="21">
        <v>2</v>
      </c>
      <c r="Z49" s="21">
        <v>4</v>
      </c>
      <c r="AA49" s="21">
        <v>0</v>
      </c>
      <c r="AB49" s="21">
        <v>4</v>
      </c>
      <c r="AC49" s="21">
        <v>4</v>
      </c>
    </row>
    <row r="50" spans="1:29" ht="22.5" customHeight="1" x14ac:dyDescent="0.2">
      <c r="A50" s="12">
        <v>49</v>
      </c>
      <c r="B50" s="4" t="s">
        <v>50</v>
      </c>
      <c r="C50" s="10">
        <v>2</v>
      </c>
      <c r="D50" s="10">
        <v>2</v>
      </c>
      <c r="E50" s="10">
        <v>2</v>
      </c>
      <c r="F50" s="10">
        <v>2</v>
      </c>
      <c r="G50" s="10">
        <v>1</v>
      </c>
      <c r="H50" s="10">
        <v>2</v>
      </c>
      <c r="I50" s="10">
        <v>0</v>
      </c>
      <c r="J50" s="10">
        <v>4</v>
      </c>
      <c r="K50" s="10">
        <v>4</v>
      </c>
      <c r="L50" s="10">
        <v>0</v>
      </c>
      <c r="M50" s="29"/>
      <c r="N50" s="7" t="s">
        <v>131</v>
      </c>
      <c r="O50" s="7">
        <f t="shared" si="6"/>
        <v>2</v>
      </c>
      <c r="P50" s="7">
        <f t="shared" si="7"/>
        <v>8</v>
      </c>
      <c r="Q50" s="7">
        <f t="shared" si="8"/>
        <v>2</v>
      </c>
      <c r="R50" s="7"/>
      <c r="T50" s="23">
        <v>2</v>
      </c>
      <c r="U50" s="23">
        <v>2</v>
      </c>
      <c r="V50" s="23">
        <v>0</v>
      </c>
      <c r="W50" s="23">
        <v>2</v>
      </c>
      <c r="X50" s="23">
        <v>0</v>
      </c>
      <c r="Y50" s="23">
        <v>0</v>
      </c>
      <c r="Z50" s="23">
        <v>3</v>
      </c>
      <c r="AA50" s="23">
        <v>0</v>
      </c>
      <c r="AB50" s="23">
        <v>0</v>
      </c>
      <c r="AC50" s="23">
        <v>3</v>
      </c>
    </row>
    <row r="51" spans="1:29" ht="22.5" customHeight="1" x14ac:dyDescent="0.2">
      <c r="A51" s="12">
        <v>50</v>
      </c>
      <c r="B51" s="4" t="s">
        <v>51</v>
      </c>
      <c r="C51" s="10">
        <v>2</v>
      </c>
      <c r="D51" s="10">
        <v>2</v>
      </c>
      <c r="E51" s="10">
        <v>0</v>
      </c>
      <c r="F51" s="10">
        <v>2</v>
      </c>
      <c r="G51" s="10">
        <v>0</v>
      </c>
      <c r="H51" s="10">
        <v>1</v>
      </c>
      <c r="I51" s="10">
        <v>2</v>
      </c>
      <c r="J51" s="10">
        <v>2</v>
      </c>
      <c r="K51" s="10">
        <v>2</v>
      </c>
      <c r="L51" s="10">
        <v>1</v>
      </c>
      <c r="M51" s="11"/>
      <c r="N51" s="7" t="s">
        <v>132</v>
      </c>
      <c r="O51" s="7">
        <f t="shared" si="6"/>
        <v>6</v>
      </c>
      <c r="P51" s="7">
        <f t="shared" si="7"/>
        <v>8</v>
      </c>
      <c r="Q51" s="7">
        <f t="shared" si="8"/>
        <v>8</v>
      </c>
      <c r="R51" s="7"/>
      <c r="T51" s="21">
        <v>2</v>
      </c>
      <c r="U51" s="21">
        <v>2</v>
      </c>
      <c r="V51" s="21">
        <v>2</v>
      </c>
      <c r="W51" s="21">
        <v>2</v>
      </c>
      <c r="X51" s="21">
        <v>0</v>
      </c>
      <c r="Y51" s="21">
        <v>2</v>
      </c>
      <c r="Z51" s="21">
        <v>0</v>
      </c>
      <c r="AA51" s="21">
        <v>4</v>
      </c>
      <c r="AB51" s="21">
        <v>4</v>
      </c>
      <c r="AC51" s="21">
        <v>4</v>
      </c>
    </row>
    <row r="52" spans="1:29" ht="22.5" customHeight="1" x14ac:dyDescent="0.2">
      <c r="A52" s="12">
        <v>51</v>
      </c>
      <c r="B52" s="4" t="s">
        <v>52</v>
      </c>
      <c r="C52" s="10">
        <v>2</v>
      </c>
      <c r="D52" s="10">
        <v>2</v>
      </c>
      <c r="E52" s="10">
        <v>0</v>
      </c>
      <c r="F52" s="10">
        <v>2</v>
      </c>
      <c r="G52" s="10">
        <v>0</v>
      </c>
      <c r="H52" s="10">
        <v>2</v>
      </c>
      <c r="I52" s="10">
        <v>0</v>
      </c>
      <c r="J52" s="10">
        <v>2</v>
      </c>
      <c r="K52" s="10">
        <v>2</v>
      </c>
      <c r="L52" s="10">
        <v>1</v>
      </c>
      <c r="M52" s="11"/>
      <c r="N52" s="7" t="s">
        <v>133</v>
      </c>
      <c r="O52" s="7">
        <f t="shared" si="6"/>
        <v>7</v>
      </c>
      <c r="P52" s="7">
        <f t="shared" si="7"/>
        <v>4</v>
      </c>
      <c r="Q52" s="7">
        <f t="shared" si="8"/>
        <v>8</v>
      </c>
      <c r="R52" s="7"/>
      <c r="T52" s="23">
        <v>2</v>
      </c>
      <c r="U52" s="23">
        <v>2</v>
      </c>
      <c r="V52" s="23">
        <v>2</v>
      </c>
      <c r="W52" s="23">
        <v>2</v>
      </c>
      <c r="X52" s="23">
        <v>1</v>
      </c>
      <c r="Y52" s="23">
        <v>2</v>
      </c>
      <c r="Z52" s="23">
        <v>0</v>
      </c>
      <c r="AA52" s="23">
        <v>4</v>
      </c>
      <c r="AB52" s="23">
        <v>4</v>
      </c>
      <c r="AC52" s="23">
        <v>0</v>
      </c>
    </row>
    <row r="53" spans="1:29" ht="22.5" customHeight="1" x14ac:dyDescent="0.2">
      <c r="A53" s="12">
        <v>52</v>
      </c>
      <c r="B53" s="4" t="s">
        <v>53</v>
      </c>
      <c r="C53" s="10">
        <v>1</v>
      </c>
      <c r="D53" s="10">
        <v>2</v>
      </c>
      <c r="E53" s="10">
        <v>2</v>
      </c>
      <c r="F53" s="10">
        <v>2</v>
      </c>
      <c r="G53" s="10">
        <v>1</v>
      </c>
      <c r="H53" s="10">
        <v>2</v>
      </c>
      <c r="I53" s="10">
        <v>0</v>
      </c>
      <c r="J53" s="10">
        <v>4</v>
      </c>
      <c r="K53" s="10">
        <v>4</v>
      </c>
      <c r="L53" s="10">
        <v>4</v>
      </c>
      <c r="M53" s="29"/>
      <c r="N53" s="7" t="s">
        <v>134</v>
      </c>
      <c r="O53" s="7">
        <f t="shared" si="6"/>
        <v>4</v>
      </c>
      <c r="P53" s="7">
        <f t="shared" si="7"/>
        <v>6</v>
      </c>
      <c r="Q53" s="7">
        <f t="shared" si="8"/>
        <v>4</v>
      </c>
      <c r="R53" s="7"/>
      <c r="T53" s="21">
        <v>2</v>
      </c>
      <c r="U53" s="21">
        <v>2</v>
      </c>
      <c r="V53" s="21">
        <v>0</v>
      </c>
      <c r="W53" s="21">
        <v>2</v>
      </c>
      <c r="X53" s="21">
        <v>0</v>
      </c>
      <c r="Y53" s="21">
        <v>1</v>
      </c>
      <c r="Z53" s="21">
        <v>2</v>
      </c>
      <c r="AA53" s="21">
        <v>2</v>
      </c>
      <c r="AB53" s="21">
        <v>2</v>
      </c>
      <c r="AC53" s="21">
        <v>1</v>
      </c>
    </row>
    <row r="54" spans="1:29" ht="22.5" customHeight="1" x14ac:dyDescent="0.2">
      <c r="A54" s="12">
        <v>53</v>
      </c>
      <c r="B54" s="4" t="s">
        <v>54</v>
      </c>
      <c r="C54" s="10">
        <v>2</v>
      </c>
      <c r="D54" s="10">
        <v>2</v>
      </c>
      <c r="E54" s="10">
        <v>2</v>
      </c>
      <c r="F54" s="10">
        <v>2</v>
      </c>
      <c r="G54" s="10">
        <v>2</v>
      </c>
      <c r="H54" s="10">
        <v>2</v>
      </c>
      <c r="I54" s="10">
        <v>4</v>
      </c>
      <c r="J54" s="10">
        <v>4</v>
      </c>
      <c r="K54" s="10">
        <v>4</v>
      </c>
      <c r="L54" s="10">
        <v>4</v>
      </c>
      <c r="M54" s="11"/>
      <c r="N54" s="7" t="s">
        <v>135</v>
      </c>
      <c r="O54" s="7">
        <f t="shared" si="6"/>
        <v>4</v>
      </c>
      <c r="P54" s="7">
        <f t="shared" si="7"/>
        <v>5</v>
      </c>
      <c r="Q54" s="7">
        <f t="shared" si="8"/>
        <v>4</v>
      </c>
      <c r="R54" s="7"/>
      <c r="T54" s="23">
        <v>2</v>
      </c>
      <c r="U54" s="23">
        <v>2</v>
      </c>
      <c r="V54" s="23">
        <v>0</v>
      </c>
      <c r="W54" s="23">
        <v>2</v>
      </c>
      <c r="X54" s="23">
        <v>0</v>
      </c>
      <c r="Y54" s="23">
        <v>2</v>
      </c>
      <c r="Z54" s="23">
        <v>0</v>
      </c>
      <c r="AA54" s="23">
        <v>2</v>
      </c>
      <c r="AB54" s="23">
        <v>2</v>
      </c>
      <c r="AC54" s="23">
        <v>1</v>
      </c>
    </row>
    <row r="55" spans="1:29" ht="22.5" customHeight="1" x14ac:dyDescent="0.2">
      <c r="A55" s="12">
        <v>54</v>
      </c>
      <c r="B55" s="4" t="s">
        <v>55</v>
      </c>
      <c r="C55" s="10">
        <v>2</v>
      </c>
      <c r="D55" s="10">
        <v>2</v>
      </c>
      <c r="E55" s="10">
        <v>2</v>
      </c>
      <c r="F55" s="10">
        <v>2</v>
      </c>
      <c r="G55" s="10">
        <v>1</v>
      </c>
      <c r="H55" s="10">
        <v>2</v>
      </c>
      <c r="I55" s="10">
        <v>4</v>
      </c>
      <c r="J55" s="10">
        <v>0</v>
      </c>
      <c r="K55" s="10">
        <v>4</v>
      </c>
      <c r="L55" s="10">
        <v>0</v>
      </c>
      <c r="M55" s="11"/>
      <c r="N55" s="7" t="s">
        <v>136</v>
      </c>
      <c r="O55" s="7">
        <f t="shared" si="6"/>
        <v>8</v>
      </c>
      <c r="P55" s="7">
        <f t="shared" si="7"/>
        <v>12</v>
      </c>
      <c r="Q55" s="7">
        <f t="shared" si="8"/>
        <v>8</v>
      </c>
      <c r="R55" s="7"/>
      <c r="T55" s="23">
        <v>2</v>
      </c>
      <c r="U55" s="23">
        <v>2</v>
      </c>
      <c r="V55" s="23">
        <v>2</v>
      </c>
      <c r="W55" s="23">
        <v>2</v>
      </c>
      <c r="X55" s="23">
        <v>2</v>
      </c>
      <c r="Y55" s="23">
        <v>2</v>
      </c>
      <c r="Z55" s="23">
        <v>4</v>
      </c>
      <c r="AA55" s="23">
        <v>4</v>
      </c>
      <c r="AB55" s="23">
        <v>4</v>
      </c>
      <c r="AC55" s="23">
        <v>4</v>
      </c>
    </row>
    <row r="56" spans="1:29" ht="22.5" customHeight="1" x14ac:dyDescent="0.2">
      <c r="A56" s="12">
        <v>55</v>
      </c>
      <c r="B56" s="4" t="s">
        <v>56</v>
      </c>
      <c r="C56" s="10">
        <v>2</v>
      </c>
      <c r="D56" s="10">
        <v>2</v>
      </c>
      <c r="E56" s="10">
        <v>2</v>
      </c>
      <c r="F56" s="10">
        <v>0</v>
      </c>
      <c r="G56" s="10">
        <v>0</v>
      </c>
      <c r="H56" s="10">
        <v>2</v>
      </c>
      <c r="I56" s="10">
        <v>0</v>
      </c>
      <c r="J56" s="10">
        <v>4</v>
      </c>
      <c r="K56" s="10">
        <v>3</v>
      </c>
      <c r="L56" s="10">
        <v>4</v>
      </c>
      <c r="M56" s="29"/>
      <c r="N56" s="7" t="s">
        <v>137</v>
      </c>
      <c r="O56" s="7">
        <f t="shared" si="6"/>
        <v>7</v>
      </c>
      <c r="P56" s="7">
        <f t="shared" si="7"/>
        <v>8</v>
      </c>
      <c r="Q56" s="7">
        <f t="shared" si="8"/>
        <v>4</v>
      </c>
      <c r="R56" s="7"/>
      <c r="T56" s="21">
        <v>2</v>
      </c>
      <c r="U56" s="21">
        <v>2</v>
      </c>
      <c r="V56" s="21">
        <v>2</v>
      </c>
      <c r="W56" s="21">
        <v>2</v>
      </c>
      <c r="X56" s="21">
        <v>1</v>
      </c>
      <c r="Y56" s="21">
        <v>2</v>
      </c>
      <c r="Z56" s="21">
        <v>4</v>
      </c>
      <c r="AA56" s="21">
        <v>0</v>
      </c>
      <c r="AB56" s="21">
        <v>4</v>
      </c>
      <c r="AC56" s="21">
        <v>0</v>
      </c>
    </row>
    <row r="57" spans="1:29" ht="22.5" customHeight="1" x14ac:dyDescent="0.2">
      <c r="A57" s="12">
        <v>56</v>
      </c>
      <c r="B57" s="4" t="s">
        <v>57</v>
      </c>
      <c r="C57" s="10">
        <v>2</v>
      </c>
      <c r="D57" s="10">
        <v>0</v>
      </c>
      <c r="E57" s="10">
        <v>2</v>
      </c>
      <c r="F57" s="10">
        <v>2</v>
      </c>
      <c r="G57" s="10">
        <v>1</v>
      </c>
      <c r="H57" s="10">
        <v>2</v>
      </c>
      <c r="I57" s="10">
        <v>4</v>
      </c>
      <c r="J57" s="10">
        <v>4</v>
      </c>
      <c r="K57" s="10">
        <v>3</v>
      </c>
      <c r="L57" s="10">
        <v>4</v>
      </c>
      <c r="M57" s="11"/>
      <c r="N57" s="7" t="s">
        <v>138</v>
      </c>
      <c r="O57" s="7">
        <f t="shared" si="6"/>
        <v>7</v>
      </c>
      <c r="P57" s="7">
        <f t="shared" si="7"/>
        <v>8</v>
      </c>
      <c r="Q57" s="7">
        <f t="shared" si="8"/>
        <v>7</v>
      </c>
      <c r="R57" s="7"/>
      <c r="T57" s="21">
        <v>1</v>
      </c>
      <c r="U57" s="21">
        <v>2</v>
      </c>
      <c r="V57" s="21">
        <v>2</v>
      </c>
      <c r="W57" s="21">
        <v>2</v>
      </c>
      <c r="X57" s="21">
        <v>1</v>
      </c>
      <c r="Y57" s="21">
        <v>2</v>
      </c>
      <c r="Z57" s="21">
        <v>0</v>
      </c>
      <c r="AA57" s="21">
        <v>4</v>
      </c>
      <c r="AB57" s="21">
        <v>4</v>
      </c>
      <c r="AC57" s="21">
        <v>4</v>
      </c>
    </row>
    <row r="58" spans="1:29" ht="22.5" customHeight="1" x14ac:dyDescent="0.2">
      <c r="A58" s="12">
        <v>57</v>
      </c>
      <c r="B58" s="7" t="s">
        <v>143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1"/>
      <c r="N58" s="7" t="s">
        <v>139</v>
      </c>
      <c r="O58" s="7">
        <f t="shared" si="6"/>
        <v>0</v>
      </c>
      <c r="P58" s="7">
        <f t="shared" si="7"/>
        <v>0</v>
      </c>
      <c r="Q58" s="7">
        <f t="shared" si="8"/>
        <v>0</v>
      </c>
      <c r="R58" s="7"/>
      <c r="T58" s="25">
        <v>0</v>
      </c>
      <c r="U58" s="26">
        <v>0</v>
      </c>
      <c r="V58" s="26">
        <v>0</v>
      </c>
      <c r="W58" s="26">
        <v>0</v>
      </c>
      <c r="X58" s="26">
        <v>0</v>
      </c>
      <c r="Y58" s="23">
        <v>0</v>
      </c>
      <c r="Z58" s="26">
        <v>0</v>
      </c>
      <c r="AA58" s="26">
        <v>0</v>
      </c>
      <c r="AB58" s="26">
        <v>0</v>
      </c>
      <c r="AC58" s="26">
        <v>0</v>
      </c>
    </row>
    <row r="59" spans="1:29" ht="22.5" customHeight="1" x14ac:dyDescent="0.2">
      <c r="A59" s="12">
        <v>58</v>
      </c>
      <c r="B59" s="4" t="s">
        <v>65</v>
      </c>
      <c r="C59" s="10">
        <v>2</v>
      </c>
      <c r="D59" s="10">
        <v>2</v>
      </c>
      <c r="E59" s="10">
        <v>0</v>
      </c>
      <c r="F59" s="10">
        <v>2</v>
      </c>
      <c r="G59" s="10">
        <v>0</v>
      </c>
      <c r="H59" s="10">
        <v>1</v>
      </c>
      <c r="I59" s="10">
        <v>3</v>
      </c>
      <c r="J59" s="10">
        <v>1</v>
      </c>
      <c r="K59" s="10">
        <v>0</v>
      </c>
      <c r="L59" s="10">
        <v>3</v>
      </c>
      <c r="M59" s="29"/>
      <c r="N59" s="7" t="s">
        <v>140</v>
      </c>
      <c r="O59" s="7">
        <f t="shared" si="6"/>
        <v>0</v>
      </c>
      <c r="P59" s="7">
        <f t="shared" si="7"/>
        <v>0</v>
      </c>
      <c r="Q59" s="7">
        <f t="shared" si="8"/>
        <v>0</v>
      </c>
      <c r="R59" s="7"/>
      <c r="T59" s="27">
        <v>0</v>
      </c>
      <c r="U59" s="28">
        <v>0</v>
      </c>
      <c r="V59" s="28">
        <v>0</v>
      </c>
      <c r="W59" s="28">
        <v>0</v>
      </c>
      <c r="X59" s="28">
        <v>0</v>
      </c>
      <c r="Y59" s="21">
        <v>0</v>
      </c>
      <c r="Z59" s="28">
        <v>0</v>
      </c>
      <c r="AA59" s="28">
        <v>0</v>
      </c>
      <c r="AB59" s="28">
        <v>0</v>
      </c>
      <c r="AC59" s="28">
        <v>0</v>
      </c>
    </row>
    <row r="60" spans="1:29" ht="22.5" customHeight="1" x14ac:dyDescent="0.2">
      <c r="A60" s="12">
        <v>59</v>
      </c>
      <c r="B60" s="4" t="s">
        <v>66</v>
      </c>
      <c r="C60" s="10">
        <v>2</v>
      </c>
      <c r="D60" s="10">
        <v>2</v>
      </c>
      <c r="E60" s="10">
        <v>0</v>
      </c>
      <c r="F60" s="10">
        <v>2</v>
      </c>
      <c r="G60" s="10">
        <v>1</v>
      </c>
      <c r="H60" s="10">
        <v>2</v>
      </c>
      <c r="I60" s="10">
        <v>0</v>
      </c>
      <c r="J60" s="10">
        <v>4</v>
      </c>
      <c r="K60" s="10">
        <v>2</v>
      </c>
      <c r="L60" s="10">
        <v>0</v>
      </c>
      <c r="M60" s="11"/>
      <c r="N60" s="7" t="s">
        <v>141</v>
      </c>
      <c r="O60" s="7">
        <f t="shared" si="6"/>
        <v>2</v>
      </c>
      <c r="P60" s="7">
        <f t="shared" si="7"/>
        <v>9</v>
      </c>
      <c r="Q60" s="7">
        <f t="shared" si="8"/>
        <v>3</v>
      </c>
      <c r="R60" s="7"/>
      <c r="T60" s="21">
        <v>2</v>
      </c>
      <c r="U60" s="21">
        <v>2</v>
      </c>
      <c r="V60" s="21">
        <v>0</v>
      </c>
      <c r="W60" s="21">
        <v>2</v>
      </c>
      <c r="X60" s="21">
        <v>0</v>
      </c>
      <c r="Y60" s="21">
        <v>1</v>
      </c>
      <c r="Z60" s="21">
        <v>3</v>
      </c>
      <c r="AA60" s="21">
        <v>1</v>
      </c>
      <c r="AB60" s="21">
        <v>0</v>
      </c>
      <c r="AC60" s="21">
        <v>3</v>
      </c>
    </row>
    <row r="61" spans="1:29" ht="22.5" customHeight="1" x14ac:dyDescent="0.2">
      <c r="A61" s="12">
        <v>60</v>
      </c>
      <c r="B61" s="4" t="s">
        <v>67</v>
      </c>
      <c r="C61" s="10">
        <v>0</v>
      </c>
      <c r="D61" s="10">
        <v>2</v>
      </c>
      <c r="E61" s="10">
        <v>2</v>
      </c>
      <c r="F61" s="10">
        <v>1</v>
      </c>
      <c r="G61" s="10">
        <v>0</v>
      </c>
      <c r="H61" s="10">
        <v>2</v>
      </c>
      <c r="I61" s="10">
        <v>0</v>
      </c>
      <c r="J61" s="10">
        <v>4</v>
      </c>
      <c r="K61" s="10">
        <v>0</v>
      </c>
      <c r="L61" s="10">
        <v>0</v>
      </c>
      <c r="M61" s="11"/>
      <c r="N61" s="7" t="s">
        <v>142</v>
      </c>
      <c r="O61" s="7">
        <f t="shared" si="6"/>
        <v>5</v>
      </c>
      <c r="P61" s="7">
        <f t="shared" si="7"/>
        <v>4</v>
      </c>
      <c r="Q61" s="7">
        <f t="shared" si="8"/>
        <v>6</v>
      </c>
      <c r="R61" s="7"/>
      <c r="T61" s="23">
        <v>2</v>
      </c>
      <c r="U61" s="23">
        <v>2</v>
      </c>
      <c r="V61" s="23">
        <v>0</v>
      </c>
      <c r="W61" s="23">
        <v>2</v>
      </c>
      <c r="X61" s="23">
        <v>1</v>
      </c>
      <c r="Y61" s="23">
        <v>2</v>
      </c>
      <c r="Z61" s="23">
        <v>0</v>
      </c>
      <c r="AA61" s="23">
        <v>4</v>
      </c>
      <c r="AB61" s="23">
        <v>2</v>
      </c>
      <c r="AC61" s="23">
        <v>0</v>
      </c>
    </row>
    <row r="62" spans="1:29" ht="15.75" customHeight="1" x14ac:dyDescent="0.2">
      <c r="A62" s="12">
        <v>61</v>
      </c>
      <c r="B62" s="18" t="s">
        <v>144</v>
      </c>
      <c r="C62" s="19">
        <v>0</v>
      </c>
      <c r="D62" s="11">
        <v>0</v>
      </c>
      <c r="E62" s="11">
        <v>0</v>
      </c>
      <c r="F62" s="11">
        <v>0</v>
      </c>
      <c r="G62" s="11">
        <v>0</v>
      </c>
      <c r="H62" s="10">
        <v>0</v>
      </c>
      <c r="I62" s="11">
        <v>0</v>
      </c>
      <c r="J62" s="11">
        <v>0</v>
      </c>
      <c r="K62" s="11">
        <v>0</v>
      </c>
      <c r="L62" s="11">
        <v>0</v>
      </c>
      <c r="M62" s="29"/>
      <c r="N62" s="7" t="s">
        <v>67</v>
      </c>
      <c r="O62" s="7">
        <f t="shared" si="6"/>
        <v>2</v>
      </c>
      <c r="P62" s="7">
        <f t="shared" si="7"/>
        <v>3</v>
      </c>
      <c r="Q62" s="7">
        <f t="shared" si="8"/>
        <v>6</v>
      </c>
      <c r="R62" s="7"/>
      <c r="T62" s="21">
        <v>0</v>
      </c>
      <c r="U62" s="21">
        <v>2</v>
      </c>
      <c r="V62" s="21">
        <v>2</v>
      </c>
      <c r="W62" s="21">
        <v>1</v>
      </c>
      <c r="X62" s="21">
        <v>0</v>
      </c>
      <c r="Y62" s="21">
        <v>2</v>
      </c>
      <c r="Z62" s="21">
        <v>0</v>
      </c>
      <c r="AA62" s="21">
        <v>4</v>
      </c>
      <c r="AB62" s="21">
        <v>0</v>
      </c>
      <c r="AC62" s="21">
        <v>0</v>
      </c>
    </row>
    <row r="63" spans="1:29" ht="15.75" customHeight="1" x14ac:dyDescent="0.2">
      <c r="A63" s="12">
        <v>62</v>
      </c>
      <c r="B63" s="20" t="s">
        <v>140</v>
      </c>
      <c r="C63" s="19">
        <v>0</v>
      </c>
      <c r="D63" s="11">
        <v>0</v>
      </c>
      <c r="E63" s="11">
        <v>0</v>
      </c>
      <c r="F63" s="11">
        <v>0</v>
      </c>
      <c r="G63" s="11">
        <v>0</v>
      </c>
      <c r="H63" s="10">
        <v>0</v>
      </c>
      <c r="I63" s="11">
        <v>0</v>
      </c>
      <c r="J63" s="11">
        <v>0</v>
      </c>
      <c r="K63" s="11">
        <v>0</v>
      </c>
      <c r="L63" s="11">
        <v>0</v>
      </c>
      <c r="M63" s="11"/>
      <c r="N63" s="7" t="s">
        <v>143</v>
      </c>
      <c r="O63" s="7">
        <f t="shared" si="6"/>
        <v>0</v>
      </c>
      <c r="P63" s="7">
        <f t="shared" si="7"/>
        <v>0</v>
      </c>
      <c r="Q63" s="7">
        <f t="shared" si="8"/>
        <v>0</v>
      </c>
      <c r="R63" s="7"/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17274-683D-42B9-85D4-E6DD1D201700}">
  <dimension ref="L5:P67"/>
  <sheetViews>
    <sheetView topLeftCell="A32" workbookViewId="0">
      <selection activeCell="L5" sqref="L5:P67"/>
    </sheetView>
  </sheetViews>
  <sheetFormatPr defaultRowHeight="12.75" x14ac:dyDescent="0.2"/>
  <cols>
    <col min="12" max="12" width="32" bestFit="1" customWidth="1"/>
  </cols>
  <sheetData>
    <row r="5" spans="12:16" ht="14.25" x14ac:dyDescent="0.2">
      <c r="L5" s="7"/>
      <c r="M5" s="7">
        <v>3</v>
      </c>
      <c r="N5" s="7">
        <v>4</v>
      </c>
      <c r="O5" s="7">
        <v>5</v>
      </c>
      <c r="P5" s="7"/>
    </row>
    <row r="6" spans="12:16" ht="14.25" x14ac:dyDescent="0.2">
      <c r="L6" s="7" t="s">
        <v>86</v>
      </c>
      <c r="M6" s="7">
        <v>6</v>
      </c>
      <c r="N6" s="7">
        <v>1</v>
      </c>
      <c r="O6" s="7">
        <v>3</v>
      </c>
      <c r="P6" s="7"/>
    </row>
    <row r="7" spans="12:16" ht="14.25" x14ac:dyDescent="0.2">
      <c r="L7" s="7" t="s">
        <v>87</v>
      </c>
      <c r="M7" s="7">
        <v>6</v>
      </c>
      <c r="N7" s="7">
        <v>9</v>
      </c>
      <c r="O7" s="7">
        <v>8</v>
      </c>
      <c r="P7" s="7"/>
    </row>
    <row r="8" spans="12:16" ht="14.25" x14ac:dyDescent="0.2">
      <c r="L8" s="7" t="s">
        <v>88</v>
      </c>
      <c r="M8" s="7"/>
      <c r="N8" s="7"/>
      <c r="O8" s="7"/>
      <c r="P8" s="7"/>
    </row>
    <row r="9" spans="12:16" ht="14.25" x14ac:dyDescent="0.2">
      <c r="L9" s="7" t="s">
        <v>89</v>
      </c>
      <c r="M9" s="7"/>
      <c r="N9" s="7"/>
      <c r="O9" s="7"/>
      <c r="P9" s="7"/>
    </row>
    <row r="10" spans="12:16" ht="14.25" x14ac:dyDescent="0.2">
      <c r="L10" s="7" t="s">
        <v>90</v>
      </c>
      <c r="M10" s="7"/>
      <c r="N10" s="7"/>
      <c r="O10" s="7"/>
      <c r="P10" s="7"/>
    </row>
    <row r="11" spans="12:16" ht="14.25" x14ac:dyDescent="0.2">
      <c r="L11" s="7" t="s">
        <v>91</v>
      </c>
      <c r="M11" s="7"/>
      <c r="N11" s="7"/>
      <c r="O11" s="7"/>
      <c r="P11" s="7"/>
    </row>
    <row r="12" spans="12:16" ht="14.25" x14ac:dyDescent="0.2">
      <c r="L12" s="7" t="s">
        <v>92</v>
      </c>
      <c r="M12" s="7"/>
      <c r="N12" s="7"/>
      <c r="O12" s="7"/>
      <c r="P12" s="7"/>
    </row>
    <row r="13" spans="12:16" ht="14.25" x14ac:dyDescent="0.2">
      <c r="L13" s="7" t="s">
        <v>93</v>
      </c>
      <c r="M13" s="7"/>
      <c r="N13" s="7"/>
      <c r="O13" s="7"/>
      <c r="P13" s="7"/>
    </row>
    <row r="14" spans="12:16" ht="14.25" x14ac:dyDescent="0.2">
      <c r="L14" s="7" t="s">
        <v>94</v>
      </c>
      <c r="M14" s="7"/>
      <c r="N14" s="7"/>
      <c r="O14" s="7"/>
      <c r="P14" s="7"/>
    </row>
    <row r="15" spans="12:16" ht="14.25" x14ac:dyDescent="0.2">
      <c r="L15" s="7" t="s">
        <v>95</v>
      </c>
      <c r="M15" s="7"/>
      <c r="N15" s="7"/>
      <c r="O15" s="7"/>
      <c r="P15" s="7"/>
    </row>
    <row r="16" spans="12:16" ht="14.25" x14ac:dyDescent="0.2">
      <c r="L16" s="7" t="s">
        <v>96</v>
      </c>
      <c r="M16" s="7"/>
      <c r="N16" s="7"/>
      <c r="O16" s="7"/>
      <c r="P16" s="7"/>
    </row>
    <row r="17" spans="12:16" ht="14.25" x14ac:dyDescent="0.2">
      <c r="L17" s="7" t="s">
        <v>97</v>
      </c>
      <c r="M17" s="7"/>
      <c r="N17" s="7"/>
      <c r="O17" s="7"/>
      <c r="P17" s="7"/>
    </row>
    <row r="18" spans="12:16" ht="14.25" x14ac:dyDescent="0.2">
      <c r="L18" s="7" t="s">
        <v>98</v>
      </c>
      <c r="M18" s="7"/>
      <c r="N18" s="7"/>
      <c r="O18" s="7"/>
      <c r="P18" s="7"/>
    </row>
    <row r="19" spans="12:16" ht="14.25" x14ac:dyDescent="0.2">
      <c r="L19" s="7" t="s">
        <v>99</v>
      </c>
      <c r="M19" s="7"/>
      <c r="N19" s="7"/>
      <c r="O19" s="7"/>
      <c r="P19" s="7"/>
    </row>
    <row r="20" spans="12:16" ht="14.25" x14ac:dyDescent="0.2">
      <c r="L20" s="7" t="s">
        <v>100</v>
      </c>
      <c r="M20" s="7"/>
      <c r="N20" s="7"/>
      <c r="O20" s="7"/>
      <c r="P20" s="7"/>
    </row>
    <row r="21" spans="12:16" ht="14.25" x14ac:dyDescent="0.2">
      <c r="L21" s="7" t="s">
        <v>101</v>
      </c>
      <c r="M21" s="7"/>
      <c r="N21" s="7"/>
      <c r="O21" s="7"/>
      <c r="P21" s="7"/>
    </row>
    <row r="22" spans="12:16" ht="14.25" x14ac:dyDescent="0.2">
      <c r="L22" s="7" t="s">
        <v>102</v>
      </c>
      <c r="M22" s="7"/>
      <c r="N22" s="7"/>
      <c r="O22" s="7"/>
      <c r="P22" s="7"/>
    </row>
    <row r="23" spans="12:16" ht="14.25" x14ac:dyDescent="0.2">
      <c r="L23" s="7" t="s">
        <v>18</v>
      </c>
      <c r="M23" s="7"/>
      <c r="N23" s="7"/>
      <c r="O23" s="7"/>
      <c r="P23" s="7"/>
    </row>
    <row r="24" spans="12:16" ht="14.25" x14ac:dyDescent="0.2">
      <c r="L24" s="7" t="s">
        <v>103</v>
      </c>
      <c r="M24" s="7"/>
      <c r="N24" s="7"/>
      <c r="O24" s="7"/>
      <c r="P24" s="7"/>
    </row>
    <row r="25" spans="12:16" ht="14.25" x14ac:dyDescent="0.2">
      <c r="L25" s="7" t="s">
        <v>104</v>
      </c>
      <c r="M25" s="7"/>
      <c r="N25" s="7"/>
      <c r="O25" s="7"/>
      <c r="P25" s="7"/>
    </row>
    <row r="26" spans="12:16" ht="14.25" x14ac:dyDescent="0.2">
      <c r="L26" s="7" t="s">
        <v>105</v>
      </c>
      <c r="M26" s="7"/>
      <c r="N26" s="7"/>
      <c r="O26" s="7"/>
      <c r="P26" s="7"/>
    </row>
    <row r="27" spans="12:16" ht="14.25" x14ac:dyDescent="0.2">
      <c r="L27" s="7" t="s">
        <v>106</v>
      </c>
      <c r="M27" s="7"/>
      <c r="N27" s="7"/>
      <c r="O27" s="7"/>
      <c r="P27" s="7"/>
    </row>
    <row r="28" spans="12:16" ht="14.25" x14ac:dyDescent="0.2">
      <c r="L28" s="7" t="s">
        <v>107</v>
      </c>
      <c r="M28" s="7"/>
      <c r="N28" s="7"/>
      <c r="O28" s="7"/>
      <c r="P28" s="7"/>
    </row>
    <row r="29" spans="12:16" ht="14.25" x14ac:dyDescent="0.2">
      <c r="L29" s="7" t="s">
        <v>108</v>
      </c>
      <c r="M29" s="7"/>
      <c r="N29" s="7"/>
      <c r="O29" s="7"/>
      <c r="P29" s="7"/>
    </row>
    <row r="30" spans="12:16" ht="14.25" x14ac:dyDescent="0.2">
      <c r="L30" s="7" t="s">
        <v>109</v>
      </c>
      <c r="M30" s="7"/>
      <c r="N30" s="7"/>
      <c r="O30" s="7"/>
      <c r="P30" s="7"/>
    </row>
    <row r="31" spans="12:16" ht="14.25" x14ac:dyDescent="0.2">
      <c r="L31" s="7" t="s">
        <v>110</v>
      </c>
      <c r="M31" s="7"/>
      <c r="N31" s="7"/>
      <c r="O31" s="7"/>
      <c r="P31" s="7"/>
    </row>
    <row r="32" spans="12:16" ht="14.25" x14ac:dyDescent="0.2">
      <c r="L32" s="7" t="s">
        <v>111</v>
      </c>
      <c r="M32" s="7"/>
      <c r="N32" s="7"/>
      <c r="O32" s="7"/>
      <c r="P32" s="7"/>
    </row>
    <row r="33" spans="12:16" ht="14.25" x14ac:dyDescent="0.2">
      <c r="L33" s="7" t="s">
        <v>112</v>
      </c>
      <c r="M33" s="7"/>
      <c r="N33" s="7"/>
      <c r="O33" s="7"/>
      <c r="P33" s="7"/>
    </row>
    <row r="34" spans="12:16" ht="14.25" x14ac:dyDescent="0.2">
      <c r="L34" s="7" t="s">
        <v>113</v>
      </c>
      <c r="M34" s="7"/>
      <c r="N34" s="7"/>
      <c r="O34" s="7"/>
      <c r="P34" s="7"/>
    </row>
    <row r="35" spans="12:16" ht="14.25" x14ac:dyDescent="0.2">
      <c r="L35" s="7" t="s">
        <v>114</v>
      </c>
      <c r="M35" s="7"/>
      <c r="N35" s="7"/>
      <c r="O35" s="7"/>
      <c r="P35" s="7"/>
    </row>
    <row r="36" spans="12:16" ht="14.25" x14ac:dyDescent="0.2">
      <c r="L36" s="7" t="s">
        <v>115</v>
      </c>
      <c r="M36" s="7"/>
      <c r="N36" s="7"/>
      <c r="O36" s="7"/>
      <c r="P36" s="7"/>
    </row>
    <row r="37" spans="12:16" ht="14.25" x14ac:dyDescent="0.2">
      <c r="L37" s="7" t="s">
        <v>31</v>
      </c>
      <c r="M37" s="7"/>
      <c r="N37" s="7"/>
      <c r="O37" s="7"/>
      <c r="P37" s="7"/>
    </row>
    <row r="38" spans="12:16" ht="14.25" x14ac:dyDescent="0.2">
      <c r="L38" s="7" t="s">
        <v>116</v>
      </c>
      <c r="M38" s="7"/>
      <c r="N38" s="7"/>
      <c r="O38" s="7"/>
      <c r="P38" s="7"/>
    </row>
    <row r="39" spans="12:16" ht="14.25" x14ac:dyDescent="0.2">
      <c r="L39" s="7" t="s">
        <v>117</v>
      </c>
      <c r="M39" s="7"/>
      <c r="N39" s="7"/>
      <c r="O39" s="7"/>
      <c r="P39" s="7"/>
    </row>
    <row r="40" spans="12:16" ht="14.25" x14ac:dyDescent="0.2">
      <c r="L40" s="7" t="s">
        <v>118</v>
      </c>
      <c r="M40" s="7"/>
      <c r="N40" s="7"/>
      <c r="O40" s="7"/>
      <c r="P40" s="7"/>
    </row>
    <row r="41" spans="12:16" ht="14.25" x14ac:dyDescent="0.2">
      <c r="L41" s="7" t="s">
        <v>119</v>
      </c>
      <c r="M41" s="7"/>
      <c r="N41" s="7"/>
      <c r="O41" s="7"/>
      <c r="P41" s="7"/>
    </row>
    <row r="42" spans="12:16" ht="14.25" x14ac:dyDescent="0.2">
      <c r="L42" s="7" t="s">
        <v>120</v>
      </c>
      <c r="M42" s="7"/>
      <c r="N42" s="7"/>
      <c r="O42" s="7"/>
      <c r="P42" s="7"/>
    </row>
    <row r="43" spans="12:16" ht="14.25" x14ac:dyDescent="0.2">
      <c r="L43" s="7" t="s">
        <v>121</v>
      </c>
      <c r="M43" s="7"/>
      <c r="N43" s="7"/>
      <c r="O43" s="7"/>
      <c r="P43" s="7"/>
    </row>
    <row r="44" spans="12:16" ht="14.25" x14ac:dyDescent="0.2">
      <c r="L44" s="7" t="s">
        <v>122</v>
      </c>
      <c r="M44" s="7"/>
      <c r="N44" s="7"/>
      <c r="O44" s="7"/>
      <c r="P44" s="7"/>
    </row>
    <row r="45" spans="12:16" ht="14.25" x14ac:dyDescent="0.2">
      <c r="L45" s="7" t="s">
        <v>123</v>
      </c>
      <c r="M45" s="7"/>
      <c r="N45" s="7"/>
      <c r="O45" s="7"/>
      <c r="P45" s="7"/>
    </row>
    <row r="46" spans="12:16" ht="14.25" x14ac:dyDescent="0.2">
      <c r="L46" s="7" t="s">
        <v>124</v>
      </c>
      <c r="M46" s="7"/>
      <c r="N46" s="7"/>
      <c r="O46" s="7"/>
      <c r="P46" s="7"/>
    </row>
    <row r="47" spans="12:16" ht="14.25" x14ac:dyDescent="0.2">
      <c r="L47" s="7" t="s">
        <v>125</v>
      </c>
      <c r="M47" s="7"/>
      <c r="N47" s="7"/>
      <c r="O47" s="7"/>
      <c r="P47" s="7"/>
    </row>
    <row r="48" spans="12:16" ht="14.25" x14ac:dyDescent="0.2">
      <c r="L48" s="7" t="s">
        <v>126</v>
      </c>
      <c r="M48" s="7"/>
      <c r="N48" s="7"/>
      <c r="O48" s="7"/>
      <c r="P48" s="7"/>
    </row>
    <row r="49" spans="12:16" ht="14.25" x14ac:dyDescent="0.2">
      <c r="L49" s="7" t="s">
        <v>43</v>
      </c>
      <c r="M49" s="7"/>
      <c r="N49" s="7"/>
      <c r="O49" s="7"/>
      <c r="P49" s="7"/>
    </row>
    <row r="50" spans="12:16" ht="14.25" x14ac:dyDescent="0.2">
      <c r="L50" s="7" t="s">
        <v>127</v>
      </c>
      <c r="M50" s="7"/>
      <c r="N50" s="7"/>
      <c r="O50" s="7"/>
      <c r="P50" s="7"/>
    </row>
    <row r="51" spans="12:16" ht="14.25" x14ac:dyDescent="0.2">
      <c r="L51" s="7" t="s">
        <v>128</v>
      </c>
      <c r="M51" s="7"/>
      <c r="N51" s="7"/>
      <c r="O51" s="7"/>
      <c r="P51" s="7"/>
    </row>
    <row r="52" spans="12:16" ht="14.25" x14ac:dyDescent="0.2">
      <c r="L52" s="7" t="s">
        <v>129</v>
      </c>
      <c r="M52" s="7"/>
      <c r="N52" s="7"/>
      <c r="O52" s="7"/>
      <c r="P52" s="7"/>
    </row>
    <row r="53" spans="12:16" ht="14.25" x14ac:dyDescent="0.2">
      <c r="L53" s="7" t="s">
        <v>130</v>
      </c>
      <c r="M53" s="7"/>
      <c r="N53" s="7"/>
      <c r="O53" s="7"/>
      <c r="P53" s="7"/>
    </row>
    <row r="54" spans="12:16" ht="14.25" x14ac:dyDescent="0.2">
      <c r="L54" s="7" t="s">
        <v>131</v>
      </c>
      <c r="M54" s="7"/>
      <c r="N54" s="7"/>
      <c r="O54" s="7"/>
      <c r="P54" s="7"/>
    </row>
    <row r="55" spans="12:16" ht="14.25" x14ac:dyDescent="0.2">
      <c r="L55" s="7" t="s">
        <v>132</v>
      </c>
      <c r="M55" s="7"/>
      <c r="N55" s="7"/>
      <c r="O55" s="7"/>
      <c r="P55" s="7"/>
    </row>
    <row r="56" spans="12:16" ht="14.25" x14ac:dyDescent="0.2">
      <c r="L56" s="7" t="s">
        <v>133</v>
      </c>
      <c r="M56" s="7"/>
      <c r="N56" s="7"/>
      <c r="O56" s="7"/>
      <c r="P56" s="7"/>
    </row>
    <row r="57" spans="12:16" ht="14.25" x14ac:dyDescent="0.2">
      <c r="L57" s="7" t="s">
        <v>134</v>
      </c>
      <c r="M57" s="7"/>
      <c r="N57" s="7"/>
      <c r="O57" s="7"/>
      <c r="P57" s="7"/>
    </row>
    <row r="58" spans="12:16" ht="14.25" x14ac:dyDescent="0.2">
      <c r="L58" s="7" t="s">
        <v>135</v>
      </c>
      <c r="M58" s="7"/>
      <c r="N58" s="7"/>
      <c r="O58" s="7"/>
      <c r="P58" s="7"/>
    </row>
    <row r="59" spans="12:16" ht="14.25" x14ac:dyDescent="0.2">
      <c r="L59" s="7" t="s">
        <v>136</v>
      </c>
      <c r="M59" s="7"/>
      <c r="N59" s="7"/>
      <c r="O59" s="7"/>
      <c r="P59" s="7"/>
    </row>
    <row r="60" spans="12:16" ht="14.25" x14ac:dyDescent="0.2">
      <c r="L60" s="7" t="s">
        <v>137</v>
      </c>
      <c r="M60" s="7"/>
      <c r="N60" s="7"/>
      <c r="O60" s="7"/>
      <c r="P60" s="7"/>
    </row>
    <row r="61" spans="12:16" ht="14.25" x14ac:dyDescent="0.2">
      <c r="L61" s="7" t="s">
        <v>138</v>
      </c>
      <c r="M61" s="7"/>
      <c r="N61" s="7"/>
      <c r="O61" s="7"/>
      <c r="P61" s="7"/>
    </row>
    <row r="62" spans="12:16" ht="14.25" x14ac:dyDescent="0.2">
      <c r="L62" s="7" t="s">
        <v>139</v>
      </c>
      <c r="M62" s="7"/>
      <c r="N62" s="7"/>
      <c r="O62" s="7"/>
      <c r="P62" s="7"/>
    </row>
    <row r="63" spans="12:16" ht="14.25" x14ac:dyDescent="0.2">
      <c r="L63" s="7" t="s">
        <v>140</v>
      </c>
      <c r="M63" s="7"/>
      <c r="N63" s="7"/>
      <c r="O63" s="7"/>
      <c r="P63" s="7"/>
    </row>
    <row r="64" spans="12:16" ht="14.25" x14ac:dyDescent="0.2">
      <c r="L64" s="7" t="s">
        <v>141</v>
      </c>
      <c r="M64" s="7"/>
      <c r="N64" s="7"/>
      <c r="O64" s="7"/>
      <c r="P64" s="7"/>
    </row>
    <row r="65" spans="12:16" ht="14.25" x14ac:dyDescent="0.2">
      <c r="L65" s="7" t="s">
        <v>142</v>
      </c>
      <c r="M65" s="7"/>
      <c r="N65" s="7"/>
      <c r="O65" s="7"/>
      <c r="P65" s="7"/>
    </row>
    <row r="66" spans="12:16" ht="14.25" x14ac:dyDescent="0.2">
      <c r="L66" s="7" t="s">
        <v>67</v>
      </c>
      <c r="M66" s="7"/>
      <c r="N66" s="7"/>
      <c r="O66" s="7"/>
      <c r="P66" s="7"/>
    </row>
    <row r="67" spans="12:16" ht="14.25" x14ac:dyDescent="0.2">
      <c r="L67" s="7" t="s">
        <v>143</v>
      </c>
      <c r="M67" s="7"/>
      <c r="N67" s="7"/>
      <c r="O67" s="7"/>
      <c r="P6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 Responses 1</vt:lpstr>
      <vt:lpstr>Sheet1</vt:lpstr>
      <vt:lpstr>Form Responses 1 (2)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MSBTE-28</dc:creator>
  <cp:lastModifiedBy>MSBTE-Osmanabad-028</cp:lastModifiedBy>
  <dcterms:created xsi:type="dcterms:W3CDTF">2026-06-23T10:24:11Z</dcterms:created>
  <dcterms:modified xsi:type="dcterms:W3CDTF">2026-06-23T10:24:11Z</dcterms:modified>
</cp:coreProperties>
</file>